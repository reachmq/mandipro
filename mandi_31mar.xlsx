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26dcf7d92d296b7/Desktop/MHN MANDI AC/"/>
    </mc:Choice>
  </mc:AlternateContent>
  <xr:revisionPtr revIDLastSave="1737" documentId="8_{00967FBC-41EE-4D43-ABF7-4F6732625573}" xr6:coauthVersionLast="47" xr6:coauthVersionMax="47" xr10:uidLastSave="{ACF3D666-67EC-4425-8845-26BEC0A11918}"/>
  <bookViews>
    <workbookView xWindow="-98" yWindow="-98" windowWidth="21795" windowHeight="12975" activeTab="2" xr2:uid="{00000000-000D-0000-FFFF-FFFF00000000}"/>
  </bookViews>
  <sheets>
    <sheet name="Masters" sheetId="1" r:id="rId1"/>
    <sheet name="Daily_Sales" sheetId="2" r:id="rId2"/>
    <sheet name="Cash_Book" sheetId="3" r:id="rId3"/>
    <sheet name="Bepaari_Ledger" sheetId="4" r:id="rId4"/>
    <sheet name="Dukandar_Ledger" sheetId="5" r:id="rId5"/>
    <sheet name="Capital_Loan_Ledger" sheetId="6" r:id="rId6"/>
    <sheet name="Bepaari_Aakda" sheetId="7" r:id="rId7"/>
    <sheet name="Balance_Sheet" sheetId="8" r:id="rId8"/>
    <sheet name="Commission_Summary" sheetId="9" r:id="rId9"/>
  </sheets>
  <definedNames>
    <definedName name="_xlnm._FilterDatabase" localSheetId="2" hidden="1">Cash_Book!$A$3:$H$1008</definedName>
    <definedName name="ADVANCE">Masters!$U$3:$U$22</definedName>
    <definedName name="AMANAT">Masters!$P$3:$P$32</definedName>
    <definedName name="BEPAARI">Masters!$B$3:$B$52</definedName>
    <definedName name="CAPITAL">Masters!$P$3:$P$32</definedName>
    <definedName name="DUKANDAR">Masters!$J$3:$J$150</definedName>
    <definedName name="LOAN">Masters!$P$3:$P$32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5" l="1" a="1"/>
  <c r="B60" i="5" s="1"/>
  <c r="B61" i="5" a="1"/>
  <c r="B61" i="5" s="1"/>
  <c r="C61" i="5" s="1" a="1"/>
  <c r="C61" i="5" s="1"/>
  <c r="B62" i="5" a="1"/>
  <c r="B62" i="5" s="1"/>
  <c r="G62" i="5" s="1"/>
  <c r="B63" i="5" a="1"/>
  <c r="B63" i="5" s="1"/>
  <c r="C63" i="5" s="1" a="1"/>
  <c r="C63" i="5" s="1"/>
  <c r="B64" i="5" a="1"/>
  <c r="B64" i="5" s="1"/>
  <c r="B65" i="5" a="1"/>
  <c r="B65" i="5" s="1"/>
  <c r="C65" i="5" s="1" a="1"/>
  <c r="C65" i="5" s="1"/>
  <c r="B66" i="5" a="1"/>
  <c r="B66" i="5" s="1"/>
  <c r="G66" i="5" s="1"/>
  <c r="B67" i="5" a="1"/>
  <c r="B67" i="5" s="1"/>
  <c r="B68" i="5" a="1"/>
  <c r="B68" i="5" s="1"/>
  <c r="C68" i="5" s="1" a="1"/>
  <c r="C68" i="5" s="1"/>
  <c r="B69" i="5" a="1"/>
  <c r="B69" i="5" s="1"/>
  <c r="C69" i="5" s="1" a="1"/>
  <c r="C69" i="5" s="1"/>
  <c r="B70" i="5" a="1"/>
  <c r="B70" i="5" s="1"/>
  <c r="B71" i="5" a="1"/>
  <c r="B71" i="5" s="1"/>
  <c r="C71" i="5" s="1" a="1"/>
  <c r="C71" i="5" s="1"/>
  <c r="B72" i="5" a="1"/>
  <c r="B72" i="5" s="1"/>
  <c r="E72" i="5" s="1"/>
  <c r="B73" i="5" a="1"/>
  <c r="B73" i="5" s="1"/>
  <c r="C73" i="5" s="1" a="1"/>
  <c r="C73" i="5" s="1"/>
  <c r="B74" i="5" a="1"/>
  <c r="B74" i="5" s="1"/>
  <c r="B75" i="5" a="1"/>
  <c r="B75" i="5" s="1"/>
  <c r="C75" i="5" s="1" a="1"/>
  <c r="C75" i="5" s="1"/>
  <c r="B76" i="5" a="1"/>
  <c r="B76" i="5" s="1"/>
  <c r="C76" i="5" s="1" a="1"/>
  <c r="C76" i="5" s="1"/>
  <c r="B77" i="5" a="1"/>
  <c r="B77" i="5"/>
  <c r="D77" i="5" s="1"/>
  <c r="B78" i="5" a="1"/>
  <c r="B78" i="5" s="1"/>
  <c r="E78" i="5" s="1"/>
  <c r="B79" i="5" a="1"/>
  <c r="B79" i="5" s="1"/>
  <c r="B80" i="5" a="1"/>
  <c r="B80" i="5" s="1"/>
  <c r="C80" i="5" s="1" a="1"/>
  <c r="C80" i="5" s="1"/>
  <c r="B81" i="5" a="1"/>
  <c r="B81" i="5" s="1"/>
  <c r="C81" i="5" s="1" a="1"/>
  <c r="C81" i="5" s="1"/>
  <c r="B82" i="5" a="1"/>
  <c r="B82" i="5" s="1"/>
  <c r="G82" i="5" s="1"/>
  <c r="B83" i="5" a="1"/>
  <c r="B83" i="5" s="1"/>
  <c r="G83" i="5" s="1"/>
  <c r="B84" i="5" a="1"/>
  <c r="B84" i="5" s="1"/>
  <c r="B85" i="5" a="1"/>
  <c r="B85" i="5" s="1"/>
  <c r="C85" i="5" s="1" a="1"/>
  <c r="C85" i="5" s="1"/>
  <c r="B86" i="5" a="1"/>
  <c r="B86" i="5" s="1"/>
  <c r="C86" i="5" s="1" a="1"/>
  <c r="C86" i="5" s="1"/>
  <c r="B87" i="5" a="1"/>
  <c r="B87" i="5"/>
  <c r="G87" i="5" s="1"/>
  <c r="B88" i="5" a="1"/>
  <c r="B88" i="5" s="1"/>
  <c r="C88" i="5" s="1" a="1"/>
  <c r="C88" i="5" s="1"/>
  <c r="B89" i="5" a="1"/>
  <c r="B89" i="5" s="1"/>
  <c r="B90" i="5" a="1"/>
  <c r="B90" i="5"/>
  <c r="C90" i="5" s="1" a="1"/>
  <c r="C90" i="5" s="1"/>
  <c r="B91" i="5" a="1"/>
  <c r="B91" i="5" s="1"/>
  <c r="C91" i="5" s="1" a="1"/>
  <c r="C91" i="5" s="1"/>
  <c r="B92" i="5" a="1"/>
  <c r="B92" i="5" s="1"/>
  <c r="C92" i="5" s="1" a="1"/>
  <c r="C92" i="5" s="1"/>
  <c r="B93" i="5" a="1"/>
  <c r="B93" i="5" s="1"/>
  <c r="E93" i="5" s="1"/>
  <c r="B94" i="5" a="1"/>
  <c r="B94" i="5"/>
  <c r="E94" i="5" s="1"/>
  <c r="B95" i="5" a="1"/>
  <c r="B95" i="5" s="1"/>
  <c r="C95" i="5" s="1" a="1"/>
  <c r="C95" i="5" s="1"/>
  <c r="B96" i="5" a="1"/>
  <c r="B96" i="5" s="1"/>
  <c r="C96" i="5" s="1" a="1"/>
  <c r="C96" i="5" s="1"/>
  <c r="B97" i="5" a="1"/>
  <c r="B97" i="5"/>
  <c r="G97" i="5" s="1"/>
  <c r="B98" i="5" a="1"/>
  <c r="B98" i="5" s="1"/>
  <c r="C98" i="5" s="1" a="1"/>
  <c r="C98" i="5" s="1"/>
  <c r="B99" i="5" a="1"/>
  <c r="B99" i="5"/>
  <c r="E99" i="5" s="1"/>
  <c r="B100" i="5" a="1"/>
  <c r="B100" i="5"/>
  <c r="C100" i="5" s="1" a="1"/>
  <c r="C100" i="5" s="1"/>
  <c r="B101" i="5" a="1"/>
  <c r="B101" i="5" s="1"/>
  <c r="C101" i="5" s="1" a="1"/>
  <c r="C101" i="5" s="1"/>
  <c r="B102" i="5" a="1"/>
  <c r="B102" i="5" s="1"/>
  <c r="G102" i="5" s="1"/>
  <c r="B103" i="5" a="1"/>
  <c r="B103" i="5" s="1"/>
  <c r="G103" i="5" s="1"/>
  <c r="B59" i="5" a="1"/>
  <c r="B59" i="5" s="1"/>
  <c r="C59" i="5" s="1" a="1"/>
  <c r="C59" i="5" s="1"/>
  <c r="B58" i="5"/>
  <c r="B57" i="5"/>
  <c r="E57" i="5" s="1"/>
  <c r="B56" i="5"/>
  <c r="B55" i="5"/>
  <c r="B54" i="5"/>
  <c r="E54" i="5" s="1"/>
  <c r="G20" i="2"/>
  <c r="I20" i="2"/>
  <c r="B13" i="7"/>
  <c r="E32" i="8"/>
  <c r="E31" i="8"/>
  <c r="E30" i="8"/>
  <c r="E29" i="8"/>
  <c r="E28" i="8"/>
  <c r="E33" i="8"/>
  <c r="B17" i="9"/>
  <c r="B16" i="9"/>
  <c r="B15" i="9"/>
  <c r="B30" i="8"/>
  <c r="E25" i="8"/>
  <c r="E24" i="8"/>
  <c r="B24" i="8"/>
  <c r="E20" i="8"/>
  <c r="E19" i="8"/>
  <c r="B19" i="8"/>
  <c r="E15" i="8"/>
  <c r="B15" i="8"/>
  <c r="E14" i="8"/>
  <c r="B13" i="8"/>
  <c r="B30" i="7"/>
  <c r="B26" i="7"/>
  <c r="B20" i="7"/>
  <c r="B19" i="7"/>
  <c r="B18" i="7"/>
  <c r="B17" i="7"/>
  <c r="B12" i="7"/>
  <c r="B11" i="7"/>
  <c r="B8" i="7"/>
  <c r="B24" i="7" s="1"/>
  <c r="B7" i="7"/>
  <c r="B16" i="7" s="1"/>
  <c r="G33" i="6"/>
  <c r="F33" i="6"/>
  <c r="D33" i="6"/>
  <c r="B33" i="6"/>
  <c r="E33" i="6" s="1"/>
  <c r="G32" i="6"/>
  <c r="F32" i="6"/>
  <c r="E32" i="6"/>
  <c r="B32" i="6"/>
  <c r="D32" i="6" s="1"/>
  <c r="B31" i="6"/>
  <c r="F30" i="6"/>
  <c r="E30" i="6"/>
  <c r="D30" i="6"/>
  <c r="B30" i="6"/>
  <c r="G29" i="6"/>
  <c r="F29" i="6"/>
  <c r="E29" i="6"/>
  <c r="D29" i="6"/>
  <c r="C29" i="6"/>
  <c r="B29" i="6"/>
  <c r="B28" i="6"/>
  <c r="B27" i="6"/>
  <c r="F26" i="6"/>
  <c r="E26" i="6"/>
  <c r="D26" i="6"/>
  <c r="C26" i="6"/>
  <c r="B26" i="6"/>
  <c r="G26" i="6" s="1"/>
  <c r="G25" i="6"/>
  <c r="B25" i="6"/>
  <c r="G24" i="6"/>
  <c r="B24" i="6"/>
  <c r="C24" i="6" s="1"/>
  <c r="B23" i="6"/>
  <c r="G22" i="6"/>
  <c r="F22" i="6"/>
  <c r="E22" i="6"/>
  <c r="B22" i="6"/>
  <c r="D22" i="6" s="1"/>
  <c r="F21" i="6"/>
  <c r="B21" i="6"/>
  <c r="F20" i="6"/>
  <c r="B20" i="6"/>
  <c r="G19" i="6"/>
  <c r="F19" i="6"/>
  <c r="E19" i="6"/>
  <c r="D19" i="6"/>
  <c r="C19" i="6"/>
  <c r="B19" i="6"/>
  <c r="B18" i="6"/>
  <c r="B17" i="6"/>
  <c r="F16" i="6"/>
  <c r="E16" i="6"/>
  <c r="B16" i="6"/>
  <c r="G16" i="6" s="1"/>
  <c r="B15" i="6"/>
  <c r="F14" i="6"/>
  <c r="E14" i="6"/>
  <c r="B14" i="6"/>
  <c r="G13" i="6"/>
  <c r="F13" i="6"/>
  <c r="D13" i="6"/>
  <c r="C13" i="6"/>
  <c r="B13" i="6"/>
  <c r="E13" i="6" s="1"/>
  <c r="G12" i="6"/>
  <c r="F12" i="6"/>
  <c r="E12" i="6"/>
  <c r="B12" i="6"/>
  <c r="D12" i="6" s="1"/>
  <c r="B11" i="6"/>
  <c r="G11" i="6" s="1"/>
  <c r="E10" i="6"/>
  <c r="D10" i="6"/>
  <c r="B10" i="6"/>
  <c r="B9" i="6"/>
  <c r="B8" i="6"/>
  <c r="B7" i="6"/>
  <c r="B6" i="6"/>
  <c r="B5" i="6"/>
  <c r="B4" i="6"/>
  <c r="B53" i="5"/>
  <c r="C53" i="5" s="1"/>
  <c r="B52" i="5"/>
  <c r="B51" i="5"/>
  <c r="E51" i="5" s="1"/>
  <c r="B50" i="5"/>
  <c r="B49" i="5"/>
  <c r="B48" i="5"/>
  <c r="D48" i="5" s="1"/>
  <c r="B47" i="5"/>
  <c r="B46" i="5"/>
  <c r="B45" i="5"/>
  <c r="D45" i="5" s="1"/>
  <c r="B44" i="5"/>
  <c r="G44" i="5" s="1"/>
  <c r="B43" i="5"/>
  <c r="C43" i="5" s="1"/>
  <c r="B42" i="5"/>
  <c r="C42" i="5" s="1"/>
  <c r="B41" i="5"/>
  <c r="G41" i="5" s="1"/>
  <c r="B40" i="5"/>
  <c r="E40" i="5" s="1"/>
  <c r="B39" i="5"/>
  <c r="B38" i="5"/>
  <c r="B37" i="5"/>
  <c r="G37" i="5" s="1"/>
  <c r="B36" i="5"/>
  <c r="B35" i="5"/>
  <c r="E35" i="5" s="1"/>
  <c r="B34" i="5"/>
  <c r="B33" i="5"/>
  <c r="B32" i="5"/>
  <c r="B31" i="5"/>
  <c r="B30" i="5"/>
  <c r="E30" i="5" s="1"/>
  <c r="B29" i="5"/>
  <c r="E29" i="5" s="1"/>
  <c r="B28" i="5"/>
  <c r="G28" i="5" s="1"/>
  <c r="B27" i="5"/>
  <c r="B26" i="5"/>
  <c r="B25" i="5"/>
  <c r="D25" i="5" s="1"/>
  <c r="B24" i="5"/>
  <c r="B23" i="5"/>
  <c r="B22" i="5"/>
  <c r="B21" i="5"/>
  <c r="G21" i="5" s="1"/>
  <c r="B20" i="5"/>
  <c r="B19" i="5"/>
  <c r="E19" i="5" s="1"/>
  <c r="B18" i="5"/>
  <c r="B17" i="5"/>
  <c r="B16" i="5"/>
  <c r="B15" i="5"/>
  <c r="D15" i="5" s="1"/>
  <c r="B14" i="5"/>
  <c r="E14" i="5" s="1"/>
  <c r="B13" i="5"/>
  <c r="C13" i="5" s="1"/>
  <c r="B12" i="5"/>
  <c r="B11" i="5"/>
  <c r="G11" i="5" s="1"/>
  <c r="B10" i="5"/>
  <c r="B9" i="5"/>
  <c r="G9" i="5" s="1"/>
  <c r="B8" i="5"/>
  <c r="C8" i="5" s="1"/>
  <c r="B7" i="5"/>
  <c r="E7" i="5" s="1"/>
  <c r="B6" i="5"/>
  <c r="B5" i="5"/>
  <c r="D5" i="5" s="1"/>
  <c r="B4" i="5"/>
  <c r="B54" i="4"/>
  <c r="S53" i="4"/>
  <c r="R53" i="4"/>
  <c r="Q53" i="4"/>
  <c r="O53" i="4"/>
  <c r="M53" i="4"/>
  <c r="L53" i="4"/>
  <c r="K53" i="4"/>
  <c r="H53" i="4"/>
  <c r="G53" i="4"/>
  <c r="E53" i="4"/>
  <c r="D53" i="4"/>
  <c r="C53" i="4"/>
  <c r="B53" i="4"/>
  <c r="N53" i="4" s="1"/>
  <c r="S52" i="4"/>
  <c r="G52" i="4"/>
  <c r="J52" i="4" s="1"/>
  <c r="E52" i="4"/>
  <c r="D52" i="4"/>
  <c r="C52" i="4"/>
  <c r="B52" i="4"/>
  <c r="O51" i="4"/>
  <c r="N51" i="4"/>
  <c r="M51" i="4"/>
  <c r="L51" i="4"/>
  <c r="E51" i="4"/>
  <c r="B51" i="4"/>
  <c r="B50" i="4"/>
  <c r="S49" i="4"/>
  <c r="Q49" i="4"/>
  <c r="O49" i="4"/>
  <c r="M49" i="4"/>
  <c r="L49" i="4"/>
  <c r="K49" i="4"/>
  <c r="H49" i="4"/>
  <c r="G49" i="4"/>
  <c r="J49" i="4" s="1"/>
  <c r="E49" i="4"/>
  <c r="D49" i="4"/>
  <c r="C49" i="4"/>
  <c r="B49" i="4"/>
  <c r="R49" i="4" s="1"/>
  <c r="O48" i="4"/>
  <c r="M48" i="4"/>
  <c r="K48" i="4"/>
  <c r="H48" i="4"/>
  <c r="G48" i="4"/>
  <c r="I48" i="4" s="1"/>
  <c r="E48" i="4"/>
  <c r="C48" i="4"/>
  <c r="B48" i="4"/>
  <c r="S47" i="4"/>
  <c r="R47" i="4"/>
  <c r="Q47" i="4"/>
  <c r="O47" i="4"/>
  <c r="N47" i="4"/>
  <c r="M47" i="4"/>
  <c r="L47" i="4"/>
  <c r="K47" i="4"/>
  <c r="H47" i="4"/>
  <c r="G47" i="4"/>
  <c r="E47" i="4"/>
  <c r="D47" i="4"/>
  <c r="C47" i="4"/>
  <c r="B47" i="4"/>
  <c r="S46" i="4"/>
  <c r="E46" i="4"/>
  <c r="D46" i="4"/>
  <c r="B46" i="4"/>
  <c r="S45" i="4"/>
  <c r="Q45" i="4"/>
  <c r="O45" i="4"/>
  <c r="N45" i="4"/>
  <c r="M45" i="4"/>
  <c r="L45" i="4"/>
  <c r="K45" i="4"/>
  <c r="H45" i="4"/>
  <c r="G45" i="4"/>
  <c r="I45" i="4" s="1"/>
  <c r="E45" i="4"/>
  <c r="D45" i="4"/>
  <c r="C45" i="4"/>
  <c r="B45" i="4"/>
  <c r="S44" i="4"/>
  <c r="R44" i="4"/>
  <c r="Q44" i="4"/>
  <c r="O44" i="4"/>
  <c r="N44" i="4"/>
  <c r="M44" i="4"/>
  <c r="L44" i="4"/>
  <c r="K44" i="4"/>
  <c r="H44" i="4"/>
  <c r="G44" i="4"/>
  <c r="B44" i="4"/>
  <c r="D44" i="4" s="1"/>
  <c r="S43" i="4"/>
  <c r="R43" i="4"/>
  <c r="Q43" i="4"/>
  <c r="O43" i="4"/>
  <c r="M43" i="4"/>
  <c r="L43" i="4"/>
  <c r="K43" i="4"/>
  <c r="H43" i="4"/>
  <c r="G43" i="4"/>
  <c r="E43" i="4"/>
  <c r="D43" i="4"/>
  <c r="C43" i="4"/>
  <c r="B43" i="4"/>
  <c r="N43" i="4" s="1"/>
  <c r="O42" i="4"/>
  <c r="N42" i="4"/>
  <c r="K42" i="4"/>
  <c r="H42" i="4"/>
  <c r="G42" i="4"/>
  <c r="I42" i="4" s="1"/>
  <c r="E42" i="4"/>
  <c r="B42" i="4"/>
  <c r="B41" i="4"/>
  <c r="S40" i="4"/>
  <c r="R40" i="4"/>
  <c r="Q40" i="4"/>
  <c r="O40" i="4"/>
  <c r="M40" i="4"/>
  <c r="L40" i="4"/>
  <c r="E40" i="4"/>
  <c r="B40" i="4"/>
  <c r="L39" i="4"/>
  <c r="K39" i="4"/>
  <c r="B39" i="4"/>
  <c r="S38" i="4"/>
  <c r="Q38" i="4"/>
  <c r="O38" i="4"/>
  <c r="N38" i="4"/>
  <c r="M38" i="4"/>
  <c r="K38" i="4"/>
  <c r="H38" i="4"/>
  <c r="G38" i="4"/>
  <c r="I38" i="4" s="1"/>
  <c r="E38" i="4"/>
  <c r="C38" i="4"/>
  <c r="B38" i="4"/>
  <c r="R38" i="4" s="1"/>
  <c r="S37" i="4"/>
  <c r="R37" i="4"/>
  <c r="Q37" i="4"/>
  <c r="O37" i="4"/>
  <c r="N37" i="4"/>
  <c r="M37" i="4"/>
  <c r="L37" i="4"/>
  <c r="K37" i="4"/>
  <c r="H37" i="4"/>
  <c r="G37" i="4"/>
  <c r="E37" i="4"/>
  <c r="D37" i="4"/>
  <c r="C37" i="4"/>
  <c r="B37" i="4"/>
  <c r="C36" i="4"/>
  <c r="B36" i="4"/>
  <c r="S35" i="4"/>
  <c r="Q35" i="4"/>
  <c r="O35" i="4"/>
  <c r="N35" i="4"/>
  <c r="H35" i="4"/>
  <c r="B35" i="4"/>
  <c r="S34" i="4"/>
  <c r="R34" i="4"/>
  <c r="Q34" i="4"/>
  <c r="O34" i="4"/>
  <c r="N34" i="4"/>
  <c r="M34" i="4"/>
  <c r="L34" i="4"/>
  <c r="K34" i="4"/>
  <c r="H34" i="4"/>
  <c r="G34" i="4"/>
  <c r="I34" i="4" s="1"/>
  <c r="E34" i="4"/>
  <c r="C34" i="4"/>
  <c r="B34" i="4"/>
  <c r="D34" i="4" s="1"/>
  <c r="S33" i="4"/>
  <c r="R33" i="4"/>
  <c r="Q33" i="4"/>
  <c r="O33" i="4"/>
  <c r="M33" i="4"/>
  <c r="L33" i="4"/>
  <c r="K33" i="4"/>
  <c r="H33" i="4"/>
  <c r="G33" i="4"/>
  <c r="E33" i="4"/>
  <c r="D33" i="4"/>
  <c r="C33" i="4"/>
  <c r="B33" i="4"/>
  <c r="N33" i="4" s="1"/>
  <c r="S32" i="4"/>
  <c r="R32" i="4"/>
  <c r="O32" i="4"/>
  <c r="N32" i="4"/>
  <c r="M32" i="4"/>
  <c r="K32" i="4"/>
  <c r="H32" i="4"/>
  <c r="G32" i="4"/>
  <c r="J32" i="4" s="1"/>
  <c r="E32" i="4"/>
  <c r="D32" i="4"/>
  <c r="C32" i="4"/>
  <c r="B32" i="4"/>
  <c r="L32" i="4" s="1"/>
  <c r="O31" i="4"/>
  <c r="N31" i="4"/>
  <c r="L31" i="4"/>
  <c r="K31" i="4"/>
  <c r="H31" i="4"/>
  <c r="G31" i="4"/>
  <c r="E31" i="4"/>
  <c r="D31" i="4"/>
  <c r="B31" i="4"/>
  <c r="S30" i="4"/>
  <c r="R30" i="4"/>
  <c r="B30" i="4"/>
  <c r="C29" i="4"/>
  <c r="B29" i="4"/>
  <c r="B28" i="4"/>
  <c r="R28" i="4" s="1"/>
  <c r="S27" i="4"/>
  <c r="R27" i="4"/>
  <c r="Q27" i="4"/>
  <c r="O27" i="4"/>
  <c r="N27" i="4"/>
  <c r="M27" i="4"/>
  <c r="L27" i="4"/>
  <c r="K27" i="4"/>
  <c r="H27" i="4"/>
  <c r="G27" i="4"/>
  <c r="E27" i="4"/>
  <c r="D27" i="4"/>
  <c r="C27" i="4"/>
  <c r="B27" i="4"/>
  <c r="M26" i="4"/>
  <c r="L26" i="4"/>
  <c r="E26" i="4"/>
  <c r="D26" i="4"/>
  <c r="B26" i="4"/>
  <c r="B25" i="4"/>
  <c r="R24" i="4"/>
  <c r="B24" i="4"/>
  <c r="N24" i="4" s="1"/>
  <c r="B23" i="4"/>
  <c r="N23" i="4" s="1"/>
  <c r="R22" i="4"/>
  <c r="O22" i="4"/>
  <c r="M22" i="4"/>
  <c r="K22" i="4"/>
  <c r="B22" i="4"/>
  <c r="O21" i="4"/>
  <c r="N21" i="4"/>
  <c r="M21" i="4"/>
  <c r="L21" i="4"/>
  <c r="K21" i="4"/>
  <c r="G21" i="4"/>
  <c r="F21" i="4"/>
  <c r="E21" i="4"/>
  <c r="D21" i="4"/>
  <c r="C21" i="4"/>
  <c r="B21" i="4"/>
  <c r="R21" i="4" s="1"/>
  <c r="B20" i="4"/>
  <c r="R19" i="4"/>
  <c r="G19" i="4"/>
  <c r="I19" i="4" s="1"/>
  <c r="E19" i="4"/>
  <c r="D19" i="4"/>
  <c r="B19" i="4"/>
  <c r="B18" i="4"/>
  <c r="R17" i="4"/>
  <c r="O17" i="4"/>
  <c r="N17" i="4"/>
  <c r="M17" i="4"/>
  <c r="L17" i="4"/>
  <c r="K17" i="4"/>
  <c r="G17" i="4"/>
  <c r="J17" i="4" s="1"/>
  <c r="F17" i="4"/>
  <c r="H17" i="4" s="1"/>
  <c r="E17" i="4"/>
  <c r="D17" i="4"/>
  <c r="C17" i="4"/>
  <c r="B17" i="4"/>
  <c r="O16" i="4"/>
  <c r="N16" i="4"/>
  <c r="M16" i="4"/>
  <c r="K16" i="4"/>
  <c r="G16" i="4"/>
  <c r="B16" i="4"/>
  <c r="M15" i="4"/>
  <c r="L15" i="4"/>
  <c r="G15" i="4"/>
  <c r="D15" i="4"/>
  <c r="C15" i="4"/>
  <c r="B15" i="4"/>
  <c r="O14" i="4"/>
  <c r="M14" i="4"/>
  <c r="L14" i="4"/>
  <c r="G14" i="4"/>
  <c r="I14" i="4" s="1"/>
  <c r="F14" i="4"/>
  <c r="E14" i="4"/>
  <c r="B14" i="4"/>
  <c r="R13" i="4"/>
  <c r="O13" i="4"/>
  <c r="M13" i="4"/>
  <c r="L13" i="4"/>
  <c r="K13" i="4"/>
  <c r="G13" i="4"/>
  <c r="J13" i="4" s="1"/>
  <c r="E13" i="4"/>
  <c r="D13" i="4"/>
  <c r="C13" i="4"/>
  <c r="B13" i="4"/>
  <c r="N13" i="4" s="1"/>
  <c r="R12" i="4"/>
  <c r="O12" i="4"/>
  <c r="N12" i="4"/>
  <c r="K12" i="4"/>
  <c r="F12" i="4"/>
  <c r="E12" i="4"/>
  <c r="D12" i="4"/>
  <c r="C12" i="4"/>
  <c r="B12" i="4"/>
  <c r="O11" i="4"/>
  <c r="N11" i="4"/>
  <c r="M11" i="4"/>
  <c r="L11" i="4"/>
  <c r="K11" i="4"/>
  <c r="E11" i="4"/>
  <c r="B11" i="4"/>
  <c r="R10" i="4"/>
  <c r="O10" i="4"/>
  <c r="N10" i="4"/>
  <c r="M10" i="4"/>
  <c r="L10" i="4"/>
  <c r="K10" i="4"/>
  <c r="G10" i="4"/>
  <c r="J10" i="4" s="1"/>
  <c r="E10" i="4"/>
  <c r="D10" i="4"/>
  <c r="C10" i="4"/>
  <c r="B10" i="4"/>
  <c r="R9" i="4"/>
  <c r="L9" i="4"/>
  <c r="K9" i="4"/>
  <c r="D9" i="4"/>
  <c r="B9" i="4"/>
  <c r="N8" i="4"/>
  <c r="K8" i="4"/>
  <c r="B8" i="4"/>
  <c r="R7" i="4"/>
  <c r="O7" i="4"/>
  <c r="N7" i="4"/>
  <c r="M7" i="4"/>
  <c r="L7" i="4"/>
  <c r="K7" i="4"/>
  <c r="G7" i="4"/>
  <c r="E7" i="4"/>
  <c r="D7" i="4"/>
  <c r="C7" i="4"/>
  <c r="B7" i="4"/>
  <c r="L6" i="4"/>
  <c r="K6" i="4"/>
  <c r="G6" i="4"/>
  <c r="J6" i="4" s="1"/>
  <c r="B6" i="4"/>
  <c r="O5" i="4"/>
  <c r="N5" i="4"/>
  <c r="M5" i="4"/>
  <c r="L5" i="4"/>
  <c r="K5" i="4"/>
  <c r="B5" i="4"/>
  <c r="J8" i="3"/>
  <c r="J7" i="3"/>
  <c r="J6" i="3"/>
  <c r="J5" i="3"/>
  <c r="J3" i="3"/>
  <c r="J2" i="3"/>
  <c r="G503" i="2"/>
  <c r="I503" i="2" s="1"/>
  <c r="G502" i="2"/>
  <c r="I502" i="2" s="1"/>
  <c r="I501" i="2"/>
  <c r="G501" i="2"/>
  <c r="I500" i="2"/>
  <c r="G500" i="2"/>
  <c r="G499" i="2"/>
  <c r="I499" i="2" s="1"/>
  <c r="G498" i="2"/>
  <c r="I498" i="2" s="1"/>
  <c r="G497" i="2"/>
  <c r="I497" i="2" s="1"/>
  <c r="I496" i="2"/>
  <c r="G496" i="2"/>
  <c r="I495" i="2"/>
  <c r="G495" i="2"/>
  <c r="G494" i="2"/>
  <c r="I494" i="2" s="1"/>
  <c r="I493" i="2"/>
  <c r="G493" i="2"/>
  <c r="G492" i="2"/>
  <c r="I492" i="2" s="1"/>
  <c r="G491" i="2"/>
  <c r="I491" i="2" s="1"/>
  <c r="I490" i="2"/>
  <c r="G490" i="2"/>
  <c r="G489" i="2"/>
  <c r="I489" i="2" s="1"/>
  <c r="G488" i="2"/>
  <c r="I488" i="2" s="1"/>
  <c r="G487" i="2"/>
  <c r="I487" i="2" s="1"/>
  <c r="I486" i="2"/>
  <c r="G486" i="2"/>
  <c r="G485" i="2"/>
  <c r="I485" i="2" s="1"/>
  <c r="I484" i="2"/>
  <c r="G484" i="2"/>
  <c r="G483" i="2"/>
  <c r="I483" i="2" s="1"/>
  <c r="G482" i="2"/>
  <c r="I482" i="2" s="1"/>
  <c r="G481" i="2"/>
  <c r="I481" i="2" s="1"/>
  <c r="I480" i="2"/>
  <c r="G480" i="2"/>
  <c r="G479" i="2"/>
  <c r="I479" i="2" s="1"/>
  <c r="I478" i="2"/>
  <c r="G478" i="2"/>
  <c r="G477" i="2"/>
  <c r="I477" i="2" s="1"/>
  <c r="G476" i="2"/>
  <c r="I476" i="2" s="1"/>
  <c r="I475" i="2"/>
  <c r="G475" i="2"/>
  <c r="G474" i="2"/>
  <c r="I474" i="2" s="1"/>
  <c r="I473" i="2"/>
  <c r="G473" i="2"/>
  <c r="G472" i="2"/>
  <c r="I472" i="2" s="1"/>
  <c r="G471" i="2"/>
  <c r="I471" i="2" s="1"/>
  <c r="I470" i="2"/>
  <c r="G470" i="2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I460" i="2"/>
  <c r="G460" i="2"/>
  <c r="I459" i="2"/>
  <c r="G459" i="2"/>
  <c r="G458" i="2"/>
  <c r="I458" i="2" s="1"/>
  <c r="G457" i="2"/>
  <c r="I457" i="2" s="1"/>
  <c r="G456" i="2"/>
  <c r="I456" i="2" s="1"/>
  <c r="I455" i="2"/>
  <c r="G455" i="2"/>
  <c r="I454" i="2"/>
  <c r="G454" i="2"/>
  <c r="G453" i="2"/>
  <c r="I453" i="2" s="1"/>
  <c r="G452" i="2"/>
  <c r="I452" i="2" s="1"/>
  <c r="G451" i="2"/>
  <c r="I451" i="2" s="1"/>
  <c r="I450" i="2"/>
  <c r="G450" i="2"/>
  <c r="G449" i="2"/>
  <c r="I449" i="2" s="1"/>
  <c r="G448" i="2"/>
  <c r="I448" i="2" s="1"/>
  <c r="G447" i="2"/>
  <c r="I447" i="2" s="1"/>
  <c r="I446" i="2"/>
  <c r="G446" i="2"/>
  <c r="G445" i="2"/>
  <c r="I445" i="2" s="1"/>
  <c r="I444" i="2"/>
  <c r="G444" i="2"/>
  <c r="G443" i="2"/>
  <c r="I443" i="2" s="1"/>
  <c r="G442" i="2"/>
  <c r="I442" i="2" s="1"/>
  <c r="G441" i="2"/>
  <c r="I441" i="2" s="1"/>
  <c r="I440" i="2"/>
  <c r="G440" i="2"/>
  <c r="I439" i="2"/>
  <c r="G439" i="2"/>
  <c r="I438" i="2"/>
  <c r="G438" i="2"/>
  <c r="G437" i="2"/>
  <c r="I437" i="2" s="1"/>
  <c r="G436" i="2"/>
  <c r="I436" i="2" s="1"/>
  <c r="I435" i="2"/>
  <c r="G435" i="2"/>
  <c r="G434" i="2"/>
  <c r="I434" i="2" s="1"/>
  <c r="I433" i="2"/>
  <c r="G433" i="2"/>
  <c r="G432" i="2"/>
  <c r="I432" i="2" s="1"/>
  <c r="G431" i="2"/>
  <c r="I431" i="2" s="1"/>
  <c r="I430" i="2"/>
  <c r="G430" i="2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I420" i="2"/>
  <c r="G420" i="2"/>
  <c r="G419" i="2"/>
  <c r="I419" i="2" s="1"/>
  <c r="I418" i="2"/>
  <c r="G418" i="2"/>
  <c r="G417" i="2"/>
  <c r="I417" i="2" s="1"/>
  <c r="G416" i="2"/>
  <c r="I416" i="2" s="1"/>
  <c r="G415" i="2"/>
  <c r="I415" i="2" s="1"/>
  <c r="I414" i="2"/>
  <c r="G414" i="2"/>
  <c r="G413" i="2"/>
  <c r="I413" i="2" s="1"/>
  <c r="I412" i="2"/>
  <c r="G412" i="2"/>
  <c r="G411" i="2"/>
  <c r="I411" i="2" s="1"/>
  <c r="I410" i="2"/>
  <c r="G410" i="2"/>
  <c r="G409" i="2"/>
  <c r="I409" i="2" s="1"/>
  <c r="G408" i="2"/>
  <c r="I408" i="2" s="1"/>
  <c r="G407" i="2"/>
  <c r="I407" i="2" s="1"/>
  <c r="I406" i="2"/>
  <c r="G406" i="2"/>
  <c r="G405" i="2"/>
  <c r="I405" i="2" s="1"/>
  <c r="G404" i="2"/>
  <c r="I404" i="2" s="1"/>
  <c r="G403" i="2"/>
  <c r="I403" i="2" s="1"/>
  <c r="I402" i="2"/>
  <c r="G402" i="2"/>
  <c r="G401" i="2"/>
  <c r="I401" i="2" s="1"/>
  <c r="I400" i="2"/>
  <c r="G400" i="2"/>
  <c r="I399" i="2"/>
  <c r="G399" i="2"/>
  <c r="G398" i="2"/>
  <c r="I398" i="2" s="1"/>
  <c r="G397" i="2"/>
  <c r="I397" i="2" s="1"/>
  <c r="I396" i="2"/>
  <c r="G396" i="2"/>
  <c r="G395" i="2"/>
  <c r="I395" i="2" s="1"/>
  <c r="G394" i="2"/>
  <c r="I394" i="2" s="1"/>
  <c r="G393" i="2"/>
  <c r="I393" i="2" s="1"/>
  <c r="G392" i="2"/>
  <c r="I392" i="2" s="1"/>
  <c r="I391" i="2"/>
  <c r="G391" i="2"/>
  <c r="I390" i="2"/>
  <c r="G390" i="2"/>
  <c r="G389" i="2"/>
  <c r="I389" i="2" s="1"/>
  <c r="I388" i="2"/>
  <c r="G388" i="2"/>
  <c r="G387" i="2"/>
  <c r="I387" i="2" s="1"/>
  <c r="G386" i="2"/>
  <c r="I386" i="2" s="1"/>
  <c r="I385" i="2"/>
  <c r="G385" i="2"/>
  <c r="G384" i="2"/>
  <c r="I384" i="2" s="1"/>
  <c r="G383" i="2"/>
  <c r="I383" i="2" s="1"/>
  <c r="G382" i="2"/>
  <c r="I382" i="2" s="1"/>
  <c r="G381" i="2"/>
  <c r="I381" i="2" s="1"/>
  <c r="I380" i="2"/>
  <c r="G380" i="2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I370" i="2"/>
  <c r="G370" i="2"/>
  <c r="G369" i="2"/>
  <c r="I369" i="2" s="1"/>
  <c r="G368" i="2"/>
  <c r="I368" i="2" s="1"/>
  <c r="G367" i="2"/>
  <c r="I367" i="2" s="1"/>
  <c r="G366" i="2"/>
  <c r="I366" i="2" s="1"/>
  <c r="G365" i="2"/>
  <c r="I365" i="2" s="1"/>
  <c r="I364" i="2"/>
  <c r="G364" i="2"/>
  <c r="G363" i="2"/>
  <c r="I363" i="2" s="1"/>
  <c r="G362" i="2"/>
  <c r="I362" i="2" s="1"/>
  <c r="G361" i="2"/>
  <c r="I361" i="2" s="1"/>
  <c r="I360" i="2"/>
  <c r="G360" i="2"/>
  <c r="G359" i="2"/>
  <c r="I359" i="2" s="1"/>
  <c r="G358" i="2"/>
  <c r="I358" i="2" s="1"/>
  <c r="G357" i="2"/>
  <c r="I357" i="2" s="1"/>
  <c r="G356" i="2"/>
  <c r="I356" i="2" s="1"/>
  <c r="G355" i="2"/>
  <c r="I355" i="2" s="1"/>
  <c r="I354" i="2"/>
  <c r="G354" i="2"/>
  <c r="G353" i="2"/>
  <c r="I353" i="2" s="1"/>
  <c r="G352" i="2"/>
  <c r="I352" i="2" s="1"/>
  <c r="G351" i="2"/>
  <c r="I351" i="2" s="1"/>
  <c r="I350" i="2"/>
  <c r="G350" i="2"/>
  <c r="I349" i="2"/>
  <c r="G349" i="2"/>
  <c r="G348" i="2"/>
  <c r="I348" i="2" s="1"/>
  <c r="G347" i="2"/>
  <c r="I347" i="2" s="1"/>
  <c r="I346" i="2"/>
  <c r="G346" i="2"/>
  <c r="G345" i="2"/>
  <c r="I345" i="2" s="1"/>
  <c r="G344" i="2"/>
  <c r="I344" i="2" s="1"/>
  <c r="I343" i="2"/>
  <c r="G343" i="2"/>
  <c r="G342" i="2"/>
  <c r="I342" i="2" s="1"/>
  <c r="G341" i="2"/>
  <c r="I341" i="2" s="1"/>
  <c r="I340" i="2"/>
  <c r="G340" i="2"/>
  <c r="G339" i="2"/>
  <c r="I339" i="2" s="1"/>
  <c r="G338" i="2"/>
  <c r="I338" i="2" s="1"/>
  <c r="G337" i="2"/>
  <c r="I337" i="2" s="1"/>
  <c r="G336" i="2"/>
  <c r="I336" i="2" s="1"/>
  <c r="I335" i="2"/>
  <c r="G335" i="2"/>
  <c r="G334" i="2"/>
  <c r="I334" i="2" s="1"/>
  <c r="G333" i="2"/>
  <c r="I333" i="2" s="1"/>
  <c r="G332" i="2"/>
  <c r="I332" i="2" s="1"/>
  <c r="I331" i="2"/>
  <c r="G331" i="2"/>
  <c r="I330" i="2"/>
  <c r="G330" i="2"/>
  <c r="G329" i="2"/>
  <c r="I329" i="2" s="1"/>
  <c r="I328" i="2"/>
  <c r="G328" i="2"/>
  <c r="G327" i="2"/>
  <c r="I327" i="2" s="1"/>
  <c r="I326" i="2"/>
  <c r="G326" i="2"/>
  <c r="G325" i="2"/>
  <c r="I325" i="2" s="1"/>
  <c r="G324" i="2"/>
  <c r="I324" i="2" s="1"/>
  <c r="G323" i="2"/>
  <c r="I323" i="2" s="1"/>
  <c r="I322" i="2"/>
  <c r="G322" i="2"/>
  <c r="G321" i="2"/>
  <c r="I321" i="2" s="1"/>
  <c r="I320" i="2"/>
  <c r="G320" i="2"/>
  <c r="G319" i="2"/>
  <c r="I319" i="2" s="1"/>
  <c r="G318" i="2"/>
  <c r="I318" i="2" s="1"/>
  <c r="G317" i="2"/>
  <c r="I317" i="2" s="1"/>
  <c r="I316" i="2"/>
  <c r="G316" i="2"/>
  <c r="I315" i="2"/>
  <c r="G315" i="2"/>
  <c r="G314" i="2"/>
  <c r="I314" i="2" s="1"/>
  <c r="G313" i="2"/>
  <c r="I313" i="2" s="1"/>
  <c r="G312" i="2"/>
  <c r="I312" i="2" s="1"/>
  <c r="G311" i="2"/>
  <c r="I311" i="2" s="1"/>
  <c r="I310" i="2"/>
  <c r="G310" i="2"/>
  <c r="I309" i="2"/>
  <c r="G309" i="2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I302" i="2"/>
  <c r="G302" i="2"/>
  <c r="I301" i="2"/>
  <c r="G301" i="2"/>
  <c r="I300" i="2"/>
  <c r="G300" i="2"/>
  <c r="I299" i="2"/>
  <c r="G299" i="2"/>
  <c r="I298" i="2"/>
  <c r="G298" i="2"/>
  <c r="G297" i="2"/>
  <c r="I297" i="2" s="1"/>
  <c r="I296" i="2"/>
  <c r="G296" i="2"/>
  <c r="G295" i="2"/>
  <c r="I295" i="2" s="1"/>
  <c r="G294" i="2"/>
  <c r="I294" i="2" s="1"/>
  <c r="I293" i="2"/>
  <c r="G293" i="2"/>
  <c r="G292" i="2"/>
  <c r="I292" i="2" s="1"/>
  <c r="G291" i="2"/>
  <c r="I291" i="2" s="1"/>
  <c r="I290" i="2"/>
  <c r="G290" i="2"/>
  <c r="G289" i="2"/>
  <c r="I289" i="2" s="1"/>
  <c r="G288" i="2"/>
  <c r="I288" i="2" s="1"/>
  <c r="G287" i="2"/>
  <c r="I287" i="2" s="1"/>
  <c r="G286" i="2"/>
  <c r="I286" i="2" s="1"/>
  <c r="G285" i="2"/>
  <c r="I285" i="2" s="1"/>
  <c r="I284" i="2"/>
  <c r="G284" i="2"/>
  <c r="G283" i="2"/>
  <c r="I283" i="2" s="1"/>
  <c r="I282" i="2"/>
  <c r="G282" i="2"/>
  <c r="G281" i="2"/>
  <c r="I281" i="2" s="1"/>
  <c r="I280" i="2"/>
  <c r="G280" i="2"/>
  <c r="G279" i="2"/>
  <c r="I279" i="2" s="1"/>
  <c r="G278" i="2"/>
  <c r="I278" i="2" s="1"/>
  <c r="G277" i="2"/>
  <c r="I277" i="2" s="1"/>
  <c r="G276" i="2"/>
  <c r="I276" i="2" s="1"/>
  <c r="I275" i="2"/>
  <c r="G275" i="2"/>
  <c r="G274" i="2"/>
  <c r="I274" i="2" s="1"/>
  <c r="G273" i="2"/>
  <c r="I273" i="2" s="1"/>
  <c r="I272" i="2"/>
  <c r="G272" i="2"/>
  <c r="I271" i="2"/>
  <c r="G271" i="2"/>
  <c r="I270" i="2"/>
  <c r="G270" i="2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I260" i="2"/>
  <c r="G260" i="2"/>
  <c r="I259" i="2"/>
  <c r="G259" i="2"/>
  <c r="G258" i="2"/>
  <c r="I258" i="2" s="1"/>
  <c r="G257" i="2"/>
  <c r="I257" i="2" s="1"/>
  <c r="I256" i="2"/>
  <c r="G256" i="2"/>
  <c r="G255" i="2"/>
  <c r="I255" i="2" s="1"/>
  <c r="I254" i="2"/>
  <c r="G254" i="2"/>
  <c r="I253" i="2"/>
  <c r="G253" i="2"/>
  <c r="G252" i="2"/>
  <c r="I252" i="2" s="1"/>
  <c r="G251" i="2"/>
  <c r="I251" i="2" s="1"/>
  <c r="I250" i="2"/>
  <c r="G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I240" i="2"/>
  <c r="G240" i="2"/>
  <c r="G239" i="2"/>
  <c r="I239" i="2" s="1"/>
  <c r="I238" i="2"/>
  <c r="G238" i="2"/>
  <c r="G237" i="2"/>
  <c r="I237" i="2" s="1"/>
  <c r="G236" i="2"/>
  <c r="I236" i="2" s="1"/>
  <c r="G235" i="2"/>
  <c r="I235" i="2" s="1"/>
  <c r="G234" i="2"/>
  <c r="I234" i="2" s="1"/>
  <c r="I233" i="2"/>
  <c r="G233" i="2"/>
  <c r="G232" i="2"/>
  <c r="I232" i="2" s="1"/>
  <c r="I231" i="2"/>
  <c r="G231" i="2"/>
  <c r="I230" i="2"/>
  <c r="G230" i="2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I223" i="2"/>
  <c r="G223" i="2"/>
  <c r="G222" i="2"/>
  <c r="I222" i="2" s="1"/>
  <c r="G221" i="2"/>
  <c r="I221" i="2" s="1"/>
  <c r="I220" i="2"/>
  <c r="G220" i="2"/>
  <c r="G219" i="2"/>
  <c r="I219" i="2" s="1"/>
  <c r="G218" i="2"/>
  <c r="I218" i="2" s="1"/>
  <c r="G217" i="2"/>
  <c r="I217" i="2" s="1"/>
  <c r="G216" i="2"/>
  <c r="I216" i="2" s="1"/>
  <c r="G215" i="2"/>
  <c r="I215" i="2" s="1"/>
  <c r="I214" i="2"/>
  <c r="G214" i="2"/>
  <c r="G213" i="2"/>
  <c r="I213" i="2" s="1"/>
  <c r="I212" i="2"/>
  <c r="G212" i="2"/>
  <c r="G211" i="2"/>
  <c r="I211" i="2" s="1"/>
  <c r="I210" i="2"/>
  <c r="G210" i="2"/>
  <c r="G209" i="2"/>
  <c r="I209" i="2" s="1"/>
  <c r="G208" i="2"/>
  <c r="I208" i="2" s="1"/>
  <c r="G207" i="2"/>
  <c r="I207" i="2" s="1"/>
  <c r="I206" i="2"/>
  <c r="G206" i="2"/>
  <c r="G205" i="2"/>
  <c r="I205" i="2" s="1"/>
  <c r="G204" i="2"/>
  <c r="I204" i="2" s="1"/>
  <c r="I203" i="2"/>
  <c r="G203" i="2"/>
  <c r="G202" i="2"/>
  <c r="I202" i="2" s="1"/>
  <c r="G201" i="2"/>
  <c r="I201" i="2" s="1"/>
  <c r="I200" i="2"/>
  <c r="G200" i="2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I191" i="2"/>
  <c r="G191" i="2"/>
  <c r="I190" i="2"/>
  <c r="G190" i="2"/>
  <c r="G189" i="2"/>
  <c r="I189" i="2" s="1"/>
  <c r="G188" i="2"/>
  <c r="I188" i="2" s="1"/>
  <c r="G187" i="2"/>
  <c r="I187" i="2" s="1"/>
  <c r="G186" i="2"/>
  <c r="I186" i="2" s="1"/>
  <c r="I185" i="2"/>
  <c r="G185" i="2"/>
  <c r="G184" i="2"/>
  <c r="I184" i="2" s="1"/>
  <c r="G183" i="2"/>
  <c r="I183" i="2" s="1"/>
  <c r="I182" i="2"/>
  <c r="G182" i="2"/>
  <c r="I181" i="2"/>
  <c r="G181" i="2"/>
  <c r="I180" i="2"/>
  <c r="G180" i="2"/>
  <c r="I179" i="2"/>
  <c r="G179" i="2"/>
  <c r="G178" i="2"/>
  <c r="I178" i="2" s="1"/>
  <c r="G177" i="2"/>
  <c r="I177" i="2" s="1"/>
  <c r="G176" i="2"/>
  <c r="I176" i="2" s="1"/>
  <c r="I175" i="2"/>
  <c r="G175" i="2"/>
  <c r="G174" i="2"/>
  <c r="I174" i="2" s="1"/>
  <c r="G173" i="2"/>
  <c r="I173" i="2" s="1"/>
  <c r="G172" i="2"/>
  <c r="I172" i="2" s="1"/>
  <c r="I171" i="2"/>
  <c r="G171" i="2"/>
  <c r="I170" i="2"/>
  <c r="G170" i="2"/>
  <c r="G169" i="2"/>
  <c r="I169" i="2" s="1"/>
  <c r="I168" i="2"/>
  <c r="G168" i="2"/>
  <c r="G167" i="2"/>
  <c r="I167" i="2" s="1"/>
  <c r="I166" i="2"/>
  <c r="G166" i="2"/>
  <c r="I165" i="2"/>
  <c r="G165" i="2"/>
  <c r="G164" i="2"/>
  <c r="I164" i="2" s="1"/>
  <c r="I163" i="2"/>
  <c r="G163" i="2"/>
  <c r="G162" i="2"/>
  <c r="I162" i="2" s="1"/>
  <c r="I161" i="2"/>
  <c r="G161" i="2"/>
  <c r="I160" i="2"/>
  <c r="G160" i="2"/>
  <c r="G159" i="2"/>
  <c r="I159" i="2" s="1"/>
  <c r="I158" i="2"/>
  <c r="G158" i="2"/>
  <c r="G157" i="2"/>
  <c r="I157" i="2" s="1"/>
  <c r="G156" i="2"/>
  <c r="I156" i="2" s="1"/>
  <c r="I155" i="2"/>
  <c r="G155" i="2"/>
  <c r="G154" i="2"/>
  <c r="I154" i="2" s="1"/>
  <c r="G153" i="2"/>
  <c r="I153" i="2" s="1"/>
  <c r="G152" i="2"/>
  <c r="I152" i="2" s="1"/>
  <c r="I151" i="2"/>
  <c r="G151" i="2"/>
  <c r="I150" i="2"/>
  <c r="G150" i="2"/>
  <c r="G149" i="2"/>
  <c r="I149" i="2" s="1"/>
  <c r="G148" i="2"/>
  <c r="I148" i="2" s="1"/>
  <c r="I147" i="2"/>
  <c r="G147" i="2"/>
  <c r="G146" i="2"/>
  <c r="I146" i="2" s="1"/>
  <c r="I145" i="2"/>
  <c r="G145" i="2"/>
  <c r="G144" i="2"/>
  <c r="I144" i="2" s="1"/>
  <c r="G143" i="2"/>
  <c r="I143" i="2" s="1"/>
  <c r="I142" i="2"/>
  <c r="G142" i="2"/>
  <c r="I141" i="2"/>
  <c r="G141" i="2"/>
  <c r="I140" i="2"/>
  <c r="G140" i="2"/>
  <c r="G139" i="2"/>
  <c r="I139" i="2" s="1"/>
  <c r="G138" i="2"/>
  <c r="I138" i="2" s="1"/>
  <c r="G137" i="2"/>
  <c r="I137" i="2" s="1"/>
  <c r="G136" i="2"/>
  <c r="I136" i="2" s="1"/>
  <c r="I135" i="2"/>
  <c r="G135" i="2"/>
  <c r="G134" i="2"/>
  <c r="I134" i="2" s="1"/>
  <c r="G133" i="2"/>
  <c r="I133" i="2" s="1"/>
  <c r="G132" i="2"/>
  <c r="I132" i="2" s="1"/>
  <c r="I131" i="2"/>
  <c r="G131" i="2"/>
  <c r="I130" i="2"/>
  <c r="G130" i="2"/>
  <c r="G129" i="2"/>
  <c r="I129" i="2" s="1"/>
  <c r="G128" i="2"/>
  <c r="I128" i="2" s="1"/>
  <c r="G127" i="2"/>
  <c r="I127" i="2" s="1"/>
  <c r="I126" i="2"/>
  <c r="G126" i="2"/>
  <c r="I125" i="2"/>
  <c r="G125" i="2"/>
  <c r="G124" i="2"/>
  <c r="I124" i="2" s="1"/>
  <c r="G123" i="2"/>
  <c r="I123" i="2" s="1"/>
  <c r="G122" i="2"/>
  <c r="I122" i="2" s="1"/>
  <c r="I121" i="2"/>
  <c r="G121" i="2"/>
  <c r="I120" i="2"/>
  <c r="G120" i="2"/>
  <c r="G119" i="2"/>
  <c r="I119" i="2" s="1"/>
  <c r="I118" i="2"/>
  <c r="G118" i="2"/>
  <c r="G117" i="2"/>
  <c r="I117" i="2" s="1"/>
  <c r="G116" i="2"/>
  <c r="I116" i="2" s="1"/>
  <c r="I115" i="2"/>
  <c r="G115" i="2"/>
  <c r="G114" i="2"/>
  <c r="I114" i="2" s="1"/>
  <c r="I113" i="2"/>
  <c r="G113" i="2"/>
  <c r="G112" i="2"/>
  <c r="I112" i="2" s="1"/>
  <c r="I111" i="2"/>
  <c r="G111" i="2"/>
  <c r="I110" i="2"/>
  <c r="G110" i="2"/>
  <c r="G109" i="2"/>
  <c r="I109" i="2" s="1"/>
  <c r="G108" i="2"/>
  <c r="I108" i="2" s="1"/>
  <c r="I107" i="2"/>
  <c r="G107" i="2"/>
  <c r="G106" i="2"/>
  <c r="I106" i="2" s="1"/>
  <c r="I105" i="2"/>
  <c r="G105" i="2"/>
  <c r="G104" i="2"/>
  <c r="I104" i="2" s="1"/>
  <c r="G103" i="2"/>
  <c r="I103" i="2" s="1"/>
  <c r="G102" i="2"/>
  <c r="I102" i="2" s="1"/>
  <c r="I101" i="2"/>
  <c r="G101" i="2"/>
  <c r="I100" i="2"/>
  <c r="G100" i="2"/>
  <c r="G99" i="2"/>
  <c r="I99" i="2" s="1"/>
  <c r="I98" i="2"/>
  <c r="G98" i="2"/>
  <c r="G97" i="2"/>
  <c r="I97" i="2" s="1"/>
  <c r="G96" i="2"/>
  <c r="I96" i="2" s="1"/>
  <c r="I95" i="2"/>
  <c r="G95" i="2"/>
  <c r="G94" i="2"/>
  <c r="I94" i="2" s="1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G87" i="2"/>
  <c r="I87" i="2" s="1"/>
  <c r="I86" i="2"/>
  <c r="G86" i="2"/>
  <c r="I85" i="2"/>
  <c r="G85" i="2"/>
  <c r="G84" i="2"/>
  <c r="I84" i="2" s="1"/>
  <c r="G83" i="2"/>
  <c r="I83" i="2" s="1"/>
  <c r="G82" i="2"/>
  <c r="I82" i="2" s="1"/>
  <c r="I81" i="2"/>
  <c r="G81" i="2"/>
  <c r="I80" i="2"/>
  <c r="G80" i="2"/>
  <c r="I79" i="2"/>
  <c r="G79" i="2"/>
  <c r="G78" i="2"/>
  <c r="I78" i="2" s="1"/>
  <c r="I77" i="2"/>
  <c r="G77" i="2"/>
  <c r="G76" i="2"/>
  <c r="I76" i="2" s="1"/>
  <c r="I75" i="2"/>
  <c r="G75" i="2"/>
  <c r="G74" i="2"/>
  <c r="I74" i="2" s="1"/>
  <c r="I73" i="2"/>
  <c r="G73" i="2"/>
  <c r="G72" i="2"/>
  <c r="I72" i="2" s="1"/>
  <c r="I71" i="2"/>
  <c r="G71" i="2"/>
  <c r="I70" i="2"/>
  <c r="G70" i="2"/>
  <c r="G69" i="2"/>
  <c r="I69" i="2" s="1"/>
  <c r="G68" i="2"/>
  <c r="I68" i="2" s="1"/>
  <c r="G67" i="2"/>
  <c r="I67" i="2" s="1"/>
  <c r="G66" i="2"/>
  <c r="I66" i="2" s="1"/>
  <c r="I65" i="2"/>
  <c r="G65" i="2"/>
  <c r="G64" i="2"/>
  <c r="I64" i="2" s="1"/>
  <c r="G63" i="2"/>
  <c r="I63" i="2" s="1"/>
  <c r="G62" i="2"/>
  <c r="I62" i="2" s="1"/>
  <c r="I61" i="2"/>
  <c r="G61" i="2"/>
  <c r="I60" i="2"/>
  <c r="G60" i="2"/>
  <c r="G59" i="2"/>
  <c r="I59" i="2" s="1"/>
  <c r="I58" i="2"/>
  <c r="G58" i="2"/>
  <c r="G57" i="2"/>
  <c r="I57" i="2" s="1"/>
  <c r="G56" i="2"/>
  <c r="I56" i="2" s="1"/>
  <c r="I55" i="2"/>
  <c r="G55" i="2"/>
  <c r="G54" i="2"/>
  <c r="I54" i="2" s="1"/>
  <c r="I53" i="2"/>
  <c r="G53" i="2"/>
  <c r="I52" i="2"/>
  <c r="G52" i="2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F53" i="4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I30" i="2"/>
  <c r="G30" i="2"/>
  <c r="G29" i="2"/>
  <c r="I29" i="2" s="1"/>
  <c r="G28" i="2"/>
  <c r="I28" i="2" s="1"/>
  <c r="G27" i="2"/>
  <c r="I27" i="2" s="1"/>
  <c r="G26" i="2"/>
  <c r="I26" i="2" s="1"/>
  <c r="G25" i="2"/>
  <c r="I25" i="2" s="1"/>
  <c r="G24" i="2"/>
  <c r="F10" i="4" s="1"/>
  <c r="G23" i="2"/>
  <c r="I23" i="2" s="1"/>
  <c r="G22" i="2"/>
  <c r="I22" i="2" s="1"/>
  <c r="G21" i="2"/>
  <c r="I21" i="2" s="1"/>
  <c r="G19" i="2"/>
  <c r="I19" i="2" s="1"/>
  <c r="G18" i="2"/>
  <c r="I18" i="2" s="1"/>
  <c r="G17" i="2"/>
  <c r="I17" i="2" s="1"/>
  <c r="G16" i="2"/>
  <c r="G15" i="2"/>
  <c r="I15" i="2" s="1"/>
  <c r="G14" i="2"/>
  <c r="I14" i="2" s="1"/>
  <c r="G13" i="2"/>
  <c r="I13" i="2" s="1"/>
  <c r="G12" i="2"/>
  <c r="I12" i="2" s="1"/>
  <c r="G11" i="2"/>
  <c r="G10" i="2"/>
  <c r="I10" i="2" s="1"/>
  <c r="G9" i="2"/>
  <c r="I9" i="2" s="1"/>
  <c r="G8" i="2"/>
  <c r="I8" i="2" s="1"/>
  <c r="G7" i="2"/>
  <c r="I7" i="2" s="1"/>
  <c r="G6" i="2"/>
  <c r="G5" i="2"/>
  <c r="I5" i="2" s="1"/>
  <c r="G4" i="2"/>
  <c r="F13" i="4" s="1"/>
  <c r="H13" i="4" s="1"/>
  <c r="D16" i="5" l="1"/>
  <c r="G90" i="5"/>
  <c r="E89" i="5"/>
  <c r="C89" i="5" a="1"/>
  <c r="C89" i="5" s="1"/>
  <c r="C70" i="5" a="1"/>
  <c r="C70" i="5" s="1"/>
  <c r="G70" i="5"/>
  <c r="E70" i="5"/>
  <c r="G67" i="5"/>
  <c r="C67" i="5" a="1"/>
  <c r="C67" i="5" s="1"/>
  <c r="C84" i="5" a="1"/>
  <c r="C84" i="5" s="1"/>
  <c r="G84" i="5"/>
  <c r="G64" i="5"/>
  <c r="C64" i="5" a="1"/>
  <c r="C64" i="5" s="1"/>
  <c r="D74" i="5"/>
  <c r="F74" i="5" s="1"/>
  <c r="H74" i="5" s="1"/>
  <c r="C74" i="5" a="1"/>
  <c r="C74" i="5" s="1"/>
  <c r="G74" i="5"/>
  <c r="E74" i="5"/>
  <c r="E79" i="5"/>
  <c r="C79" i="5" a="1"/>
  <c r="C79" i="5" s="1"/>
  <c r="D60" i="5"/>
  <c r="C60" i="5" a="1"/>
  <c r="C60" i="5" s="1"/>
  <c r="C94" i="5" a="1"/>
  <c r="C94" i="5" s="1"/>
  <c r="C66" i="5" a="1"/>
  <c r="C66" i="5" s="1"/>
  <c r="C93" i="5" a="1"/>
  <c r="C93" i="5" s="1"/>
  <c r="C78" i="5" a="1"/>
  <c r="C78" i="5" s="1"/>
  <c r="G94" i="5"/>
  <c r="C77" i="5" a="1"/>
  <c r="C77" i="5" s="1"/>
  <c r="C62" i="5" a="1"/>
  <c r="C62" i="5" s="1"/>
  <c r="C103" i="5" a="1"/>
  <c r="C103" i="5" s="1"/>
  <c r="C102" i="5" a="1"/>
  <c r="C102" i="5" s="1"/>
  <c r="C87" i="5" a="1"/>
  <c r="C87" i="5" s="1"/>
  <c r="C72" i="5" a="1"/>
  <c r="C72" i="5" s="1"/>
  <c r="C99" i="5" a="1"/>
  <c r="C99" i="5" s="1"/>
  <c r="C83" i="5" a="1"/>
  <c r="C83" i="5" s="1"/>
  <c r="C97" i="5" a="1"/>
  <c r="C97" i="5" s="1"/>
  <c r="C82" i="5" a="1"/>
  <c r="C82" i="5" s="1"/>
  <c r="G73" i="5"/>
  <c r="E73" i="5"/>
  <c r="D75" i="5"/>
  <c r="G71" i="5"/>
  <c r="E71" i="5"/>
  <c r="D71" i="5"/>
  <c r="G85" i="5"/>
  <c r="E85" i="5"/>
  <c r="E76" i="5"/>
  <c r="D76" i="5"/>
  <c r="F76" i="5" s="1"/>
  <c r="D95" i="5"/>
  <c r="G95" i="5"/>
  <c r="G91" i="5"/>
  <c r="D91" i="5"/>
  <c r="E91" i="5"/>
  <c r="D88" i="5"/>
  <c r="E88" i="5"/>
  <c r="G88" i="5"/>
  <c r="G68" i="5"/>
  <c r="E68" i="5"/>
  <c r="D68" i="5"/>
  <c r="E96" i="5"/>
  <c r="D96" i="5"/>
  <c r="F96" i="5" s="1"/>
  <c r="G65" i="5"/>
  <c r="E65" i="5"/>
  <c r="D97" i="5"/>
  <c r="D99" i="5"/>
  <c r="G99" i="5"/>
  <c r="G79" i="5"/>
  <c r="D79" i="5"/>
  <c r="D94" i="5"/>
  <c r="F94" i="5" s="1"/>
  <c r="H94" i="5" s="1"/>
  <c r="D59" i="5"/>
  <c r="G59" i="5"/>
  <c r="E59" i="5"/>
  <c r="H96" i="5"/>
  <c r="F91" i="5"/>
  <c r="H91" i="5" s="1"/>
  <c r="F88" i="5"/>
  <c r="H88" i="5" s="1"/>
  <c r="F71" i="5"/>
  <c r="H71" i="5" s="1"/>
  <c r="E77" i="5"/>
  <c r="D80" i="5"/>
  <c r="F83" i="5"/>
  <c r="H83" i="5" s="1"/>
  <c r="E60" i="5"/>
  <c r="D63" i="5"/>
  <c r="F63" i="5" s="1"/>
  <c r="H63" i="5" s="1"/>
  <c r="F66" i="5"/>
  <c r="H66" i="5" s="1"/>
  <c r="E80" i="5"/>
  <c r="E63" i="5"/>
  <c r="D66" i="5"/>
  <c r="G77" i="5"/>
  <c r="E83" i="5"/>
  <c r="D92" i="5"/>
  <c r="G86" i="5"/>
  <c r="F89" i="5"/>
  <c r="H89" i="5" s="1"/>
  <c r="E92" i="5"/>
  <c r="G89" i="5"/>
  <c r="E95" i="5"/>
  <c r="D98" i="5"/>
  <c r="F98" i="5" s="1"/>
  <c r="H98" i="5" s="1"/>
  <c r="D61" i="5"/>
  <c r="F61" i="5" s="1"/>
  <c r="G72" i="5"/>
  <c r="F75" i="5"/>
  <c r="H75" i="5" s="1"/>
  <c r="D81" i="5"/>
  <c r="E98" i="5"/>
  <c r="E81" i="5"/>
  <c r="D84" i="5"/>
  <c r="F84" i="5" s="1"/>
  <c r="H84" i="5" s="1"/>
  <c r="E64" i="5"/>
  <c r="D67" i="5"/>
  <c r="F67" i="5" s="1"/>
  <c r="H67" i="5" s="1"/>
  <c r="G78" i="5"/>
  <c r="E84" i="5"/>
  <c r="D87" i="5"/>
  <c r="F87" i="5" s="1"/>
  <c r="H87" i="5" s="1"/>
  <c r="H95" i="5"/>
  <c r="F101" i="5"/>
  <c r="H101" i="5" s="1"/>
  <c r="G61" i="5"/>
  <c r="E67" i="5"/>
  <c r="D70" i="5"/>
  <c r="G81" i="5"/>
  <c r="E87" i="5"/>
  <c r="D90" i="5"/>
  <c r="G101" i="5"/>
  <c r="F77" i="5"/>
  <c r="H77" i="5" s="1"/>
  <c r="D83" i="5"/>
  <c r="F69" i="5"/>
  <c r="H69" i="5" s="1"/>
  <c r="F80" i="5"/>
  <c r="H80" i="5" s="1"/>
  <c r="D86" i="5"/>
  <c r="F86" i="5" s="1"/>
  <c r="H86" i="5" s="1"/>
  <c r="E103" i="5"/>
  <c r="G69" i="5"/>
  <c r="E75" i="5"/>
  <c r="D78" i="5"/>
  <c r="F78" i="5" s="1"/>
  <c r="H78" i="5" s="1"/>
  <c r="F81" i="5"/>
  <c r="H81" i="5" s="1"/>
  <c r="F92" i="5"/>
  <c r="H92" i="5" s="1"/>
  <c r="G92" i="5"/>
  <c r="F95" i="5"/>
  <c r="D101" i="5"/>
  <c r="E61" i="5"/>
  <c r="D64" i="5"/>
  <c r="F64" i="5" s="1"/>
  <c r="H64" i="5" s="1"/>
  <c r="G75" i="5"/>
  <c r="E101" i="5"/>
  <c r="G98" i="5"/>
  <c r="D73" i="5"/>
  <c r="F73" i="5" s="1"/>
  <c r="H73" i="5" s="1"/>
  <c r="E90" i="5"/>
  <c r="D93" i="5"/>
  <c r="D102" i="5"/>
  <c r="D82" i="5"/>
  <c r="F82" i="5" s="1"/>
  <c r="H82" i="5" s="1"/>
  <c r="G93" i="5"/>
  <c r="E62" i="5"/>
  <c r="D65" i="5"/>
  <c r="F65" i="5" s="1"/>
  <c r="H65" i="5" s="1"/>
  <c r="F68" i="5"/>
  <c r="H68" i="5" s="1"/>
  <c r="G76" i="5"/>
  <c r="H76" i="5" s="1"/>
  <c r="F79" i="5"/>
  <c r="H79" i="5" s="1"/>
  <c r="E82" i="5"/>
  <c r="D85" i="5"/>
  <c r="G96" i="5"/>
  <c r="F99" i="5"/>
  <c r="H99" i="5" s="1"/>
  <c r="E102" i="5"/>
  <c r="D62" i="5"/>
  <c r="F102" i="5"/>
  <c r="H102" i="5" s="1"/>
  <c r="E97" i="5"/>
  <c r="D100" i="5"/>
  <c r="F100" i="5" s="1"/>
  <c r="H100" i="5" s="1"/>
  <c r="F97" i="5"/>
  <c r="H97" i="5" s="1"/>
  <c r="E100" i="5"/>
  <c r="D103" i="5"/>
  <c r="F103" i="5" s="1"/>
  <c r="H103" i="5" s="1"/>
  <c r="G60" i="5"/>
  <c r="E66" i="5"/>
  <c r="D69" i="5"/>
  <c r="G80" i="5"/>
  <c r="E86" i="5"/>
  <c r="D89" i="5"/>
  <c r="G100" i="5"/>
  <c r="G63" i="5"/>
  <c r="E69" i="5"/>
  <c r="D72" i="5"/>
  <c r="F72" i="5" s="1"/>
  <c r="H72" i="5" s="1"/>
  <c r="G57" i="5"/>
  <c r="G54" i="5"/>
  <c r="D57" i="5"/>
  <c r="C56" i="5"/>
  <c r="D56" i="5"/>
  <c r="E56" i="5"/>
  <c r="G55" i="5"/>
  <c r="D55" i="5"/>
  <c r="G56" i="5"/>
  <c r="C54" i="5"/>
  <c r="C55" i="5"/>
  <c r="C58" i="5"/>
  <c r="E55" i="5"/>
  <c r="D54" i="5"/>
  <c r="C57" i="5"/>
  <c r="E58" i="5"/>
  <c r="D58" i="5"/>
  <c r="G58" i="5"/>
  <c r="D13" i="5"/>
  <c r="E5" i="5"/>
  <c r="G48" i="5"/>
  <c r="D30" i="5"/>
  <c r="C29" i="5"/>
  <c r="G29" i="5"/>
  <c r="G45" i="5"/>
  <c r="E9" i="5"/>
  <c r="D29" i="5"/>
  <c r="E45" i="5"/>
  <c r="G19" i="5"/>
  <c r="E48" i="5"/>
  <c r="G5" i="5"/>
  <c r="C21" i="5"/>
  <c r="E42" i="5"/>
  <c r="E28" i="5"/>
  <c r="G42" i="5"/>
  <c r="D41" i="5"/>
  <c r="E41" i="5"/>
  <c r="C41" i="5"/>
  <c r="E11" i="5"/>
  <c r="D21" i="5"/>
  <c r="E21" i="5"/>
  <c r="C5" i="5"/>
  <c r="C48" i="5"/>
  <c r="G14" i="5"/>
  <c r="D42" i="5"/>
  <c r="E15" i="5"/>
  <c r="G15" i="5"/>
  <c r="E25" i="5"/>
  <c r="E43" i="5"/>
  <c r="G25" i="5"/>
  <c r="G43" i="5"/>
  <c r="C51" i="5"/>
  <c r="D8" i="5"/>
  <c r="E8" i="5"/>
  <c r="E37" i="5"/>
  <c r="D44" i="5"/>
  <c r="E44" i="5"/>
  <c r="C25" i="5"/>
  <c r="D7" i="5"/>
  <c r="C28" i="5"/>
  <c r="G8" i="5"/>
  <c r="C9" i="5"/>
  <c r="D28" i="5"/>
  <c r="C45" i="5"/>
  <c r="C40" i="5"/>
  <c r="C9" i="6"/>
  <c r="D9" i="6"/>
  <c r="E9" i="6"/>
  <c r="F9" i="6"/>
  <c r="F7" i="4"/>
  <c r="H7" i="4" s="1"/>
  <c r="I16" i="2"/>
  <c r="F11" i="4"/>
  <c r="B14" i="7"/>
  <c r="E16" i="8"/>
  <c r="C6" i="6"/>
  <c r="F6" i="6" s="1"/>
  <c r="D6" i="6"/>
  <c r="B18" i="9"/>
  <c r="E21" i="8"/>
  <c r="J10" i="3"/>
  <c r="E5" i="8" s="1"/>
  <c r="J11" i="3"/>
  <c r="E6" i="8" s="1"/>
  <c r="I11" i="2"/>
  <c r="D11" i="5"/>
  <c r="D9" i="5"/>
  <c r="J48" i="4"/>
  <c r="I13" i="4"/>
  <c r="P13" i="4" s="1"/>
  <c r="Q13" i="4" s="1"/>
  <c r="S13" i="4" s="1"/>
  <c r="J45" i="4"/>
  <c r="P45" i="4" s="1"/>
  <c r="H12" i="4"/>
  <c r="C49" i="5"/>
  <c r="E49" i="5"/>
  <c r="G49" i="5"/>
  <c r="I32" i="4"/>
  <c r="P32" i="4" s="1"/>
  <c r="J38" i="4"/>
  <c r="J42" i="4"/>
  <c r="I17" i="4"/>
  <c r="P17" i="4" s="1"/>
  <c r="Q17" i="4" s="1"/>
  <c r="S17" i="4" s="1"/>
  <c r="J34" i="4"/>
  <c r="P34" i="4" s="1"/>
  <c r="E26" i="8"/>
  <c r="C23" i="4"/>
  <c r="D23" i="4"/>
  <c r="E23" i="4"/>
  <c r="G23" i="4"/>
  <c r="K23" i="4"/>
  <c r="L23" i="4"/>
  <c r="M23" i="4"/>
  <c r="O23" i="4"/>
  <c r="R23" i="4"/>
  <c r="J33" i="4"/>
  <c r="I33" i="4"/>
  <c r="J44" i="4"/>
  <c r="I44" i="4"/>
  <c r="E12" i="5"/>
  <c r="G12" i="5"/>
  <c r="D12" i="5"/>
  <c r="C12" i="5"/>
  <c r="G27" i="5"/>
  <c r="E27" i="5"/>
  <c r="D27" i="5"/>
  <c r="C27" i="5"/>
  <c r="G31" i="6"/>
  <c r="D31" i="6"/>
  <c r="E31" i="6"/>
  <c r="C31" i="6"/>
  <c r="I10" i="4"/>
  <c r="D18" i="4"/>
  <c r="L18" i="4"/>
  <c r="K18" i="4"/>
  <c r="E18" i="4"/>
  <c r="N18" i="4"/>
  <c r="M18" i="4"/>
  <c r="O18" i="4"/>
  <c r="G18" i="4"/>
  <c r="F18" i="4"/>
  <c r="H18" i="4" s="1"/>
  <c r="Q28" i="4"/>
  <c r="G46" i="5"/>
  <c r="C46" i="5"/>
  <c r="E46" i="5"/>
  <c r="F31" i="6"/>
  <c r="I6" i="4"/>
  <c r="C18" i="4"/>
  <c r="F26" i="4"/>
  <c r="F52" i="4"/>
  <c r="D54" i="4"/>
  <c r="S54" i="4"/>
  <c r="O54" i="4"/>
  <c r="N54" i="4"/>
  <c r="M54" i="4"/>
  <c r="E54" i="4"/>
  <c r="C54" i="4"/>
  <c r="K54" i="4"/>
  <c r="R54" i="4"/>
  <c r="Q54" i="4"/>
  <c r="L54" i="4"/>
  <c r="D46" i="5"/>
  <c r="F54" i="4"/>
  <c r="R18" i="4"/>
  <c r="F29" i="4"/>
  <c r="N29" i="4"/>
  <c r="K29" i="4"/>
  <c r="H29" i="4"/>
  <c r="D29" i="4"/>
  <c r="G29" i="4"/>
  <c r="E29" i="4"/>
  <c r="Q29" i="4"/>
  <c r="R29" i="4"/>
  <c r="O29" i="4"/>
  <c r="M29" i="4"/>
  <c r="I52" i="4"/>
  <c r="G54" i="4"/>
  <c r="E52" i="5"/>
  <c r="D52" i="5"/>
  <c r="G52" i="5"/>
  <c r="C52" i="5"/>
  <c r="J16" i="4"/>
  <c r="I16" i="4"/>
  <c r="D28" i="4"/>
  <c r="L28" i="4"/>
  <c r="G28" i="4"/>
  <c r="F28" i="4"/>
  <c r="E28" i="4"/>
  <c r="C28" i="4"/>
  <c r="N28" i="4"/>
  <c r="O28" i="4"/>
  <c r="M28" i="4"/>
  <c r="K28" i="4"/>
  <c r="H28" i="4"/>
  <c r="G6" i="5"/>
  <c r="E6" i="5"/>
  <c r="D6" i="5"/>
  <c r="C6" i="5"/>
  <c r="D51" i="5"/>
  <c r="S28" i="4"/>
  <c r="H54" i="4"/>
  <c r="F31" i="4"/>
  <c r="F40" i="4"/>
  <c r="L29" i="4"/>
  <c r="H50" i="4"/>
  <c r="F50" i="4"/>
  <c r="E50" i="4"/>
  <c r="D50" i="4"/>
  <c r="C50" i="4"/>
  <c r="G50" i="4"/>
  <c r="S50" i="4"/>
  <c r="R50" i="4"/>
  <c r="Q50" i="4"/>
  <c r="O50" i="4"/>
  <c r="N50" i="4"/>
  <c r="E36" i="5"/>
  <c r="D36" i="5"/>
  <c r="C36" i="5"/>
  <c r="G36" i="5"/>
  <c r="I6" i="2"/>
  <c r="J14" i="4"/>
  <c r="S29" i="4"/>
  <c r="C22" i="5"/>
  <c r="G22" i="5"/>
  <c r="C4" i="6"/>
  <c r="E4" i="6"/>
  <c r="F4" i="6"/>
  <c r="H30" i="4"/>
  <c r="O30" i="4"/>
  <c r="N30" i="4"/>
  <c r="M30" i="4"/>
  <c r="L30" i="4"/>
  <c r="E30" i="4"/>
  <c r="K30" i="4"/>
  <c r="G30" i="4"/>
  <c r="F30" i="4"/>
  <c r="D30" i="4"/>
  <c r="F43" i="4"/>
  <c r="K50" i="4"/>
  <c r="D22" i="5"/>
  <c r="D4" i="6"/>
  <c r="E27" i="6"/>
  <c r="G27" i="6"/>
  <c r="C27" i="6"/>
  <c r="F27" i="6"/>
  <c r="D27" i="6"/>
  <c r="J19" i="4"/>
  <c r="F27" i="4"/>
  <c r="C30" i="4"/>
  <c r="J43" i="4"/>
  <c r="I43" i="4"/>
  <c r="L50" i="4"/>
  <c r="E22" i="5"/>
  <c r="J27" i="4"/>
  <c r="I27" i="4"/>
  <c r="Q30" i="4"/>
  <c r="H36" i="4"/>
  <c r="Q36" i="4"/>
  <c r="O36" i="4"/>
  <c r="N36" i="4"/>
  <c r="K36" i="4"/>
  <c r="S36" i="4"/>
  <c r="R36" i="4"/>
  <c r="D36" i="4"/>
  <c r="M36" i="4"/>
  <c r="F36" i="4"/>
  <c r="E36" i="4"/>
  <c r="L36" i="4"/>
  <c r="G36" i="4"/>
  <c r="M50" i="4"/>
  <c r="C38" i="5"/>
  <c r="G38" i="5"/>
  <c r="E38" i="5"/>
  <c r="D38" i="5"/>
  <c r="F24" i="4"/>
  <c r="H24" i="4" s="1"/>
  <c r="G4" i="5"/>
  <c r="C4" i="5"/>
  <c r="G24" i="5"/>
  <c r="E24" i="5"/>
  <c r="D24" i="5"/>
  <c r="C24" i="5"/>
  <c r="I42" i="2"/>
  <c r="J7" i="4"/>
  <c r="I7" i="4"/>
  <c r="R20" i="4"/>
  <c r="M20" i="4"/>
  <c r="E20" i="4"/>
  <c r="D20" i="4"/>
  <c r="K20" i="4"/>
  <c r="G20" i="4"/>
  <c r="N20" i="4"/>
  <c r="L20" i="4"/>
  <c r="F20" i="4"/>
  <c r="R41" i="4"/>
  <c r="O41" i="4"/>
  <c r="N41" i="4"/>
  <c r="M41" i="4"/>
  <c r="L41" i="4"/>
  <c r="H41" i="4"/>
  <c r="F41" i="4"/>
  <c r="E41" i="4"/>
  <c r="S41" i="4"/>
  <c r="Q41" i="4"/>
  <c r="D41" i="4"/>
  <c r="C41" i="4"/>
  <c r="K41" i="4"/>
  <c r="D4" i="5"/>
  <c r="D39" i="5"/>
  <c r="C39" i="5"/>
  <c r="E39" i="5"/>
  <c r="C20" i="4"/>
  <c r="G41" i="4"/>
  <c r="F51" i="4"/>
  <c r="I53" i="4"/>
  <c r="J53" i="4"/>
  <c r="E4" i="5"/>
  <c r="E17" i="5"/>
  <c r="D17" i="5"/>
  <c r="C17" i="5"/>
  <c r="J15" i="4"/>
  <c r="I15" i="4"/>
  <c r="O20" i="4"/>
  <c r="G17" i="5"/>
  <c r="G39" i="5"/>
  <c r="R25" i="4"/>
  <c r="F25" i="4"/>
  <c r="Q25" i="4"/>
  <c r="O25" i="4"/>
  <c r="N25" i="4"/>
  <c r="K25" i="4"/>
  <c r="L25" i="4"/>
  <c r="H25" i="4"/>
  <c r="G25" i="4"/>
  <c r="E25" i="4"/>
  <c r="D25" i="4"/>
  <c r="M25" i="4"/>
  <c r="E31" i="5"/>
  <c r="C25" i="4"/>
  <c r="F37" i="4"/>
  <c r="C18" i="5"/>
  <c r="G18" i="5"/>
  <c r="E18" i="5"/>
  <c r="D18" i="5"/>
  <c r="C31" i="5"/>
  <c r="S25" i="4"/>
  <c r="J37" i="4"/>
  <c r="I37" i="4"/>
  <c r="D31" i="5"/>
  <c r="L16" i="4"/>
  <c r="R16" i="4"/>
  <c r="F16" i="4"/>
  <c r="E16" i="4"/>
  <c r="D16" i="4"/>
  <c r="H26" i="4"/>
  <c r="S26" i="4"/>
  <c r="R26" i="4"/>
  <c r="O26" i="4"/>
  <c r="G26" i="4"/>
  <c r="K26" i="4"/>
  <c r="Q26" i="4"/>
  <c r="N26" i="4"/>
  <c r="G26" i="5"/>
  <c r="E26" i="5"/>
  <c r="D26" i="5"/>
  <c r="G31" i="5"/>
  <c r="D8" i="4"/>
  <c r="L8" i="4"/>
  <c r="M8" i="4"/>
  <c r="O8" i="4"/>
  <c r="G8" i="4"/>
  <c r="F8" i="4"/>
  <c r="E8" i="4"/>
  <c r="C8" i="4"/>
  <c r="R8" i="4"/>
  <c r="C16" i="4"/>
  <c r="H21" i="4"/>
  <c r="C26" i="4"/>
  <c r="F39" i="4"/>
  <c r="N39" i="4"/>
  <c r="G39" i="4"/>
  <c r="E39" i="4"/>
  <c r="D39" i="4"/>
  <c r="C39" i="4"/>
  <c r="O39" i="4"/>
  <c r="M39" i="4"/>
  <c r="S39" i="4"/>
  <c r="R39" i="4"/>
  <c r="Q39" i="4"/>
  <c r="H39" i="4"/>
  <c r="F44" i="4"/>
  <c r="I49" i="4"/>
  <c r="C26" i="5"/>
  <c r="D24" i="4"/>
  <c r="M24" i="4"/>
  <c r="L24" i="4"/>
  <c r="K24" i="4"/>
  <c r="G24" i="4"/>
  <c r="O24" i="4"/>
  <c r="E21" i="6"/>
  <c r="G21" i="6"/>
  <c r="R5" i="4"/>
  <c r="F5" i="4"/>
  <c r="G5" i="4"/>
  <c r="E5" i="4"/>
  <c r="D5" i="4"/>
  <c r="D14" i="4"/>
  <c r="H14" i="4" s="1"/>
  <c r="N14" i="4"/>
  <c r="K14" i="4"/>
  <c r="R14" i="4"/>
  <c r="C24" i="4"/>
  <c r="H46" i="4"/>
  <c r="M46" i="4"/>
  <c r="L46" i="4"/>
  <c r="K46" i="4"/>
  <c r="F46" i="4"/>
  <c r="O46" i="4"/>
  <c r="N46" i="4"/>
  <c r="R46" i="4"/>
  <c r="Q46" i="4"/>
  <c r="G46" i="4"/>
  <c r="G10" i="5"/>
  <c r="D10" i="5"/>
  <c r="E10" i="5"/>
  <c r="E16" i="5"/>
  <c r="G16" i="5"/>
  <c r="E33" i="5"/>
  <c r="G33" i="5"/>
  <c r="D33" i="5"/>
  <c r="C33" i="5"/>
  <c r="D8" i="6"/>
  <c r="C8" i="6"/>
  <c r="F8" i="6" s="1"/>
  <c r="C21" i="6"/>
  <c r="C5" i="4"/>
  <c r="C14" i="4"/>
  <c r="E24" i="4"/>
  <c r="J31" i="4"/>
  <c r="I31" i="4"/>
  <c r="C46" i="4"/>
  <c r="C10" i="5"/>
  <c r="C16" i="5"/>
  <c r="G34" i="5"/>
  <c r="D34" i="5"/>
  <c r="C34" i="5"/>
  <c r="E34" i="5"/>
  <c r="E8" i="6"/>
  <c r="C14" i="6"/>
  <c r="G14" i="6"/>
  <c r="D14" i="6"/>
  <c r="D21" i="6"/>
  <c r="E23" i="6"/>
  <c r="G23" i="6"/>
  <c r="F23" i="6"/>
  <c r="D23" i="6"/>
  <c r="C23" i="6"/>
  <c r="J21" i="4"/>
  <c r="I21" i="4"/>
  <c r="E17" i="6"/>
  <c r="D17" i="6"/>
  <c r="G17" i="6"/>
  <c r="F17" i="6"/>
  <c r="F19" i="4"/>
  <c r="N19" i="4"/>
  <c r="O19" i="4"/>
  <c r="M19" i="4"/>
  <c r="L19" i="4"/>
  <c r="K19" i="4"/>
  <c r="J47" i="4"/>
  <c r="I47" i="4"/>
  <c r="C17" i="6"/>
  <c r="E6" i="4"/>
  <c r="O6" i="4"/>
  <c r="N6" i="4"/>
  <c r="D6" i="4"/>
  <c r="R6" i="4"/>
  <c r="M6" i="4"/>
  <c r="F6" i="4"/>
  <c r="C6" i="4"/>
  <c r="R15" i="4"/>
  <c r="F15" i="4"/>
  <c r="H15" i="4" s="1"/>
  <c r="O15" i="4"/>
  <c r="N15" i="4"/>
  <c r="E15" i="4"/>
  <c r="K15" i="4"/>
  <c r="C19" i="4"/>
  <c r="E13" i="5"/>
  <c r="G13" i="5"/>
  <c r="G18" i="6"/>
  <c r="F18" i="6"/>
  <c r="E18" i="6"/>
  <c r="D18" i="6"/>
  <c r="C18" i="6"/>
  <c r="F9" i="4"/>
  <c r="N9" i="4"/>
  <c r="G9" i="4"/>
  <c r="E9" i="4"/>
  <c r="E32" i="5"/>
  <c r="G32" i="5"/>
  <c r="C32" i="5"/>
  <c r="G53" i="5"/>
  <c r="E53" i="5"/>
  <c r="D53" i="5"/>
  <c r="C9" i="4"/>
  <c r="L12" i="4"/>
  <c r="G12" i="4"/>
  <c r="M12" i="4"/>
  <c r="D32" i="5"/>
  <c r="F34" i="4"/>
  <c r="F23" i="4"/>
  <c r="H23" i="4" s="1"/>
  <c r="D49" i="5"/>
  <c r="F47" i="4"/>
  <c r="F33" i="4"/>
  <c r="F38" i="4"/>
  <c r="G20" i="5"/>
  <c r="E20" i="5"/>
  <c r="D20" i="5"/>
  <c r="I4" i="2"/>
  <c r="M9" i="4"/>
  <c r="L42" i="4"/>
  <c r="S42" i="4"/>
  <c r="R42" i="4"/>
  <c r="Q42" i="4"/>
  <c r="M42" i="4"/>
  <c r="F42" i="4"/>
  <c r="C20" i="5"/>
  <c r="O9" i="4"/>
  <c r="R11" i="4"/>
  <c r="C11" i="4"/>
  <c r="G11" i="4"/>
  <c r="L22" i="4"/>
  <c r="F22" i="4"/>
  <c r="E22" i="4"/>
  <c r="D22" i="4"/>
  <c r="C22" i="4"/>
  <c r="N22" i="4"/>
  <c r="F32" i="4"/>
  <c r="R35" i="4"/>
  <c r="F35" i="4"/>
  <c r="M35" i="4"/>
  <c r="L35" i="4"/>
  <c r="K35" i="4"/>
  <c r="G35" i="4"/>
  <c r="D35" i="4"/>
  <c r="C35" i="4"/>
  <c r="H40" i="4"/>
  <c r="K40" i="4"/>
  <c r="G40" i="4"/>
  <c r="D40" i="4"/>
  <c r="N40" i="4"/>
  <c r="C42" i="4"/>
  <c r="F48" i="4"/>
  <c r="D35" i="5"/>
  <c r="G35" i="5"/>
  <c r="F25" i="6"/>
  <c r="E25" i="6"/>
  <c r="D25" i="6"/>
  <c r="D11" i="4"/>
  <c r="G22" i="4"/>
  <c r="E35" i="4"/>
  <c r="C40" i="4"/>
  <c r="D42" i="4"/>
  <c r="L52" i="4"/>
  <c r="O52" i="4"/>
  <c r="N52" i="4"/>
  <c r="M52" i="4"/>
  <c r="K52" i="4"/>
  <c r="H52" i="4"/>
  <c r="R52" i="4"/>
  <c r="Q52" i="4"/>
  <c r="C35" i="5"/>
  <c r="C25" i="6"/>
  <c r="R51" i="4"/>
  <c r="K51" i="4"/>
  <c r="H51" i="4"/>
  <c r="G51" i="4"/>
  <c r="D51" i="4"/>
  <c r="D19" i="5"/>
  <c r="G23" i="5"/>
  <c r="E23" i="5"/>
  <c r="D23" i="5"/>
  <c r="F5" i="6"/>
  <c r="E5" i="6"/>
  <c r="D5" i="6"/>
  <c r="H10" i="4"/>
  <c r="D48" i="4"/>
  <c r="L48" i="4"/>
  <c r="S48" i="4"/>
  <c r="R48" i="4"/>
  <c r="Q48" i="4"/>
  <c r="N48" i="4"/>
  <c r="C51" i="4"/>
  <c r="G7" i="5"/>
  <c r="C7" i="5"/>
  <c r="C15" i="5"/>
  <c r="C19" i="5"/>
  <c r="C23" i="5"/>
  <c r="C5" i="6"/>
  <c r="R31" i="4"/>
  <c r="S31" i="4"/>
  <c r="Q31" i="4"/>
  <c r="M31" i="4"/>
  <c r="Q51" i="4"/>
  <c r="C31" i="4"/>
  <c r="S51" i="4"/>
  <c r="G51" i="5"/>
  <c r="G30" i="6"/>
  <c r="C30" i="6"/>
  <c r="G10" i="6"/>
  <c r="C10" i="6"/>
  <c r="Q32" i="4"/>
  <c r="R45" i="4"/>
  <c r="F45" i="4"/>
  <c r="D43" i="5"/>
  <c r="F10" i="6"/>
  <c r="F15" i="6"/>
  <c r="E15" i="6"/>
  <c r="D15" i="6"/>
  <c r="G28" i="6"/>
  <c r="F28" i="6"/>
  <c r="G50" i="5"/>
  <c r="C11" i="6"/>
  <c r="C15" i="6"/>
  <c r="C28" i="6"/>
  <c r="D40" i="5"/>
  <c r="G47" i="5"/>
  <c r="C50" i="5"/>
  <c r="C7" i="6"/>
  <c r="E7" i="6" s="1"/>
  <c r="D11" i="6"/>
  <c r="G15" i="6"/>
  <c r="D28" i="6"/>
  <c r="C14" i="5"/>
  <c r="C47" i="5"/>
  <c r="D50" i="5"/>
  <c r="D7" i="6"/>
  <c r="E11" i="6"/>
  <c r="G20" i="6"/>
  <c r="C20" i="6"/>
  <c r="D24" i="6"/>
  <c r="E28" i="6"/>
  <c r="C44" i="4"/>
  <c r="C11" i="5"/>
  <c r="D14" i="5"/>
  <c r="G30" i="5"/>
  <c r="C37" i="5"/>
  <c r="G40" i="5"/>
  <c r="D47" i="5"/>
  <c r="E50" i="5"/>
  <c r="F11" i="6"/>
  <c r="C16" i="6"/>
  <c r="D20" i="6"/>
  <c r="E24" i="6"/>
  <c r="D38" i="4"/>
  <c r="L38" i="4"/>
  <c r="E44" i="4"/>
  <c r="F49" i="4"/>
  <c r="N49" i="4"/>
  <c r="C30" i="5"/>
  <c r="D37" i="5"/>
  <c r="C44" i="5"/>
  <c r="E47" i="5"/>
  <c r="D16" i="6"/>
  <c r="E20" i="6"/>
  <c r="F24" i="6"/>
  <c r="C33" i="6"/>
  <c r="C12" i="6"/>
  <c r="C22" i="6"/>
  <c r="C32" i="6"/>
  <c r="B15" i="7"/>
  <c r="H61" i="5" l="1"/>
  <c r="F62" i="5"/>
  <c r="H62" i="5" s="1"/>
  <c r="F59" i="5"/>
  <c r="F60" i="5"/>
  <c r="H60" i="5" s="1"/>
  <c r="C104" i="5"/>
  <c r="H59" i="5"/>
  <c r="E104" i="5"/>
  <c r="G104" i="5"/>
  <c r="D104" i="5"/>
  <c r="F93" i="5"/>
  <c r="H93" i="5" s="1"/>
  <c r="F70" i="5"/>
  <c r="H70" i="5" s="1"/>
  <c r="F85" i="5"/>
  <c r="H85" i="5" s="1"/>
  <c r="F90" i="5"/>
  <c r="H90" i="5" s="1"/>
  <c r="F58" i="5"/>
  <c r="H58" i="5" s="1"/>
  <c r="F57" i="5"/>
  <c r="H57" i="5" s="1"/>
  <c r="F54" i="5"/>
  <c r="H54" i="5" s="1"/>
  <c r="F55" i="5"/>
  <c r="H55" i="5" s="1"/>
  <c r="F56" i="5"/>
  <c r="H56" i="5" s="1"/>
  <c r="F13" i="5"/>
  <c r="H13" i="5" s="1"/>
  <c r="F8" i="5"/>
  <c r="H8" i="5" s="1"/>
  <c r="F16" i="5"/>
  <c r="H16" i="5" s="1"/>
  <c r="F5" i="5"/>
  <c r="H5" i="5" s="1"/>
  <c r="F43" i="5"/>
  <c r="H43" i="5" s="1"/>
  <c r="F42" i="5"/>
  <c r="H42" i="5" s="1"/>
  <c r="F30" i="5"/>
  <c r="H30" i="5" s="1"/>
  <c r="F29" i="5"/>
  <c r="H29" i="5" s="1"/>
  <c r="F10" i="5"/>
  <c r="H10" i="5" s="1"/>
  <c r="F40" i="5"/>
  <c r="H40" i="5" s="1"/>
  <c r="F15" i="5"/>
  <c r="H15" i="5" s="1"/>
  <c r="F44" i="5"/>
  <c r="H44" i="5" s="1"/>
  <c r="F14" i="5"/>
  <c r="H14" i="5" s="1"/>
  <c r="F25" i="5"/>
  <c r="H25" i="5" s="1"/>
  <c r="F41" i="5"/>
  <c r="H41" i="5" s="1"/>
  <c r="F45" i="5"/>
  <c r="H45" i="5" s="1"/>
  <c r="F21" i="5"/>
  <c r="H21" i="5" s="1"/>
  <c r="F7" i="5"/>
  <c r="H7" i="5" s="1"/>
  <c r="F35" i="5"/>
  <c r="H35" i="5" s="1"/>
  <c r="F9" i="5"/>
  <c r="H9" i="5" s="1"/>
  <c r="F28" i="5"/>
  <c r="H28" i="5" s="1"/>
  <c r="F48" i="5"/>
  <c r="H48" i="5" s="1"/>
  <c r="F12" i="5"/>
  <c r="H12" i="5" s="1"/>
  <c r="F51" i="5"/>
  <c r="H51" i="5" s="1"/>
  <c r="F37" i="5"/>
  <c r="H37" i="5" s="1"/>
  <c r="F36" i="5"/>
  <c r="H36" i="5" s="1"/>
  <c r="G9" i="6"/>
  <c r="G8" i="6"/>
  <c r="P44" i="4"/>
  <c r="H11" i="4"/>
  <c r="F11" i="5"/>
  <c r="H11" i="5" s="1"/>
  <c r="H5" i="4"/>
  <c r="F38" i="5"/>
  <c r="H38" i="5" s="1"/>
  <c r="P47" i="4"/>
  <c r="P27" i="4"/>
  <c r="F7" i="6"/>
  <c r="G7" i="6" s="1"/>
  <c r="E6" i="6"/>
  <c r="G6" i="6" s="1"/>
  <c r="P38" i="4"/>
  <c r="G4" i="6"/>
  <c r="G36" i="6" s="1"/>
  <c r="B5" i="8" s="1"/>
  <c r="G5" i="6"/>
  <c r="P49" i="4"/>
  <c r="N55" i="4"/>
  <c r="F53" i="5"/>
  <c r="H53" i="5" s="1"/>
  <c r="F32" i="5"/>
  <c r="H32" i="5" s="1"/>
  <c r="P31" i="4"/>
  <c r="P48" i="4"/>
  <c r="P42" i="4"/>
  <c r="H19" i="4"/>
  <c r="P19" i="4" s="1"/>
  <c r="Q19" i="4" s="1"/>
  <c r="S19" i="4" s="1"/>
  <c r="F34" i="5"/>
  <c r="H34" i="5" s="1"/>
  <c r="F52" i="5"/>
  <c r="H52" i="5" s="1"/>
  <c r="F50" i="5"/>
  <c r="H50" i="5" s="1"/>
  <c r="F20" i="5"/>
  <c r="H20" i="5" s="1"/>
  <c r="F27" i="5"/>
  <c r="H27" i="5" s="1"/>
  <c r="F49" i="5"/>
  <c r="H49" i="5" s="1"/>
  <c r="P14" i="4"/>
  <c r="Q14" i="4" s="1"/>
  <c r="S14" i="4" s="1"/>
  <c r="F26" i="5"/>
  <c r="H26" i="5" s="1"/>
  <c r="F33" i="5"/>
  <c r="H33" i="5" s="1"/>
  <c r="F39" i="5"/>
  <c r="H39" i="5" s="1"/>
  <c r="F46" i="5"/>
  <c r="H46" i="5" s="1"/>
  <c r="P21" i="4"/>
  <c r="Q21" i="4" s="1"/>
  <c r="S21" i="4" s="1"/>
  <c r="H9" i="4"/>
  <c r="P7" i="4"/>
  <c r="Q7" i="4" s="1"/>
  <c r="S7" i="4" s="1"/>
  <c r="F17" i="5"/>
  <c r="H17" i="5" s="1"/>
  <c r="F24" i="5"/>
  <c r="H24" i="5" s="1"/>
  <c r="H6" i="4"/>
  <c r="P6" i="4" s="1"/>
  <c r="Q6" i="4" s="1"/>
  <c r="S6" i="4" s="1"/>
  <c r="F23" i="5"/>
  <c r="H23" i="5" s="1"/>
  <c r="F6" i="5"/>
  <c r="H6" i="5" s="1"/>
  <c r="F18" i="5"/>
  <c r="H18" i="5" s="1"/>
  <c r="F31" i="5"/>
  <c r="H31" i="5" s="1"/>
  <c r="F22" i="5"/>
  <c r="H22" i="5" s="1"/>
  <c r="H20" i="4"/>
  <c r="P37" i="4"/>
  <c r="P33" i="4"/>
  <c r="P53" i="4"/>
  <c r="H16" i="4"/>
  <c r="P16" i="4" s="1"/>
  <c r="Q16" i="4" s="1"/>
  <c r="S16" i="4" s="1"/>
  <c r="P43" i="4"/>
  <c r="M55" i="4"/>
  <c r="K55" i="4"/>
  <c r="I23" i="4"/>
  <c r="J23" i="4"/>
  <c r="L55" i="4"/>
  <c r="I39" i="4"/>
  <c r="J39" i="4"/>
  <c r="P15" i="4"/>
  <c r="Q15" i="4" s="1"/>
  <c r="S15" i="4" s="1"/>
  <c r="J8" i="4"/>
  <c r="I8" i="4"/>
  <c r="J41" i="4"/>
  <c r="I41" i="4"/>
  <c r="G55" i="4"/>
  <c r="B4" i="9" s="1"/>
  <c r="J5" i="4"/>
  <c r="I5" i="4"/>
  <c r="G37" i="6"/>
  <c r="B6" i="8" s="1"/>
  <c r="J11" i="4"/>
  <c r="I11" i="4"/>
  <c r="I9" i="4"/>
  <c r="J9" i="4"/>
  <c r="B21" i="7"/>
  <c r="B25" i="7" s="1"/>
  <c r="B27" i="7" s="1"/>
  <c r="B32" i="7" s="1"/>
  <c r="R55" i="4"/>
  <c r="H8" i="4"/>
  <c r="J40" i="4"/>
  <c r="I40" i="4"/>
  <c r="J20" i="4"/>
  <c r="I20" i="4"/>
  <c r="F4" i="5"/>
  <c r="H22" i="4"/>
  <c r="E55" i="4"/>
  <c r="J54" i="4"/>
  <c r="I54" i="4"/>
  <c r="P10" i="4"/>
  <c r="Q10" i="4" s="1"/>
  <c r="S10" i="4" s="1"/>
  <c r="J46" i="4"/>
  <c r="I46" i="4"/>
  <c r="I50" i="4"/>
  <c r="J50" i="4"/>
  <c r="F55" i="4"/>
  <c r="B3" i="9" s="1"/>
  <c r="J18" i="4"/>
  <c r="I18" i="4"/>
  <c r="F47" i="5"/>
  <c r="H47" i="5" s="1"/>
  <c r="P52" i="4"/>
  <c r="J28" i="4"/>
  <c r="I28" i="4"/>
  <c r="J35" i="4"/>
  <c r="I35" i="4"/>
  <c r="J24" i="4"/>
  <c r="I24" i="4"/>
  <c r="I30" i="4"/>
  <c r="J30" i="4"/>
  <c r="J29" i="4"/>
  <c r="I29" i="4"/>
  <c r="P29" i="4" s="1"/>
  <c r="J12" i="4"/>
  <c r="I12" i="4"/>
  <c r="P12" i="4" s="1"/>
  <c r="Q12" i="4" s="1"/>
  <c r="S12" i="4" s="1"/>
  <c r="F19" i="5"/>
  <c r="H19" i="5" s="1"/>
  <c r="J22" i="4"/>
  <c r="I22" i="4"/>
  <c r="O55" i="4"/>
  <c r="J25" i="4"/>
  <c r="I25" i="4"/>
  <c r="J51" i="4"/>
  <c r="I51" i="4"/>
  <c r="I26" i="4"/>
  <c r="J26" i="4"/>
  <c r="J36" i="4"/>
  <c r="I36" i="4"/>
  <c r="P35" i="4" l="1"/>
  <c r="F104" i="5"/>
  <c r="P46" i="4"/>
  <c r="P11" i="4"/>
  <c r="Q11" i="4" s="1"/>
  <c r="S11" i="4" s="1"/>
  <c r="P36" i="4"/>
  <c r="P18" i="4"/>
  <c r="Q18" i="4" s="1"/>
  <c r="S18" i="4" s="1"/>
  <c r="G38" i="6"/>
  <c r="B7" i="8" s="1"/>
  <c r="P50" i="4"/>
  <c r="P40" i="4"/>
  <c r="P24" i="4"/>
  <c r="Q24" i="4" s="1"/>
  <c r="S24" i="4" s="1"/>
  <c r="P51" i="4"/>
  <c r="P41" i="4"/>
  <c r="P39" i="4"/>
  <c r="P28" i="4"/>
  <c r="P9" i="4"/>
  <c r="Q9" i="4" s="1"/>
  <c r="S9" i="4" s="1"/>
  <c r="P54" i="4"/>
  <c r="P25" i="4"/>
  <c r="P20" i="4"/>
  <c r="Q20" i="4" s="1"/>
  <c r="S20" i="4" s="1"/>
  <c r="P23" i="4"/>
  <c r="Q23" i="4" s="1"/>
  <c r="S23" i="4" s="1"/>
  <c r="P26" i="4"/>
  <c r="P30" i="4"/>
  <c r="J55" i="4"/>
  <c r="B26" i="8"/>
  <c r="B8" i="9"/>
  <c r="I55" i="4"/>
  <c r="P22" i="4"/>
  <c r="Q22" i="4" s="1"/>
  <c r="S22" i="4" s="1"/>
  <c r="H4" i="5"/>
  <c r="H108" i="5" s="1"/>
  <c r="P8" i="4"/>
  <c r="Q8" i="4" s="1"/>
  <c r="S8" i="4" s="1"/>
  <c r="P5" i="4"/>
  <c r="H55" i="4"/>
  <c r="H107" i="5" l="1"/>
  <c r="E8" i="8" s="1"/>
  <c r="H104" i="5"/>
  <c r="B10" i="8"/>
  <c r="B25" i="8"/>
  <c r="B27" i="8" s="1"/>
  <c r="B7" i="9"/>
  <c r="B9" i="9" s="1"/>
  <c r="P55" i="4"/>
  <c r="Q5" i="4"/>
  <c r="B11" i="9"/>
  <c r="B20" i="9" s="1"/>
  <c r="B20" i="8"/>
  <c r="B21" i="8" s="1"/>
  <c r="B10" i="9"/>
  <c r="B14" i="8"/>
  <c r="B16" i="8" s="1"/>
  <c r="B12" i="9" l="1"/>
  <c r="Q55" i="4"/>
  <c r="S5" i="4"/>
  <c r="S59" i="4" l="1"/>
  <c r="E9" i="8" s="1"/>
  <c r="E36" i="8" s="1"/>
  <c r="S58" i="4"/>
  <c r="B9" i="8" s="1"/>
  <c r="B36" i="8" s="1"/>
  <c r="S55" i="4"/>
  <c r="B3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<sst xmlns="http://schemas.openxmlformats.org/spreadsheetml/2006/main" count="1212" uniqueCount="312">
  <si>
    <t>BEPAARI MASTER</t>
  </si>
  <si>
    <t>DUKANDAR MASTER</t>
  </si>
  <si>
    <t>CAPITAL/LOAN/AMANAT</t>
  </si>
  <si>
    <t>ADVANCE PARTIES</t>
  </si>
  <si>
    <t>SETTINGS &amp; B/F BALANCES</t>
  </si>
  <si>
    <t>Sr</t>
  </si>
  <si>
    <t>Bepaari Name</t>
  </si>
  <si>
    <t>Comm%</t>
  </si>
  <si>
    <t>Flat ₹/Goat</t>
  </si>
  <si>
    <t>Opening Bal</t>
  </si>
  <si>
    <t>Phone</t>
  </si>
  <si>
    <t>Remarks</t>
  </si>
  <si>
    <t>Dukandar Name</t>
  </si>
  <si>
    <t>Party Name</t>
  </si>
  <si>
    <t>Type</t>
  </si>
  <si>
    <t>Commission Rate (%)</t>
  </si>
  <si>
    <t>ABUL HASAN</t>
  </si>
  <si>
    <t>SAKIM</t>
  </si>
  <si>
    <t>MHN CAPITAL</t>
  </si>
  <si>
    <t>CAPITAL</t>
  </si>
  <si>
    <t>KK Fixed (₹/Bepari)</t>
  </si>
  <si>
    <t>SHARAFAT</t>
  </si>
  <si>
    <t>SHARIK</t>
  </si>
  <si>
    <t>SHAKIL GHODEGAON AMANAT</t>
  </si>
  <si>
    <t>AMANAT</t>
  </si>
  <si>
    <t>JB Rate (₹/Goat)</t>
  </si>
  <si>
    <t>JUNAID</t>
  </si>
  <si>
    <t>YUNUS</t>
  </si>
  <si>
    <t>ANNU SHARIF</t>
  </si>
  <si>
    <t>MUDASSIR</t>
  </si>
  <si>
    <t>Opening Cash</t>
  </si>
  <si>
    <t>GAYYUR</t>
  </si>
  <si>
    <t>ARIF</t>
  </si>
  <si>
    <t>Opening Bank</t>
  </si>
  <si>
    <t>KISHOR</t>
  </si>
  <si>
    <t>SHOEB BYCULLA</t>
  </si>
  <si>
    <t>MAULANA</t>
  </si>
  <si>
    <t>ISLAM D</t>
  </si>
  <si>
    <t>--- LIABILITIES B/F ---</t>
  </si>
  <si>
    <t>SALIM RAJ</t>
  </si>
  <si>
    <t>MEHMOOD MADH</t>
  </si>
  <si>
    <t>JB Opening (B/F)</t>
  </si>
  <si>
    <t>ANAS RAJ</t>
  </si>
  <si>
    <t>MOBIN CHIPLUN</t>
  </si>
  <si>
    <t>KK Opening (B/F)</t>
  </si>
  <si>
    <t>AYAZ</t>
  </si>
  <si>
    <t>JALIL</t>
  </si>
  <si>
    <t>Zakat Opening (B/F)</t>
  </si>
  <si>
    <t>NEERAJ</t>
  </si>
  <si>
    <t>IRFAN JOGESHWARI</t>
  </si>
  <si>
    <t>Commission Opening (B/F)</t>
  </si>
  <si>
    <t>CHINTU SHUJALPUR</t>
  </si>
  <si>
    <t>YUNUS DOMBIVLI</t>
  </si>
  <si>
    <t>SANNA</t>
  </si>
  <si>
    <t>IFTEKHAR PUNE</t>
  </si>
  <si>
    <t>--- ASSETS B/F ---</t>
  </si>
  <si>
    <t>WAHID</t>
  </si>
  <si>
    <t>LALA/ASIF</t>
  </si>
  <si>
    <t>Mandi Exp Opening (B/F)</t>
  </si>
  <si>
    <t>MANSOOR</t>
  </si>
  <si>
    <t>JAFER KASHIMIRA</t>
  </si>
  <si>
    <t>BF Discount Opening (B/F)</t>
  </si>
  <si>
    <t>AYAZ PREVIOUS BAL</t>
  </si>
  <si>
    <t>HANIF KALAM</t>
  </si>
  <si>
    <t>MHN Personal Opening (B/F)</t>
  </si>
  <si>
    <t>SHAKIL SHUJALPUR</t>
  </si>
  <si>
    <t>SAUD K</t>
  </si>
  <si>
    <t>USMAN</t>
  </si>
  <si>
    <t>AKRAM</t>
  </si>
  <si>
    <t>VAZIR</t>
  </si>
  <si>
    <t>ISMAIL SOPARA</t>
  </si>
  <si>
    <t>ARIF CHINCHOTI</t>
  </si>
  <si>
    <t>NADEEM BHIWANDI</t>
  </si>
  <si>
    <t>GABBAR</t>
  </si>
  <si>
    <t>BABU GABBAR</t>
  </si>
  <si>
    <t>BABU TALOJA</t>
  </si>
  <si>
    <t>SHAKIL KON</t>
  </si>
  <si>
    <t>PARVEZ</t>
  </si>
  <si>
    <t>I CHO CHO</t>
  </si>
  <si>
    <t>MD VIRAR</t>
  </si>
  <si>
    <t>MAYA</t>
  </si>
  <si>
    <t>NAEEM THORPE</t>
  </si>
  <si>
    <t>CHAND</t>
  </si>
  <si>
    <t>ASIF GOREGAON</t>
  </si>
  <si>
    <t>SOHAIL MAROL</t>
  </si>
  <si>
    <t>ANEES KM</t>
  </si>
  <si>
    <t>RAFIQ AHMED HAJI</t>
  </si>
  <si>
    <t>ABP - MAJEED THANA</t>
  </si>
  <si>
    <t>ABP - MAJNU</t>
  </si>
  <si>
    <t>MEHBOOB JOG</t>
  </si>
  <si>
    <t>SIRAJ KURLA</t>
  </si>
  <si>
    <t>ZUBAIR AZEEZ</t>
  </si>
  <si>
    <t>BABBU BYC</t>
  </si>
  <si>
    <t>NAWAZ V</t>
  </si>
  <si>
    <t>LIYAQAT</t>
  </si>
  <si>
    <t>DAILY SALES (Bepaari to Dukandar)</t>
  </si>
  <si>
    <t>Date</t>
  </si>
  <si>
    <t>Bepaari</t>
  </si>
  <si>
    <t>Dukandar</t>
  </si>
  <si>
    <t>Qty</t>
  </si>
  <si>
    <t>Rate</t>
  </si>
  <si>
    <t>Gross</t>
  </si>
  <si>
    <t>Discount</t>
  </si>
  <si>
    <t>Net</t>
  </si>
  <si>
    <t>CASH BOOK (All Transactions)</t>
  </si>
  <si>
    <t>CASH/BANK SUMMARY</t>
  </si>
  <si>
    <t>Select TYPE first → Party dropdown shows relevant list</t>
  </si>
  <si>
    <t>Sub-Type</t>
  </si>
  <si>
    <t>Party</t>
  </si>
  <si>
    <t>Particulars</t>
  </si>
  <si>
    <t>Amount</t>
  </si>
  <si>
    <t>Mode</t>
  </si>
  <si>
    <t>Cash OUT</t>
  </si>
  <si>
    <t>Bank OUT</t>
  </si>
  <si>
    <t>Cash IN</t>
  </si>
  <si>
    <t>Bank IN</t>
  </si>
  <si>
    <t>CLOSING CASH</t>
  </si>
  <si>
    <t>CLOSING BANK</t>
  </si>
  <si>
    <t>BEPAARI LEDGER</t>
  </si>
  <si>
    <t>Commission = Flat ₹/Goat if set, otherwise Comm%</t>
  </si>
  <si>
    <t>Flat₹</t>
  </si>
  <si>
    <t>Opening</t>
  </si>
  <si>
    <t>Gross Sales</t>
  </si>
  <si>
    <t>Commission</t>
  </si>
  <si>
    <t>KK</t>
  </si>
  <si>
    <t>JB</t>
  </si>
  <si>
    <t>Motor</t>
  </si>
  <si>
    <t>Bhussa</t>
  </si>
  <si>
    <t>Gawali</t>
  </si>
  <si>
    <t>Cash/Adv</t>
  </si>
  <si>
    <t>Other</t>
  </si>
  <si>
    <t>Tot.Deduct</t>
  </si>
  <si>
    <t>Net Payable</t>
  </si>
  <si>
    <t>Payments</t>
  </si>
  <si>
    <t>BALANCE</t>
  </si>
  <si>
    <t>TOTAL</t>
  </si>
  <si>
    <t>For Balance Sheet:</t>
  </si>
  <si>
    <t>Bepaari Payable (we owe)</t>
  </si>
  <si>
    <t>Bepaari Overpaid (they owe)</t>
  </si>
  <si>
    <t>DUKANDAR LEDGER</t>
  </si>
  <si>
    <t>Purchases</t>
  </si>
  <si>
    <t>Discounts</t>
  </si>
  <si>
    <t>Net Receivable</t>
  </si>
  <si>
    <t>Receipts</t>
  </si>
  <si>
    <t>PATTI</t>
  </si>
  <si>
    <t>Dukandar Receivable (they owe)</t>
  </si>
  <si>
    <t>Dukandar Overpaid (we owe)</t>
  </si>
  <si>
    <t>CAPITAL &amp; LOAN LEDGER</t>
  </si>
  <si>
    <t>Taken (+)</t>
  </si>
  <si>
    <t>Withdrawn/Repaid (-)</t>
  </si>
  <si>
    <t>CURRENT BALANCE</t>
  </si>
  <si>
    <t>TOTALS BY TYPE:</t>
  </si>
  <si>
    <t>CAPITAL Total</t>
  </si>
  <si>
    <t>LOAN Total</t>
  </si>
  <si>
    <t>AMANAT Total</t>
  </si>
  <si>
    <t>BEPAARI SETTLEMENT SLIP (AAKDA)</t>
  </si>
  <si>
    <t>SELECT BEPAARI:</t>
  </si>
  <si>
    <t>A. SALES</t>
  </si>
  <si>
    <t>Qty Sold</t>
  </si>
  <si>
    <t>B. DEDUCTIONS</t>
  </si>
  <si>
    <t>Commission Type</t>
  </si>
  <si>
    <t>Commission %</t>
  </si>
  <si>
    <t>Commission Amt</t>
  </si>
  <si>
    <t>KK (Fixed)</t>
  </si>
  <si>
    <t>TOTAL DEDUCTIONS</t>
  </si>
  <si>
    <t>C. CALCULATION</t>
  </si>
  <si>
    <t>(-) Deductions</t>
  </si>
  <si>
    <t>(+) Opening Bal</t>
  </si>
  <si>
    <t>NET PAYABLE</t>
  </si>
  <si>
    <t>D. PAYMENTS</t>
  </si>
  <si>
    <t>Payments Made</t>
  </si>
  <si>
    <t>BALANCE DUE</t>
  </si>
  <si>
    <t>BALANCE SHEET</t>
  </si>
  <si>
    <t>LIABILITIES = ASSETS</t>
  </si>
  <si>
    <t>LIABILITIES (We Owe)</t>
  </si>
  <si>
    <t>ASSETS (We Have / Owed to Us)</t>
  </si>
  <si>
    <t>CASH BALANCE</t>
  </si>
  <si>
    <t>LOANS</t>
  </si>
  <si>
    <t>BANK BALANCE</t>
  </si>
  <si>
    <t>PATTI (Dukandar Receivable)</t>
  </si>
  <si>
    <t>BEPAARI PAYABLES</t>
  </si>
  <si>
    <t>BEPAARI ADVANCES (Overpaid)</t>
  </si>
  <si>
    <t>DUKANDAR ADVANCES (Overpaid)</t>
  </si>
  <si>
    <t>ADVANCES GIVEN (Net)</t>
  </si>
  <si>
    <t>JB:</t>
  </si>
  <si>
    <t xml:space="preserve">  B/F</t>
  </si>
  <si>
    <t>MANDI EXPENSES:</t>
  </si>
  <si>
    <t xml:space="preserve">  (+) Collected</t>
  </si>
  <si>
    <t xml:space="preserve">  (-) Paid</t>
  </si>
  <si>
    <t xml:space="preserve">  (+) Current</t>
  </si>
  <si>
    <t xml:space="preserve">  JB Total</t>
  </si>
  <si>
    <t xml:space="preserve">  Mandi Total</t>
  </si>
  <si>
    <t>KK:</t>
  </si>
  <si>
    <t>BF DISCOUNT:</t>
  </si>
  <si>
    <t xml:space="preserve">  KK Total</t>
  </si>
  <si>
    <t xml:space="preserve">  BF Disc Total</t>
  </si>
  <si>
    <t>COMMISSION:</t>
  </si>
  <si>
    <t>MHN PERSONAL:</t>
  </si>
  <si>
    <t xml:space="preserve">  (+) Earned</t>
  </si>
  <si>
    <t xml:space="preserve">  (+) Paid</t>
  </si>
  <si>
    <t xml:space="preserve">  (-) Discounts</t>
  </si>
  <si>
    <t xml:space="preserve">  MHN Total</t>
  </si>
  <si>
    <t xml:space="preserve">  Commission Total</t>
  </si>
  <si>
    <t>ZAKAT PAYABLE:</t>
  </si>
  <si>
    <t xml:space="preserve">  B/F + Provision - Paid</t>
  </si>
  <si>
    <t>TOTAL LIABILITIES</t>
  </si>
  <si>
    <t>TOTAL ASSETS</t>
  </si>
  <si>
    <t>DIFFERENCE (Should be 0)</t>
  </si>
  <si>
    <t>COMMISSION &amp; PROFIT SUMMARY</t>
  </si>
  <si>
    <t>GROSS SALES</t>
  </si>
  <si>
    <t>TOTAL GOATS SOLD</t>
  </si>
  <si>
    <t>INCOME:</t>
  </si>
  <si>
    <t xml:space="preserve">  Commission Earned</t>
  </si>
  <si>
    <t xml:space="preserve">  (-) Discounts Given</t>
  </si>
  <si>
    <t xml:space="preserve">  Net Commission</t>
  </si>
  <si>
    <t xml:space="preserve">  JB Collected</t>
  </si>
  <si>
    <t xml:space="preserve">  KK Collected</t>
  </si>
  <si>
    <t>TOTAL INCOME</t>
  </si>
  <si>
    <t>EXPENSES:</t>
  </si>
  <si>
    <t xml:space="preserve">  Mandi/Business</t>
  </si>
  <si>
    <t xml:space="preserve">  BF Discount</t>
  </si>
  <si>
    <t xml:space="preserve">  JB Paid</t>
  </si>
  <si>
    <t>TOTAL EXPENSES</t>
  </si>
  <si>
    <t>NET PROFIT/LOSS</t>
  </si>
  <si>
    <t>SALIM MANGROL</t>
  </si>
  <si>
    <t>SALIM MANGROL RECEIVABLE</t>
  </si>
  <si>
    <t>MUDASSIR RECEIVABLE</t>
  </si>
  <si>
    <t>KMN RECEIVABLE</t>
  </si>
  <si>
    <t>AYAAN</t>
  </si>
  <si>
    <t>JUNAID AMANAT</t>
  </si>
  <si>
    <t>SANTOSH RECEIVABLE</t>
  </si>
  <si>
    <t>SHAKIL GHODEGAON RECEIVABLE</t>
  </si>
  <si>
    <t>AYAAN RECEIVABLE</t>
  </si>
  <si>
    <t>HAKIM BOMBAY</t>
  </si>
  <si>
    <t>JUNAID KHATIK</t>
  </si>
  <si>
    <t>MANISH</t>
  </si>
  <si>
    <t>CASH SALES</t>
  </si>
  <si>
    <t>SHARIF RAJ</t>
  </si>
  <si>
    <t>MAJEED THANA</t>
  </si>
  <si>
    <t>DUKANDAR</t>
  </si>
  <si>
    <t>RECEIPT</t>
  </si>
  <si>
    <t>CASH</t>
  </si>
  <si>
    <t>BANK</t>
  </si>
  <si>
    <t>GPAY TO KMN</t>
  </si>
  <si>
    <t>GPAY TO AYAAN</t>
  </si>
  <si>
    <t>GAWALI</t>
  </si>
  <si>
    <t>GIVEN</t>
  </si>
  <si>
    <t>KMN</t>
  </si>
  <si>
    <t>C/O RAFIQ AHMED HAJI</t>
  </si>
  <si>
    <t>BF_DISC</t>
  </si>
  <si>
    <t>ADVANCE</t>
  </si>
  <si>
    <t>SANTOSH</t>
  </si>
  <si>
    <t>SHAKIL GHODEGAON</t>
  </si>
  <si>
    <t>RECEIVED</t>
  </si>
  <si>
    <t>BEPAARI</t>
  </si>
  <si>
    <t>PAYMENT</t>
  </si>
  <si>
    <t>EXPENSE</t>
  </si>
  <si>
    <t>TRAVEL</t>
  </si>
  <si>
    <t>OLA</t>
  </si>
  <si>
    <t>MOTOR</t>
  </si>
  <si>
    <t>FOOD</t>
  </si>
  <si>
    <t>LUNCH</t>
  </si>
  <si>
    <t>BHUSSA</t>
  </si>
  <si>
    <t>SALARY</t>
  </si>
  <si>
    <t>SAEED</t>
  </si>
  <si>
    <t>HAWALA</t>
  </si>
  <si>
    <t>PAID FROM AYAAN A/C</t>
  </si>
  <si>
    <t>PAID TO JUNAID</t>
  </si>
  <si>
    <t>ANNU SHARIF A/C</t>
  </si>
  <si>
    <t>SHARIF RAJ A/C</t>
  </si>
  <si>
    <t>MHN_PERSONAL</t>
  </si>
  <si>
    <t>Cash taken by MHN</t>
  </si>
  <si>
    <t>55990-5000 (PAID OBO YUNUS)</t>
  </si>
  <si>
    <t>RAMESH KALAL</t>
  </si>
  <si>
    <t>IMRAN MUMBRA</t>
  </si>
  <si>
    <t>JAVED THANA</t>
  </si>
  <si>
    <t>SHAHNAWAZ</t>
  </si>
  <si>
    <t>PAROLA</t>
  </si>
  <si>
    <t>MEHBOOB JOG. BF</t>
  </si>
  <si>
    <t>WAHIDA</t>
  </si>
  <si>
    <t>REPAID</t>
  </si>
  <si>
    <t>TILLA</t>
  </si>
  <si>
    <t>DIESEL</t>
  </si>
  <si>
    <t>ZAKAT</t>
  </si>
  <si>
    <t>PAID</t>
  </si>
  <si>
    <t>MANDI</t>
  </si>
  <si>
    <t>JB_PAID</t>
  </si>
  <si>
    <t>PAID TO RAGHU</t>
  </si>
  <si>
    <t>MOIZ,SAYED,HANNAN</t>
  </si>
  <si>
    <t>C/O TILLA</t>
  </si>
  <si>
    <t>TAKEN</t>
  </si>
  <si>
    <t>ramesh kalal</t>
  </si>
  <si>
    <t>imran mumbra</t>
  </si>
  <si>
    <t>javed thana</t>
  </si>
  <si>
    <t>shahnawaz</t>
  </si>
  <si>
    <t>parola</t>
  </si>
  <si>
    <t>REHAN BYC</t>
  </si>
  <si>
    <t xml:space="preserve">KHALIL </t>
  </si>
  <si>
    <t>SARFARAZ</t>
  </si>
  <si>
    <t>RAIS PUNE</t>
  </si>
  <si>
    <t>C/O LALA PEDI</t>
  </si>
  <si>
    <t>90+50 TO GAYYUR</t>
  </si>
  <si>
    <t>C/O AYAAN</t>
  </si>
  <si>
    <t>c/o sharik</t>
  </si>
  <si>
    <t>to SHARIF RAJ</t>
  </si>
  <si>
    <t>C/ AYAAN</t>
  </si>
  <si>
    <t>TO ANNU SHARIF A/C</t>
  </si>
  <si>
    <t>MEALS &amp; TEA</t>
  </si>
  <si>
    <t>90+50 C/O JUNAID K</t>
  </si>
  <si>
    <t>JAGDISH</t>
  </si>
  <si>
    <t>BF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</si>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</sst>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2" x14ac:knownFonts="1">
    <font>
      <sz val="11"/>
      <color theme="1"/>
      <name val="Calibri"/>
      <family val="2"/>
      <scheme val="minor"/>
    </font>
    <font>
      <b/>
      <sz val="14"/>
      <color rgb="FF0D47A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565C0"/>
      <name val="Calibri"/>
    </font>
    <font>
      <i/>
      <sz val="9"/>
      <name val="Calibri"/>
    </font>
    <font>
      <b/>
      <sz val="11"/>
      <color rgb="FF1565C0"/>
      <name val="Calibri"/>
    </font>
    <font>
      <b/>
      <i/>
      <sz val="11"/>
      <name val="Calibri"/>
    </font>
    <font>
      <i/>
      <sz val="10"/>
      <color rgb="FFFF0000"/>
      <name val="Calibri"/>
    </font>
    <font>
      <b/>
      <sz val="12"/>
      <name val="Calibri"/>
    </font>
    <font>
      <b/>
      <sz val="11"/>
      <color rgb="FFFF0000"/>
      <name val="Calibri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0" borderId="0" xfId="0" applyFont="1"/>
    <xf numFmtId="165" fontId="0" fillId="3" borderId="0" xfId="0" applyNumberFormat="1" applyFill="1"/>
    <xf numFmtId="164" fontId="0" fillId="4" borderId="0" xfId="0" applyNumberFormat="1" applyFill="1"/>
    <xf numFmtId="0" fontId="6" fillId="0" borderId="0" xfId="0" applyFont="1"/>
    <xf numFmtId="0" fontId="5" fillId="0" borderId="0" xfId="0" applyFont="1"/>
    <xf numFmtId="164" fontId="0" fillId="0" borderId="0" xfId="0" applyNumberFormat="1"/>
    <xf numFmtId="164" fontId="3" fillId="4" borderId="0" xfId="0" applyNumberFormat="1" applyFont="1" applyFill="1"/>
    <xf numFmtId="3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2" fillId="5" borderId="0" xfId="0" applyFont="1" applyFill="1" applyAlignment="1">
      <alignment horizontal="center" vertical="center" wrapText="1"/>
    </xf>
    <xf numFmtId="0" fontId="8" fillId="0" borderId="0" xfId="0" applyFont="1"/>
    <xf numFmtId="0" fontId="6" fillId="6" borderId="0" xfId="0" applyFont="1" applyFill="1"/>
    <xf numFmtId="0" fontId="6" fillId="8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0" borderId="0" xfId="0" applyFont="1"/>
    <xf numFmtId="164" fontId="9" fillId="4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3" fontId="3" fillId="4" borderId="0" xfId="0" applyNumberFormat="1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Y61"/>
  <sheetViews>
    <sheetView topLeftCell="L2" workbookViewId="0">
      <selection activeCell="U14" sqref="U14"/>
    </sheetView>
  </sheetViews>
  <sheetFormatPr defaultRowHeight="14.25" x14ac:dyDescent="0.45"/>
  <cols>
    <col min="1" max="1" width="4" customWidth="1"/>
    <col min="2" max="2" width="22" customWidth="1"/>
    <col min="3" max="3" width="8" customWidth="1"/>
    <col min="4" max="4" width="12" customWidth="1"/>
    <col min="5" max="5" width="14" customWidth="1"/>
    <col min="6" max="7" width="10" customWidth="1"/>
    <col min="8" max="8" width="2" customWidth="1"/>
    <col min="9" max="9" width="4" customWidth="1"/>
    <col min="10" max="10" width="22" customWidth="1"/>
    <col min="11" max="11" width="14" customWidth="1"/>
    <col min="12" max="13" width="10" customWidth="1"/>
    <col min="14" max="14" width="2" customWidth="1"/>
    <col min="15" max="15" width="4" customWidth="1"/>
    <col min="16" max="16" width="26" customWidth="1"/>
    <col min="17" max="17" width="14" customWidth="1"/>
    <col min="18" max="18" width="10" customWidth="1"/>
    <col min="19" max="19" width="2" customWidth="1"/>
    <col min="20" max="20" width="4" customWidth="1"/>
    <col min="21" max="21" width="20" customWidth="1"/>
    <col min="22" max="22" width="12" customWidth="1"/>
    <col min="23" max="23" width="2" customWidth="1"/>
    <col min="24" max="24" width="28" customWidth="1"/>
    <col min="25" max="25" width="14" customWidth="1"/>
  </cols>
  <sheetData>
    <row r="1" spans="1:25" ht="18" x14ac:dyDescent="0.55000000000000004">
      <c r="A1" s="1" t="s">
        <v>0</v>
      </c>
      <c r="I1" s="1" t="s">
        <v>1</v>
      </c>
      <c r="O1" s="1" t="s">
        <v>2</v>
      </c>
      <c r="T1" s="1" t="s">
        <v>3</v>
      </c>
      <c r="X1" s="1" t="s">
        <v>4</v>
      </c>
    </row>
    <row r="2" spans="1:2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 t="s">
        <v>5</v>
      </c>
      <c r="J2" s="2" t="s">
        <v>12</v>
      </c>
      <c r="K2" s="2" t="s">
        <v>9</v>
      </c>
      <c r="L2" s="2" t="s">
        <v>10</v>
      </c>
      <c r="M2" s="2" t="s">
        <v>11</v>
      </c>
      <c r="O2" s="2" t="s">
        <v>5</v>
      </c>
      <c r="P2" s="2" t="s">
        <v>13</v>
      </c>
      <c r="Q2" s="2" t="s">
        <v>9</v>
      </c>
      <c r="R2" s="2" t="s">
        <v>14</v>
      </c>
      <c r="T2" s="2" t="s">
        <v>5</v>
      </c>
      <c r="U2" s="2" t="s">
        <v>13</v>
      </c>
      <c r="V2" s="2" t="s">
        <v>9</v>
      </c>
      <c r="X2" s="3" t="s">
        <v>15</v>
      </c>
      <c r="Y2" s="4">
        <v>4</v>
      </c>
    </row>
    <row r="3" spans="1:25" x14ac:dyDescent="0.45">
      <c r="A3">
        <v>1</v>
      </c>
      <c r="B3" s="5" t="s">
        <v>16</v>
      </c>
      <c r="C3" s="5">
        <v>4</v>
      </c>
      <c r="D3" s="6"/>
      <c r="E3" s="6">
        <v>7550</v>
      </c>
      <c r="I3">
        <v>1</v>
      </c>
      <c r="J3" s="5" t="s">
        <v>17</v>
      </c>
      <c r="K3" s="6">
        <v>113500</v>
      </c>
      <c r="O3">
        <v>1</v>
      </c>
      <c r="P3" s="5" t="s">
        <v>18</v>
      </c>
      <c r="Q3" s="6">
        <v>4469981</v>
      </c>
      <c r="R3" s="5" t="s">
        <v>19</v>
      </c>
      <c r="T3">
        <v>1</v>
      </c>
      <c r="U3" s="5" t="s">
        <v>224</v>
      </c>
      <c r="V3" s="6">
        <v>50000</v>
      </c>
      <c r="X3" s="3" t="s">
        <v>20</v>
      </c>
      <c r="Y3" s="4">
        <v>100</v>
      </c>
    </row>
    <row r="4" spans="1:25" x14ac:dyDescent="0.45">
      <c r="A4">
        <v>2</v>
      </c>
      <c r="B4" s="5" t="s">
        <v>21</v>
      </c>
      <c r="C4" s="5">
        <v>4</v>
      </c>
      <c r="D4" s="6"/>
      <c r="E4" s="6">
        <v>0</v>
      </c>
      <c r="I4">
        <v>2</v>
      </c>
      <c r="J4" s="5" t="s">
        <v>22</v>
      </c>
      <c r="K4" s="6">
        <v>879000</v>
      </c>
      <c r="O4">
        <v>2</v>
      </c>
      <c r="P4" s="5" t="s">
        <v>23</v>
      </c>
      <c r="Q4" s="6">
        <v>2000000</v>
      </c>
      <c r="R4" s="5" t="s">
        <v>24</v>
      </c>
      <c r="T4">
        <v>2</v>
      </c>
      <c r="U4" s="5" t="s">
        <v>29</v>
      </c>
      <c r="V4" s="6">
        <v>25000</v>
      </c>
      <c r="X4" s="3" t="s">
        <v>25</v>
      </c>
      <c r="Y4" s="4">
        <v>10</v>
      </c>
    </row>
    <row r="5" spans="1:25" x14ac:dyDescent="0.45">
      <c r="A5">
        <v>3</v>
      </c>
      <c r="B5" s="5" t="s">
        <v>26</v>
      </c>
      <c r="C5" s="5">
        <v>4</v>
      </c>
      <c r="D5" s="6"/>
      <c r="E5" s="6">
        <v>0</v>
      </c>
      <c r="I5">
        <v>3</v>
      </c>
      <c r="J5" s="5" t="s">
        <v>27</v>
      </c>
      <c r="K5" s="6">
        <v>94931</v>
      </c>
      <c r="O5">
        <v>3</v>
      </c>
      <c r="P5" s="5" t="s">
        <v>247</v>
      </c>
      <c r="Q5" s="6">
        <v>0</v>
      </c>
      <c r="R5" s="5" t="s">
        <v>24</v>
      </c>
      <c r="T5">
        <v>3</v>
      </c>
      <c r="U5" s="5" t="s">
        <v>228</v>
      </c>
      <c r="V5" s="6">
        <v>203700</v>
      </c>
    </row>
    <row r="6" spans="1:25" x14ac:dyDescent="0.45">
      <c r="A6">
        <v>4</v>
      </c>
      <c r="B6" s="5" t="s">
        <v>28</v>
      </c>
      <c r="C6" s="5">
        <v>4</v>
      </c>
      <c r="D6" s="6"/>
      <c r="E6" s="6">
        <v>0</v>
      </c>
      <c r="I6">
        <v>4</v>
      </c>
      <c r="J6" s="5" t="s">
        <v>29</v>
      </c>
      <c r="K6" s="6">
        <v>516778</v>
      </c>
      <c r="O6">
        <v>4</v>
      </c>
      <c r="P6" s="5" t="s">
        <v>228</v>
      </c>
      <c r="Q6" s="6">
        <v>0</v>
      </c>
      <c r="R6" s="5" t="s">
        <v>24</v>
      </c>
      <c r="T6">
        <v>4</v>
      </c>
      <c r="U6" s="5" t="s">
        <v>247</v>
      </c>
      <c r="V6" s="6">
        <v>347500</v>
      </c>
      <c r="X6" s="3" t="s">
        <v>30</v>
      </c>
      <c r="Y6" s="6">
        <v>394666</v>
      </c>
    </row>
    <row r="7" spans="1:25" x14ac:dyDescent="0.45">
      <c r="A7">
        <v>5</v>
      </c>
      <c r="B7" s="5" t="s">
        <v>31</v>
      </c>
      <c r="C7" s="5">
        <v>4</v>
      </c>
      <c r="D7" s="6"/>
      <c r="E7" s="6">
        <v>142530</v>
      </c>
      <c r="I7">
        <v>5</v>
      </c>
      <c r="J7" s="5" t="s">
        <v>32</v>
      </c>
      <c r="K7" s="6">
        <v>187650</v>
      </c>
      <c r="O7">
        <v>5</v>
      </c>
      <c r="P7" s="5" t="s">
        <v>279</v>
      </c>
      <c r="Q7" s="6">
        <v>0</v>
      </c>
      <c r="R7" s="5" t="s">
        <v>24</v>
      </c>
      <c r="T7">
        <v>5</v>
      </c>
      <c r="U7" s="5" t="s">
        <v>251</v>
      </c>
      <c r="V7" s="6">
        <v>3000</v>
      </c>
      <c r="X7" s="3" t="s">
        <v>33</v>
      </c>
      <c r="Y7" s="6">
        <v>724604</v>
      </c>
    </row>
    <row r="8" spans="1:25" x14ac:dyDescent="0.45">
      <c r="A8">
        <v>6</v>
      </c>
      <c r="B8" s="5" t="s">
        <v>34</v>
      </c>
      <c r="C8" s="5">
        <v>4</v>
      </c>
      <c r="D8" s="6"/>
      <c r="E8" s="6">
        <v>-152964</v>
      </c>
      <c r="I8">
        <v>6</v>
      </c>
      <c r="J8" s="5" t="s">
        <v>35</v>
      </c>
      <c r="K8" s="6">
        <v>0</v>
      </c>
      <c r="O8">
        <v>6</v>
      </c>
      <c r="P8" s="5" t="s">
        <v>281</v>
      </c>
      <c r="Q8" s="6">
        <v>0</v>
      </c>
      <c r="R8" s="5" t="s">
        <v>24</v>
      </c>
      <c r="T8">
        <v>6</v>
      </c>
      <c r="U8" s="5" t="s">
        <v>252</v>
      </c>
      <c r="V8" s="6">
        <v>100000</v>
      </c>
    </row>
    <row r="9" spans="1:25" x14ac:dyDescent="0.45">
      <c r="A9">
        <v>7</v>
      </c>
      <c r="B9" s="5" t="s">
        <v>36</v>
      </c>
      <c r="C9" s="5">
        <v>4</v>
      </c>
      <c r="D9" s="6"/>
      <c r="E9" s="6">
        <v>35330</v>
      </c>
      <c r="I9">
        <v>7</v>
      </c>
      <c r="J9" s="5" t="s">
        <v>37</v>
      </c>
      <c r="K9" s="6">
        <v>100000</v>
      </c>
      <c r="O9">
        <v>7</v>
      </c>
      <c r="P9" s="5"/>
      <c r="Q9" s="6"/>
      <c r="R9" s="5"/>
      <c r="T9">
        <v>7</v>
      </c>
      <c r="U9" s="5"/>
      <c r="V9" s="6"/>
      <c r="X9" s="7" t="s">
        <v>38</v>
      </c>
    </row>
    <row r="10" spans="1:25" x14ac:dyDescent="0.45">
      <c r="A10">
        <v>8</v>
      </c>
      <c r="B10" s="5" t="s">
        <v>39</v>
      </c>
      <c r="C10" s="5">
        <v>4</v>
      </c>
      <c r="D10" s="6"/>
      <c r="E10" s="6">
        <v>0</v>
      </c>
      <c r="I10">
        <v>8</v>
      </c>
      <c r="J10" s="5" t="s">
        <v>40</v>
      </c>
      <c r="K10" s="6">
        <v>15000</v>
      </c>
      <c r="O10">
        <v>8</v>
      </c>
      <c r="P10" s="5"/>
      <c r="Q10" s="6"/>
      <c r="R10" s="5"/>
      <c r="T10">
        <v>8</v>
      </c>
      <c r="U10" s="5"/>
      <c r="V10" s="6"/>
      <c r="X10" s="3" t="s">
        <v>41</v>
      </c>
      <c r="Y10" s="6">
        <v>17100</v>
      </c>
    </row>
    <row r="11" spans="1:25" x14ac:dyDescent="0.45">
      <c r="A11">
        <v>9</v>
      </c>
      <c r="B11" s="5" t="s">
        <v>42</v>
      </c>
      <c r="C11" s="5">
        <v>4</v>
      </c>
      <c r="D11" s="6"/>
      <c r="E11" s="6">
        <v>0</v>
      </c>
      <c r="I11">
        <v>9</v>
      </c>
      <c r="J11" s="5" t="s">
        <v>43</v>
      </c>
      <c r="K11" s="6">
        <v>486250</v>
      </c>
      <c r="O11">
        <v>9</v>
      </c>
      <c r="P11" s="5"/>
      <c r="Q11" s="6"/>
      <c r="R11" s="5"/>
      <c r="T11">
        <v>9</v>
      </c>
      <c r="U11" s="5"/>
      <c r="V11" s="6"/>
      <c r="X11" s="3" t="s">
        <v>44</v>
      </c>
      <c r="Y11" s="6">
        <v>10100</v>
      </c>
    </row>
    <row r="12" spans="1:25" x14ac:dyDescent="0.45">
      <c r="A12">
        <v>10</v>
      </c>
      <c r="B12" s="5" t="s">
        <v>45</v>
      </c>
      <c r="C12" s="5">
        <v>4</v>
      </c>
      <c r="D12" s="6"/>
      <c r="E12" s="6">
        <v>1530</v>
      </c>
      <c r="I12">
        <v>10</v>
      </c>
      <c r="J12" s="5" t="s">
        <v>46</v>
      </c>
      <c r="K12" s="6">
        <v>90950</v>
      </c>
      <c r="O12">
        <v>10</v>
      </c>
      <c r="P12" s="5"/>
      <c r="Q12" s="6"/>
      <c r="R12" s="5"/>
      <c r="T12">
        <v>10</v>
      </c>
      <c r="U12" s="5"/>
      <c r="V12" s="6"/>
      <c r="X12" s="3" t="s">
        <v>47</v>
      </c>
      <c r="Y12" s="6">
        <v>73111</v>
      </c>
    </row>
    <row r="13" spans="1:25" x14ac:dyDescent="0.45">
      <c r="A13">
        <v>11</v>
      </c>
      <c r="B13" s="5" t="s">
        <v>48</v>
      </c>
      <c r="C13" s="5">
        <v>4</v>
      </c>
      <c r="D13" s="6"/>
      <c r="E13" s="6">
        <v>0</v>
      </c>
      <c r="I13">
        <v>11</v>
      </c>
      <c r="J13" s="5" t="s">
        <v>49</v>
      </c>
      <c r="K13" s="6">
        <v>0</v>
      </c>
      <c r="O13">
        <v>11</v>
      </c>
      <c r="P13" s="5"/>
      <c r="Q13" s="6"/>
      <c r="R13" s="5"/>
      <c r="T13">
        <v>11</v>
      </c>
      <c r="U13" s="5"/>
      <c r="V13" s="6"/>
      <c r="X13" s="3" t="s">
        <v>50</v>
      </c>
      <c r="Y13" s="6">
        <v>358808</v>
      </c>
    </row>
    <row r="14" spans="1:25" x14ac:dyDescent="0.45">
      <c r="A14">
        <v>12</v>
      </c>
      <c r="B14" s="5" t="s">
        <v>51</v>
      </c>
      <c r="C14" s="5">
        <v>4</v>
      </c>
      <c r="D14" s="6"/>
      <c r="E14" s="6">
        <v>0</v>
      </c>
      <c r="I14">
        <v>12</v>
      </c>
      <c r="J14" s="5" t="s">
        <v>52</v>
      </c>
      <c r="K14" s="6">
        <v>59662</v>
      </c>
      <c r="O14">
        <v>12</v>
      </c>
      <c r="P14" s="5"/>
      <c r="Q14" s="6"/>
      <c r="R14" s="5"/>
      <c r="T14">
        <v>12</v>
      </c>
      <c r="U14" s="5"/>
      <c r="V14" s="6"/>
    </row>
    <row r="15" spans="1:25" x14ac:dyDescent="0.45">
      <c r="A15">
        <v>13</v>
      </c>
      <c r="B15" s="5" t="s">
        <v>53</v>
      </c>
      <c r="C15" s="5">
        <v>4</v>
      </c>
      <c r="D15" s="6"/>
      <c r="E15" s="6">
        <v>-14048</v>
      </c>
      <c r="I15">
        <v>13</v>
      </c>
      <c r="J15" s="5" t="s">
        <v>54</v>
      </c>
      <c r="K15" s="6">
        <v>2000</v>
      </c>
      <c r="O15">
        <v>13</v>
      </c>
      <c r="P15" s="5"/>
      <c r="Q15" s="6"/>
      <c r="R15" s="5"/>
      <c r="T15">
        <v>13</v>
      </c>
      <c r="U15" s="5"/>
      <c r="V15" s="6"/>
      <c r="X15" s="7" t="s">
        <v>55</v>
      </c>
    </row>
    <row r="16" spans="1:25" x14ac:dyDescent="0.45">
      <c r="A16">
        <v>14</v>
      </c>
      <c r="B16" s="5" t="s">
        <v>56</v>
      </c>
      <c r="C16" s="5">
        <v>4</v>
      </c>
      <c r="D16" s="6"/>
      <c r="E16" s="6">
        <v>-4661</v>
      </c>
      <c r="I16">
        <v>14</v>
      </c>
      <c r="J16" s="5" t="s">
        <v>57</v>
      </c>
      <c r="K16" s="6">
        <v>0</v>
      </c>
      <c r="O16">
        <v>14</v>
      </c>
      <c r="P16" s="5"/>
      <c r="Q16" s="6"/>
      <c r="R16" s="5"/>
      <c r="T16">
        <v>14</v>
      </c>
      <c r="U16" s="5"/>
      <c r="V16" s="6"/>
      <c r="X16" s="3" t="s">
        <v>58</v>
      </c>
      <c r="Y16" s="6">
        <v>24816</v>
      </c>
    </row>
    <row r="17" spans="1:25" x14ac:dyDescent="0.45">
      <c r="A17">
        <v>15</v>
      </c>
      <c r="B17" s="5" t="s">
        <v>59</v>
      </c>
      <c r="C17" s="5">
        <v>4</v>
      </c>
      <c r="D17" s="6"/>
      <c r="E17" s="6">
        <v>-9845</v>
      </c>
      <c r="I17">
        <v>15</v>
      </c>
      <c r="J17" s="5" t="s">
        <v>60</v>
      </c>
      <c r="K17" s="6">
        <v>92500</v>
      </c>
      <c r="O17">
        <v>15</v>
      </c>
      <c r="P17" s="5"/>
      <c r="Q17" s="6"/>
      <c r="R17" s="5"/>
      <c r="T17">
        <v>15</v>
      </c>
      <c r="U17" s="5"/>
      <c r="V17" s="6"/>
      <c r="X17" s="3" t="s">
        <v>61</v>
      </c>
      <c r="Y17" s="6">
        <v>17450</v>
      </c>
    </row>
    <row r="18" spans="1:25" x14ac:dyDescent="0.45">
      <c r="A18">
        <v>16</v>
      </c>
      <c r="B18" s="5" t="s">
        <v>62</v>
      </c>
      <c r="C18" s="5">
        <v>4</v>
      </c>
      <c r="D18" s="6"/>
      <c r="E18" s="6">
        <v>-88000</v>
      </c>
      <c r="I18">
        <v>16</v>
      </c>
      <c r="J18" s="5" t="s">
        <v>63</v>
      </c>
      <c r="K18" s="6">
        <v>0</v>
      </c>
      <c r="O18">
        <v>16</v>
      </c>
      <c r="P18" s="5"/>
      <c r="Q18" s="6"/>
      <c r="R18" s="5"/>
      <c r="T18">
        <v>16</v>
      </c>
      <c r="U18" s="5"/>
      <c r="V18" s="6"/>
      <c r="X18" s="3" t="s">
        <v>64</v>
      </c>
      <c r="Y18" s="6">
        <v>294265</v>
      </c>
    </row>
    <row r="19" spans="1:25" x14ac:dyDescent="0.45">
      <c r="A19">
        <v>17</v>
      </c>
      <c r="B19" s="5" t="s">
        <v>65</v>
      </c>
      <c r="C19" s="5">
        <v>4</v>
      </c>
      <c r="D19" s="6"/>
      <c r="E19" s="6">
        <v>660</v>
      </c>
      <c r="I19">
        <v>17</v>
      </c>
      <c r="J19" s="5" t="s">
        <v>66</v>
      </c>
      <c r="K19" s="6">
        <v>0</v>
      </c>
      <c r="O19">
        <v>17</v>
      </c>
      <c r="P19" s="5"/>
      <c r="Q19" s="6"/>
      <c r="R19" s="5"/>
      <c r="T19">
        <v>17</v>
      </c>
      <c r="U19" s="5"/>
      <c r="V19" s="6"/>
    </row>
    <row r="20" spans="1:25" x14ac:dyDescent="0.45">
      <c r="A20">
        <v>18</v>
      </c>
      <c r="B20" s="5" t="s">
        <v>67</v>
      </c>
      <c r="C20" s="5">
        <v>4</v>
      </c>
      <c r="D20" s="6"/>
      <c r="E20" s="6">
        <v>40440</v>
      </c>
      <c r="I20">
        <v>18</v>
      </c>
      <c r="J20" s="5" t="s">
        <v>68</v>
      </c>
      <c r="K20" s="6">
        <v>0</v>
      </c>
      <c r="O20">
        <v>18</v>
      </c>
      <c r="P20" s="5"/>
      <c r="Q20" s="6"/>
      <c r="R20" s="5"/>
      <c r="T20">
        <v>18</v>
      </c>
      <c r="U20" s="5"/>
      <c r="V20" s="6"/>
      <c r="X20" s="3" t="s">
        <v>225</v>
      </c>
      <c r="Y20" s="6">
        <v>50000</v>
      </c>
    </row>
    <row r="21" spans="1:25" x14ac:dyDescent="0.45">
      <c r="A21">
        <v>19</v>
      </c>
      <c r="B21" s="5" t="s">
        <v>229</v>
      </c>
      <c r="C21" s="5">
        <v>4</v>
      </c>
      <c r="D21" s="5"/>
      <c r="E21" s="6">
        <v>-100000</v>
      </c>
      <c r="F21" s="5"/>
      <c r="G21" s="5"/>
      <c r="I21">
        <v>19</v>
      </c>
      <c r="J21" s="5" t="s">
        <v>56</v>
      </c>
      <c r="K21" s="6">
        <v>4000</v>
      </c>
      <c r="O21">
        <v>19</v>
      </c>
      <c r="P21" s="5"/>
      <c r="Q21" s="6"/>
      <c r="R21" s="5"/>
      <c r="T21">
        <v>19</v>
      </c>
      <c r="U21" s="5"/>
      <c r="V21" s="6"/>
      <c r="X21" s="3" t="s">
        <v>226</v>
      </c>
      <c r="Y21" s="6">
        <v>25000</v>
      </c>
    </row>
    <row r="22" spans="1:25" x14ac:dyDescent="0.45">
      <c r="A22">
        <v>20</v>
      </c>
      <c r="B22" s="5" t="s">
        <v>237</v>
      </c>
      <c r="C22" s="5">
        <v>4</v>
      </c>
      <c r="D22" s="5"/>
      <c r="E22" s="6">
        <v>0</v>
      </c>
      <c r="F22" s="5"/>
      <c r="G22" s="5"/>
      <c r="I22">
        <v>20</v>
      </c>
      <c r="J22" s="5" t="s">
        <v>69</v>
      </c>
      <c r="K22" s="6">
        <v>134750</v>
      </c>
      <c r="O22">
        <v>20</v>
      </c>
      <c r="P22" s="5"/>
      <c r="Q22" s="6"/>
      <c r="R22" s="5"/>
      <c r="T22">
        <v>20</v>
      </c>
      <c r="U22" s="5"/>
      <c r="V22" s="6"/>
      <c r="X22" s="3" t="s">
        <v>227</v>
      </c>
      <c r="Y22" s="6">
        <v>347500</v>
      </c>
    </row>
    <row r="23" spans="1:25" x14ac:dyDescent="0.45">
      <c r="A23">
        <v>21</v>
      </c>
      <c r="B23" s="5"/>
      <c r="C23" s="5">
        <v>4</v>
      </c>
      <c r="D23" s="5"/>
      <c r="E23" s="6"/>
      <c r="F23" s="5"/>
      <c r="G23" s="5"/>
      <c r="I23">
        <v>21</v>
      </c>
      <c r="J23" s="5" t="s">
        <v>70</v>
      </c>
      <c r="K23" s="6">
        <v>0</v>
      </c>
      <c r="O23">
        <v>21</v>
      </c>
      <c r="P23" s="5"/>
      <c r="Q23" s="6"/>
      <c r="R23" s="5"/>
      <c r="X23" s="3" t="s">
        <v>230</v>
      </c>
      <c r="Y23" s="6">
        <v>3000</v>
      </c>
    </row>
    <row r="24" spans="1:25" x14ac:dyDescent="0.45">
      <c r="A24">
        <v>22</v>
      </c>
      <c r="B24" s="5"/>
      <c r="C24" s="5">
        <v>4</v>
      </c>
      <c r="D24" s="5"/>
      <c r="E24" s="6"/>
      <c r="F24" s="5"/>
      <c r="G24" s="5"/>
      <c r="I24">
        <v>22</v>
      </c>
      <c r="J24" s="5" t="s">
        <v>71</v>
      </c>
      <c r="K24" s="6">
        <v>0</v>
      </c>
      <c r="O24">
        <v>22</v>
      </c>
      <c r="P24" s="5"/>
      <c r="Q24" s="6"/>
      <c r="R24" s="5"/>
      <c r="X24" s="3" t="s">
        <v>231</v>
      </c>
      <c r="Y24" s="6">
        <v>100000</v>
      </c>
    </row>
    <row r="25" spans="1:25" x14ac:dyDescent="0.45">
      <c r="A25">
        <v>23</v>
      </c>
      <c r="B25" s="5"/>
      <c r="C25" s="5">
        <v>4</v>
      </c>
      <c r="D25" s="5"/>
      <c r="E25" s="6"/>
      <c r="F25" s="5"/>
      <c r="G25" s="5"/>
      <c r="I25">
        <v>23</v>
      </c>
      <c r="J25" s="5" t="s">
        <v>72</v>
      </c>
      <c r="K25" s="6">
        <v>265000</v>
      </c>
      <c r="O25">
        <v>23</v>
      </c>
      <c r="P25" s="5"/>
      <c r="Q25" s="6"/>
      <c r="R25" s="5"/>
      <c r="X25" s="3" t="s">
        <v>232</v>
      </c>
      <c r="Y25" s="6">
        <v>203700</v>
      </c>
    </row>
    <row r="26" spans="1:25" x14ac:dyDescent="0.45">
      <c r="A26">
        <v>24</v>
      </c>
      <c r="B26" s="5"/>
      <c r="C26" s="5">
        <v>4</v>
      </c>
      <c r="D26" s="5"/>
      <c r="E26" s="6"/>
      <c r="F26" s="5"/>
      <c r="G26" s="5"/>
      <c r="I26">
        <v>24</v>
      </c>
      <c r="J26" s="5" t="s">
        <v>73</v>
      </c>
      <c r="K26" s="6">
        <v>33050</v>
      </c>
      <c r="O26">
        <v>24</v>
      </c>
      <c r="P26" s="5"/>
      <c r="Q26" s="6"/>
      <c r="R26" s="5"/>
      <c r="X26" s="3"/>
      <c r="Y26" s="6"/>
    </row>
    <row r="27" spans="1:25" x14ac:dyDescent="0.45">
      <c r="A27">
        <v>25</v>
      </c>
      <c r="B27" s="5"/>
      <c r="C27" s="5">
        <v>4</v>
      </c>
      <c r="D27" s="5"/>
      <c r="E27" s="6"/>
      <c r="F27" s="5"/>
      <c r="G27" s="5"/>
      <c r="I27">
        <v>25</v>
      </c>
      <c r="J27" s="5" t="s">
        <v>74</v>
      </c>
      <c r="K27" s="6">
        <v>50000</v>
      </c>
      <c r="O27">
        <v>25</v>
      </c>
      <c r="P27" s="5"/>
      <c r="Q27" s="6"/>
      <c r="R27" s="5"/>
    </row>
    <row r="28" spans="1:25" x14ac:dyDescent="0.45">
      <c r="A28">
        <v>26</v>
      </c>
      <c r="B28" s="5"/>
      <c r="C28" s="5">
        <v>4</v>
      </c>
      <c r="D28" s="5"/>
      <c r="E28" s="6"/>
      <c r="F28" s="5"/>
      <c r="G28" s="5"/>
      <c r="I28">
        <v>26</v>
      </c>
      <c r="J28" s="5" t="s">
        <v>75</v>
      </c>
      <c r="K28" s="6">
        <v>2600</v>
      </c>
      <c r="O28">
        <v>26</v>
      </c>
      <c r="P28" s="5"/>
      <c r="Q28" s="6"/>
      <c r="R28" s="5"/>
    </row>
    <row r="29" spans="1:25" x14ac:dyDescent="0.45">
      <c r="A29">
        <v>27</v>
      </c>
      <c r="B29" s="5"/>
      <c r="C29" s="5">
        <v>4</v>
      </c>
      <c r="D29" s="5"/>
      <c r="E29" s="6"/>
      <c r="F29" s="5"/>
      <c r="G29" s="5"/>
      <c r="I29">
        <v>27</v>
      </c>
      <c r="J29" s="5" t="s">
        <v>76</v>
      </c>
      <c r="K29" s="6">
        <v>34000</v>
      </c>
      <c r="O29">
        <v>27</v>
      </c>
      <c r="P29" s="5"/>
      <c r="Q29" s="6"/>
      <c r="R29" s="5"/>
    </row>
    <row r="30" spans="1:25" x14ac:dyDescent="0.45">
      <c r="A30">
        <v>28</v>
      </c>
      <c r="B30" s="5"/>
      <c r="C30" s="5">
        <v>4</v>
      </c>
      <c r="D30" s="5"/>
      <c r="E30" s="6"/>
      <c r="F30" s="5"/>
      <c r="G30" s="5"/>
      <c r="I30">
        <v>28</v>
      </c>
      <c r="J30" s="5" t="s">
        <v>77</v>
      </c>
      <c r="K30" s="6">
        <v>0</v>
      </c>
      <c r="O30">
        <v>28</v>
      </c>
      <c r="P30" s="5"/>
      <c r="Q30" s="6"/>
      <c r="R30" s="5"/>
    </row>
    <row r="31" spans="1:25" x14ac:dyDescent="0.45">
      <c r="A31">
        <v>29</v>
      </c>
      <c r="B31" s="5"/>
      <c r="C31" s="5">
        <v>4</v>
      </c>
      <c r="D31" s="5"/>
      <c r="E31" s="6"/>
      <c r="F31" s="5"/>
      <c r="G31" s="5"/>
      <c r="I31">
        <v>29</v>
      </c>
      <c r="J31" s="5" t="s">
        <v>78</v>
      </c>
      <c r="K31" s="6">
        <v>20500</v>
      </c>
      <c r="O31">
        <v>29</v>
      </c>
      <c r="P31" s="5"/>
      <c r="Q31" s="6"/>
      <c r="R31" s="5"/>
    </row>
    <row r="32" spans="1:25" x14ac:dyDescent="0.45">
      <c r="A32">
        <v>30</v>
      </c>
      <c r="B32" s="5"/>
      <c r="C32" s="5">
        <v>4</v>
      </c>
      <c r="D32" s="5"/>
      <c r="E32" s="6"/>
      <c r="F32" s="5"/>
      <c r="G32" s="5"/>
      <c r="I32">
        <v>30</v>
      </c>
      <c r="J32" s="5" t="s">
        <v>79</v>
      </c>
      <c r="K32" s="6">
        <v>1900</v>
      </c>
      <c r="O32">
        <v>30</v>
      </c>
      <c r="P32" s="5"/>
      <c r="Q32" s="6"/>
      <c r="R32" s="5"/>
    </row>
    <row r="33" spans="1:17" x14ac:dyDescent="0.45">
      <c r="A33">
        <v>31</v>
      </c>
      <c r="B33" s="5"/>
      <c r="C33" s="5">
        <v>4</v>
      </c>
      <c r="D33" s="5"/>
      <c r="E33" s="6"/>
      <c r="F33" s="5"/>
      <c r="G33" s="5"/>
      <c r="I33">
        <v>31</v>
      </c>
      <c r="J33" s="5" t="s">
        <v>80</v>
      </c>
      <c r="K33" s="6">
        <v>11000</v>
      </c>
    </row>
    <row r="34" spans="1:17" x14ac:dyDescent="0.45">
      <c r="A34">
        <v>32</v>
      </c>
      <c r="B34" s="5"/>
      <c r="C34" s="5">
        <v>4</v>
      </c>
      <c r="D34" s="5"/>
      <c r="E34" s="6"/>
      <c r="F34" s="5"/>
      <c r="G34" s="5"/>
      <c r="I34">
        <v>32</v>
      </c>
      <c r="J34" s="5" t="s">
        <v>81</v>
      </c>
      <c r="K34" s="6">
        <v>0</v>
      </c>
    </row>
    <row r="35" spans="1:17" x14ac:dyDescent="0.45">
      <c r="A35">
        <v>33</v>
      </c>
      <c r="B35" s="5"/>
      <c r="C35" s="5">
        <v>4</v>
      </c>
      <c r="D35" s="5"/>
      <c r="E35" s="6"/>
      <c r="F35" s="5"/>
      <c r="G35" s="5"/>
      <c r="I35">
        <v>33</v>
      </c>
      <c r="J35" s="5" t="s">
        <v>82</v>
      </c>
      <c r="K35" s="6">
        <v>59000</v>
      </c>
    </row>
    <row r="36" spans="1:17" x14ac:dyDescent="0.45">
      <c r="A36">
        <v>34</v>
      </c>
      <c r="B36" s="5"/>
      <c r="C36" s="5">
        <v>4</v>
      </c>
      <c r="D36" s="5"/>
      <c r="E36" s="6"/>
      <c r="F36" s="5"/>
      <c r="G36" s="5"/>
      <c r="I36">
        <v>34</v>
      </c>
      <c r="J36" s="5" t="s">
        <v>83</v>
      </c>
      <c r="K36" s="6">
        <v>57550</v>
      </c>
    </row>
    <row r="37" spans="1:17" x14ac:dyDescent="0.45">
      <c r="A37">
        <v>35</v>
      </c>
      <c r="B37" s="5"/>
      <c r="C37" s="5">
        <v>4</v>
      </c>
      <c r="D37" s="5"/>
      <c r="E37" s="6"/>
      <c r="F37" s="5"/>
      <c r="G37" s="5"/>
      <c r="I37">
        <v>35</v>
      </c>
      <c r="J37" s="5" t="s">
        <v>84</v>
      </c>
      <c r="K37" s="6">
        <v>0</v>
      </c>
    </row>
    <row r="38" spans="1:17" x14ac:dyDescent="0.45">
      <c r="A38">
        <v>36</v>
      </c>
      <c r="B38" s="5"/>
      <c r="C38" s="5">
        <v>4</v>
      </c>
      <c r="D38" s="5"/>
      <c r="E38" s="6"/>
      <c r="F38" s="5"/>
      <c r="G38" s="5"/>
      <c r="I38">
        <v>36</v>
      </c>
      <c r="J38" s="5" t="s">
        <v>85</v>
      </c>
      <c r="K38" s="6">
        <v>70000</v>
      </c>
    </row>
    <row r="39" spans="1:17" x14ac:dyDescent="0.45">
      <c r="A39">
        <v>37</v>
      </c>
      <c r="B39" s="5"/>
      <c r="C39" s="5">
        <v>4</v>
      </c>
      <c r="D39" s="5"/>
      <c r="E39" s="6"/>
      <c r="F39" s="5"/>
      <c r="G39" s="5"/>
      <c r="I39">
        <v>37</v>
      </c>
      <c r="J39" s="5" t="s">
        <v>86</v>
      </c>
      <c r="K39" s="6">
        <v>356250</v>
      </c>
    </row>
    <row r="40" spans="1:17" x14ac:dyDescent="0.45">
      <c r="A40">
        <v>38</v>
      </c>
      <c r="B40" s="5"/>
      <c r="C40" s="5">
        <v>4</v>
      </c>
      <c r="D40" s="5"/>
      <c r="E40" s="6"/>
      <c r="F40" s="5"/>
      <c r="G40" s="5"/>
      <c r="I40">
        <v>38</v>
      </c>
      <c r="J40" s="5" t="s">
        <v>87</v>
      </c>
      <c r="K40" s="6">
        <v>0</v>
      </c>
    </row>
    <row r="41" spans="1:17" x14ac:dyDescent="0.45">
      <c r="A41">
        <v>39</v>
      </c>
      <c r="B41" s="5"/>
      <c r="C41" s="5">
        <v>4</v>
      </c>
      <c r="D41" s="5"/>
      <c r="E41" s="6"/>
      <c r="F41" s="5"/>
      <c r="G41" s="5"/>
      <c r="I41">
        <v>39</v>
      </c>
      <c r="J41" s="5" t="s">
        <v>88</v>
      </c>
      <c r="K41" s="6">
        <v>0</v>
      </c>
    </row>
    <row r="42" spans="1:17" x14ac:dyDescent="0.45">
      <c r="A42">
        <v>40</v>
      </c>
      <c r="B42" s="5"/>
      <c r="C42" s="5">
        <v>4</v>
      </c>
      <c r="D42" s="5"/>
      <c r="E42" s="6"/>
      <c r="F42" s="5"/>
      <c r="G42" s="5"/>
      <c r="I42">
        <v>40</v>
      </c>
      <c r="J42" s="5" t="s">
        <v>89</v>
      </c>
      <c r="K42" s="6">
        <v>98500</v>
      </c>
    </row>
    <row r="43" spans="1:17" x14ac:dyDescent="0.45">
      <c r="A43">
        <v>41</v>
      </c>
      <c r="B43" s="5"/>
      <c r="C43" s="5">
        <v>4</v>
      </c>
      <c r="D43" s="5"/>
      <c r="E43" s="6"/>
      <c r="F43" s="5"/>
      <c r="G43" s="5"/>
      <c r="I43">
        <v>41</v>
      </c>
      <c r="J43" s="5" t="s">
        <v>90</v>
      </c>
      <c r="K43" s="6">
        <v>388000</v>
      </c>
    </row>
    <row r="44" spans="1:17" x14ac:dyDescent="0.45">
      <c r="A44">
        <v>42</v>
      </c>
      <c r="B44" s="5"/>
      <c r="C44" s="5">
        <v>4</v>
      </c>
      <c r="D44" s="5"/>
      <c r="E44" s="6"/>
      <c r="F44" s="5"/>
      <c r="G44" s="5"/>
      <c r="I44">
        <v>42</v>
      </c>
      <c r="J44" s="5" t="s">
        <v>91</v>
      </c>
      <c r="K44" s="6">
        <v>30000</v>
      </c>
    </row>
    <row r="45" spans="1:17" x14ac:dyDescent="0.45">
      <c r="A45">
        <v>43</v>
      </c>
      <c r="B45" s="5"/>
      <c r="C45" s="5">
        <v>4</v>
      </c>
      <c r="D45" s="5"/>
      <c r="E45" s="6"/>
      <c r="F45" s="5"/>
      <c r="G45" s="5"/>
      <c r="I45">
        <v>43</v>
      </c>
      <c r="J45" s="5" t="s">
        <v>92</v>
      </c>
      <c r="K45" s="6">
        <v>192000</v>
      </c>
    </row>
    <row r="46" spans="1:17" x14ac:dyDescent="0.45">
      <c r="A46">
        <v>44</v>
      </c>
      <c r="B46" s="5"/>
      <c r="C46" s="5">
        <v>4</v>
      </c>
      <c r="D46" s="5"/>
      <c r="E46" s="6"/>
      <c r="F46" s="5"/>
      <c r="G46" s="5"/>
      <c r="I46">
        <v>44</v>
      </c>
      <c r="J46" s="5" t="s">
        <v>93</v>
      </c>
      <c r="K46" s="6">
        <v>148800</v>
      </c>
    </row>
    <row r="47" spans="1:17" x14ac:dyDescent="0.45">
      <c r="A47">
        <v>45</v>
      </c>
      <c r="B47" s="5"/>
      <c r="C47" s="5">
        <v>4</v>
      </c>
      <c r="D47" s="5"/>
      <c r="E47" s="6"/>
      <c r="F47" s="5"/>
      <c r="G47" s="5"/>
      <c r="I47">
        <v>45</v>
      </c>
      <c r="J47" s="5" t="s">
        <v>94</v>
      </c>
      <c r="K47" s="6">
        <v>7500</v>
      </c>
      <c r="Q47" t="s">
        <v>291</v>
      </c>
    </row>
    <row r="48" spans="1:17" x14ac:dyDescent="0.45">
      <c r="A48">
        <v>46</v>
      </c>
      <c r="B48" s="5"/>
      <c r="C48" s="5">
        <v>4</v>
      </c>
      <c r="D48" s="5"/>
      <c r="E48" s="6"/>
      <c r="F48" s="5"/>
      <c r="G48" s="5"/>
      <c r="I48">
        <v>46</v>
      </c>
      <c r="J48" s="5" t="s">
        <v>233</v>
      </c>
      <c r="K48" s="6">
        <v>0</v>
      </c>
      <c r="L48" s="5"/>
      <c r="M48" s="5"/>
      <c r="Q48" t="s">
        <v>292</v>
      </c>
    </row>
    <row r="49" spans="1:17" x14ac:dyDescent="0.45">
      <c r="A49">
        <v>47</v>
      </c>
      <c r="B49" s="5"/>
      <c r="C49" s="5">
        <v>4</v>
      </c>
      <c r="D49" s="5"/>
      <c r="E49" s="6"/>
      <c r="F49" s="5"/>
      <c r="G49" s="5"/>
      <c r="I49">
        <v>47</v>
      </c>
      <c r="J49" s="5" t="s">
        <v>234</v>
      </c>
      <c r="K49" s="6">
        <v>0</v>
      </c>
      <c r="L49" s="5"/>
      <c r="M49" s="5"/>
      <c r="Q49" t="s">
        <v>293</v>
      </c>
    </row>
    <row r="50" spans="1:17" x14ac:dyDescent="0.45">
      <c r="A50">
        <v>48</v>
      </c>
      <c r="B50" s="5"/>
      <c r="C50" s="5">
        <v>4</v>
      </c>
      <c r="D50" s="5"/>
      <c r="E50" s="6"/>
      <c r="F50" s="5"/>
      <c r="G50" s="5"/>
      <c r="I50">
        <v>48</v>
      </c>
      <c r="J50" s="5" t="s">
        <v>235</v>
      </c>
      <c r="K50" s="6">
        <v>0</v>
      </c>
      <c r="L50" s="5"/>
      <c r="M50" s="5"/>
      <c r="Q50" t="s">
        <v>294</v>
      </c>
    </row>
    <row r="51" spans="1:17" x14ac:dyDescent="0.45">
      <c r="A51">
        <v>49</v>
      </c>
      <c r="B51" s="5"/>
      <c r="C51" s="5">
        <v>4</v>
      </c>
      <c r="D51" s="5"/>
      <c r="E51" s="6"/>
      <c r="F51" s="5"/>
      <c r="G51" s="5"/>
      <c r="I51">
        <v>49</v>
      </c>
      <c r="J51" s="5" t="s">
        <v>236</v>
      </c>
      <c r="K51" s="6">
        <v>0</v>
      </c>
      <c r="L51" s="5"/>
      <c r="M51" s="5"/>
      <c r="Q51" t="s">
        <v>295</v>
      </c>
    </row>
    <row r="52" spans="1:17" x14ac:dyDescent="0.45">
      <c r="A52">
        <v>50</v>
      </c>
      <c r="B52" s="5"/>
      <c r="C52" s="5">
        <v>4</v>
      </c>
      <c r="D52" s="5"/>
      <c r="E52" s="6"/>
      <c r="F52" s="5"/>
      <c r="G52" s="5"/>
      <c r="I52">
        <v>50</v>
      </c>
      <c r="J52" s="5" t="s">
        <v>238</v>
      </c>
      <c r="K52" s="6">
        <v>0</v>
      </c>
      <c r="L52" s="5"/>
      <c r="M52" s="5"/>
    </row>
    <row r="53" spans="1:17" x14ac:dyDescent="0.45">
      <c r="I53">
        <v>51</v>
      </c>
      <c r="J53" s="5" t="s">
        <v>273</v>
      </c>
      <c r="K53" s="6">
        <v>0</v>
      </c>
    </row>
    <row r="54" spans="1:17" x14ac:dyDescent="0.45">
      <c r="I54">
        <v>52</v>
      </c>
      <c r="J54" s="5" t="s">
        <v>274</v>
      </c>
      <c r="K54" s="6">
        <v>0</v>
      </c>
    </row>
    <row r="55" spans="1:17" x14ac:dyDescent="0.45">
      <c r="I55">
        <v>53</v>
      </c>
      <c r="J55" s="5" t="s">
        <v>275</v>
      </c>
      <c r="K55" s="6">
        <v>0</v>
      </c>
    </row>
    <row r="56" spans="1:17" x14ac:dyDescent="0.45">
      <c r="I56">
        <v>54</v>
      </c>
      <c r="J56" s="5" t="s">
        <v>276</v>
      </c>
      <c r="K56" s="6">
        <v>0</v>
      </c>
    </row>
    <row r="57" spans="1:17" x14ac:dyDescent="0.45">
      <c r="I57">
        <v>55</v>
      </c>
      <c r="J57" s="5" t="s">
        <v>277</v>
      </c>
      <c r="K57" s="6">
        <v>0</v>
      </c>
    </row>
    <row r="58" spans="1:17" x14ac:dyDescent="0.45">
      <c r="I58">
        <v>56</v>
      </c>
      <c r="J58" s="5" t="s">
        <v>296</v>
      </c>
      <c r="K58" s="6">
        <v>0</v>
      </c>
    </row>
    <row r="59" spans="1:17" x14ac:dyDescent="0.45">
      <c r="I59">
        <v>57</v>
      </c>
      <c r="J59" s="5" t="s">
        <v>297</v>
      </c>
      <c r="K59" s="6">
        <v>0</v>
      </c>
    </row>
    <row r="60" spans="1:17" x14ac:dyDescent="0.45">
      <c r="I60">
        <v>58</v>
      </c>
      <c r="J60" s="5" t="s">
        <v>298</v>
      </c>
      <c r="K60" s="6">
        <v>0</v>
      </c>
    </row>
    <row r="61" spans="1:17" x14ac:dyDescent="0.45">
      <c r="I61">
        <v>59</v>
      </c>
      <c r="J61" s="5" t="s">
        <v>299</v>
      </c>
      <c r="K61" s="6">
        <v>0</v>
      </c>
    </row>
  </sheetData>
  <dataValidations count="1">
    <dataValidation type="list" allowBlank="1" sqref="R3:R32" xr:uid="{00000000-0002-0000-0000-000000000000}">
      <formula1>"CAPITAL,LOAN,AMANAT"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503"/>
  <sheetViews>
    <sheetView topLeftCell="A29" workbookViewId="0">
      <selection activeCell="B52" sqref="B52"/>
    </sheetView>
  </sheetViews>
  <sheetFormatPr defaultRowHeight="14.25" x14ac:dyDescent="0.45"/>
  <cols>
    <col min="1" max="1" width="4" customWidth="1"/>
    <col min="2" max="2" width="13.06640625" customWidth="1"/>
    <col min="3" max="4" width="22" customWidth="1"/>
    <col min="5" max="5" width="6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18" x14ac:dyDescent="0.55000000000000004">
      <c r="A1" s="1" t="s">
        <v>95</v>
      </c>
    </row>
    <row r="3" spans="1:9" x14ac:dyDescent="0.45">
      <c r="A3" s="2" t="s">
        <v>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</row>
    <row r="4" spans="1:9" x14ac:dyDescent="0.45">
      <c r="A4">
        <v>1</v>
      </c>
      <c r="B4" s="8">
        <v>46107</v>
      </c>
      <c r="C4" s="5" t="s">
        <v>42</v>
      </c>
      <c r="D4" s="5" t="s">
        <v>233</v>
      </c>
      <c r="E4" s="5">
        <v>20</v>
      </c>
      <c r="F4" s="6">
        <v>11400</v>
      </c>
      <c r="G4" s="9">
        <f t="shared" ref="G4:G67" si="0">IF(E4="","",E4*F4)</f>
        <v>228000</v>
      </c>
      <c r="H4" s="6">
        <v>2000</v>
      </c>
      <c r="I4" s="9">
        <f t="shared" ref="I4:I67" si="1">IF(G4="","",G4-IF(H4="",0,H4))</f>
        <v>226000</v>
      </c>
    </row>
    <row r="5" spans="1:9" x14ac:dyDescent="0.45">
      <c r="A5">
        <v>2</v>
      </c>
      <c r="B5" s="8">
        <v>46107</v>
      </c>
      <c r="C5" s="5" t="s">
        <v>42</v>
      </c>
      <c r="D5" s="5" t="s">
        <v>234</v>
      </c>
      <c r="E5" s="5">
        <v>13</v>
      </c>
      <c r="F5" s="6">
        <v>8200</v>
      </c>
      <c r="G5" s="9">
        <f t="shared" si="0"/>
        <v>106600</v>
      </c>
      <c r="H5" s="6">
        <v>650</v>
      </c>
      <c r="I5" s="9">
        <f t="shared" si="1"/>
        <v>105950</v>
      </c>
    </row>
    <row r="6" spans="1:9" x14ac:dyDescent="0.45">
      <c r="A6">
        <v>3</v>
      </c>
      <c r="B6" s="8">
        <v>46107</v>
      </c>
      <c r="C6" s="5" t="s">
        <v>26</v>
      </c>
      <c r="D6" s="5" t="s">
        <v>235</v>
      </c>
      <c r="E6" s="5">
        <v>12</v>
      </c>
      <c r="F6" s="6">
        <v>9500</v>
      </c>
      <c r="G6" s="9">
        <f t="shared" si="0"/>
        <v>114000</v>
      </c>
      <c r="H6" s="6"/>
      <c r="I6" s="9">
        <f t="shared" si="1"/>
        <v>114000</v>
      </c>
    </row>
    <row r="7" spans="1:9" x14ac:dyDescent="0.45">
      <c r="A7">
        <v>4</v>
      </c>
      <c r="B7" s="8">
        <v>46107</v>
      </c>
      <c r="C7" s="5" t="s">
        <v>26</v>
      </c>
      <c r="D7" s="5" t="s">
        <v>236</v>
      </c>
      <c r="E7" s="5">
        <v>10</v>
      </c>
      <c r="F7" s="6">
        <v>8500</v>
      </c>
      <c r="G7" s="9">
        <f t="shared" si="0"/>
        <v>85000</v>
      </c>
      <c r="H7" s="6"/>
      <c r="I7" s="9">
        <f t="shared" si="1"/>
        <v>85000</v>
      </c>
    </row>
    <row r="8" spans="1:9" x14ac:dyDescent="0.45">
      <c r="A8">
        <v>5</v>
      </c>
      <c r="B8" s="8">
        <v>46107</v>
      </c>
      <c r="C8" s="5" t="s">
        <v>26</v>
      </c>
      <c r="D8" s="5" t="s">
        <v>46</v>
      </c>
      <c r="E8" s="5">
        <v>1</v>
      </c>
      <c r="F8" s="6">
        <v>6500</v>
      </c>
      <c r="G8" s="9">
        <f t="shared" si="0"/>
        <v>6500</v>
      </c>
      <c r="H8" s="6"/>
      <c r="I8" s="9">
        <f t="shared" si="1"/>
        <v>6500</v>
      </c>
    </row>
    <row r="9" spans="1:9" x14ac:dyDescent="0.45">
      <c r="A9">
        <v>6</v>
      </c>
      <c r="B9" s="8">
        <v>46107</v>
      </c>
      <c r="C9" s="5" t="s">
        <v>237</v>
      </c>
      <c r="D9" s="5" t="s">
        <v>35</v>
      </c>
      <c r="E9" s="5">
        <v>11</v>
      </c>
      <c r="F9" s="6">
        <v>10250</v>
      </c>
      <c r="G9" s="9">
        <f t="shared" si="0"/>
        <v>112750</v>
      </c>
      <c r="H9" s="6">
        <v>2750</v>
      </c>
      <c r="I9" s="9">
        <f t="shared" si="1"/>
        <v>110000</v>
      </c>
    </row>
    <row r="10" spans="1:9" x14ac:dyDescent="0.45">
      <c r="A10">
        <v>7</v>
      </c>
      <c r="B10" s="8">
        <v>46107</v>
      </c>
      <c r="C10" s="5" t="s">
        <v>51</v>
      </c>
      <c r="D10" s="5" t="s">
        <v>40</v>
      </c>
      <c r="E10" s="5">
        <v>6</v>
      </c>
      <c r="F10" s="6">
        <v>9350</v>
      </c>
      <c r="G10" s="9">
        <f t="shared" si="0"/>
        <v>56100</v>
      </c>
      <c r="H10" s="6"/>
      <c r="I10" s="9">
        <f t="shared" si="1"/>
        <v>56100</v>
      </c>
    </row>
    <row r="11" spans="1:9" x14ac:dyDescent="0.45">
      <c r="A11">
        <v>8</v>
      </c>
      <c r="B11" s="8">
        <v>46107</v>
      </c>
      <c r="C11" s="5" t="s">
        <v>51</v>
      </c>
      <c r="D11" s="5" t="s">
        <v>46</v>
      </c>
      <c r="E11" s="5">
        <v>4</v>
      </c>
      <c r="F11" s="6">
        <v>8750</v>
      </c>
      <c r="G11" s="9">
        <f t="shared" si="0"/>
        <v>35000</v>
      </c>
      <c r="H11" s="6"/>
      <c r="I11" s="9">
        <f t="shared" si="1"/>
        <v>35000</v>
      </c>
    </row>
    <row r="12" spans="1:9" x14ac:dyDescent="0.45">
      <c r="A12">
        <v>9</v>
      </c>
      <c r="B12" s="8">
        <v>46107</v>
      </c>
      <c r="C12" s="5" t="s">
        <v>51</v>
      </c>
      <c r="D12" s="5" t="s">
        <v>27</v>
      </c>
      <c r="E12" s="5">
        <v>4</v>
      </c>
      <c r="F12" s="6">
        <v>8075</v>
      </c>
      <c r="G12" s="9">
        <f t="shared" si="0"/>
        <v>32300</v>
      </c>
      <c r="H12" s="6"/>
      <c r="I12" s="9">
        <f t="shared" si="1"/>
        <v>32300</v>
      </c>
    </row>
    <row r="13" spans="1:9" x14ac:dyDescent="0.45">
      <c r="A13">
        <v>10</v>
      </c>
      <c r="B13" s="8">
        <v>46107</v>
      </c>
      <c r="C13" s="5" t="s">
        <v>51</v>
      </c>
      <c r="D13" s="5" t="s">
        <v>238</v>
      </c>
      <c r="E13" s="5">
        <v>10</v>
      </c>
      <c r="F13" s="6">
        <v>6500</v>
      </c>
      <c r="G13" s="9">
        <f t="shared" si="0"/>
        <v>65000</v>
      </c>
      <c r="H13" s="6"/>
      <c r="I13" s="9">
        <f t="shared" si="1"/>
        <v>65000</v>
      </c>
    </row>
    <row r="14" spans="1:9" x14ac:dyDescent="0.45">
      <c r="A14">
        <v>11</v>
      </c>
      <c r="B14" s="8">
        <v>46109</v>
      </c>
      <c r="C14" s="5" t="s">
        <v>67</v>
      </c>
      <c r="D14" s="5" t="s">
        <v>73</v>
      </c>
      <c r="E14" s="5">
        <v>10</v>
      </c>
      <c r="F14" s="6">
        <v>15500</v>
      </c>
      <c r="G14" s="9">
        <f t="shared" si="0"/>
        <v>155000</v>
      </c>
      <c r="H14" s="6">
        <v>2000</v>
      </c>
      <c r="I14" s="9">
        <f t="shared" si="1"/>
        <v>153000</v>
      </c>
    </row>
    <row r="15" spans="1:9" x14ac:dyDescent="0.45">
      <c r="A15">
        <v>12</v>
      </c>
      <c r="B15" s="8">
        <v>46109</v>
      </c>
      <c r="C15" s="5" t="s">
        <v>67</v>
      </c>
      <c r="D15" s="5" t="s">
        <v>27</v>
      </c>
      <c r="E15" s="5">
        <v>5</v>
      </c>
      <c r="F15" s="6">
        <v>14000</v>
      </c>
      <c r="G15" s="9">
        <f t="shared" si="0"/>
        <v>70000</v>
      </c>
      <c r="H15" s="6">
        <v>2500</v>
      </c>
      <c r="I15" s="9">
        <f t="shared" si="1"/>
        <v>67500</v>
      </c>
    </row>
    <row r="16" spans="1:9" x14ac:dyDescent="0.45">
      <c r="A16">
        <v>13</v>
      </c>
      <c r="B16" s="8">
        <v>46109</v>
      </c>
      <c r="C16" s="5" t="s">
        <v>36</v>
      </c>
      <c r="D16" s="5" t="s">
        <v>76</v>
      </c>
      <c r="E16" s="5">
        <v>15</v>
      </c>
      <c r="F16" s="6">
        <v>13750</v>
      </c>
      <c r="G16" s="9">
        <f t="shared" si="0"/>
        <v>206250</v>
      </c>
      <c r="H16" s="6"/>
      <c r="I16" s="9">
        <f t="shared" si="1"/>
        <v>206250</v>
      </c>
    </row>
    <row r="17" spans="1:9" x14ac:dyDescent="0.45">
      <c r="A17">
        <v>14</v>
      </c>
      <c r="B17" s="8">
        <v>46109</v>
      </c>
      <c r="C17" s="5" t="s">
        <v>36</v>
      </c>
      <c r="D17" s="5" t="s">
        <v>93</v>
      </c>
      <c r="E17" s="5">
        <v>11</v>
      </c>
      <c r="F17" s="6">
        <v>10600</v>
      </c>
      <c r="G17" s="9">
        <f t="shared" si="0"/>
        <v>116600</v>
      </c>
      <c r="H17" s="6">
        <v>1100</v>
      </c>
      <c r="I17" s="9">
        <f t="shared" si="1"/>
        <v>115500</v>
      </c>
    </row>
    <row r="18" spans="1:9" x14ac:dyDescent="0.45">
      <c r="A18">
        <v>15</v>
      </c>
      <c r="B18" s="8">
        <v>46109</v>
      </c>
      <c r="C18" s="5" t="s">
        <v>16</v>
      </c>
      <c r="D18" s="5" t="s">
        <v>77</v>
      </c>
      <c r="E18" s="5">
        <v>15</v>
      </c>
      <c r="F18" s="6">
        <v>15750</v>
      </c>
      <c r="G18" s="9">
        <f t="shared" si="0"/>
        <v>236250</v>
      </c>
      <c r="H18" s="6"/>
      <c r="I18" s="9">
        <f t="shared" si="1"/>
        <v>236250</v>
      </c>
    </row>
    <row r="19" spans="1:9" x14ac:dyDescent="0.45">
      <c r="A19">
        <v>16</v>
      </c>
      <c r="B19" s="8">
        <v>46109</v>
      </c>
      <c r="C19" s="5" t="s">
        <v>16</v>
      </c>
      <c r="D19" s="5" t="s">
        <v>77</v>
      </c>
      <c r="E19" s="5">
        <v>1</v>
      </c>
      <c r="F19" s="6">
        <v>12000</v>
      </c>
      <c r="G19" s="9">
        <f t="shared" si="0"/>
        <v>12000</v>
      </c>
      <c r="H19" s="6"/>
      <c r="I19" s="9">
        <f t="shared" si="1"/>
        <v>12000</v>
      </c>
    </row>
    <row r="20" spans="1:9" x14ac:dyDescent="0.45">
      <c r="A20">
        <v>17</v>
      </c>
      <c r="B20" s="8">
        <v>46109</v>
      </c>
      <c r="C20" s="5" t="s">
        <v>16</v>
      </c>
      <c r="D20" s="5" t="s">
        <v>273</v>
      </c>
      <c r="E20" s="5">
        <v>13</v>
      </c>
      <c r="F20" s="6">
        <v>9800</v>
      </c>
      <c r="G20" s="9">
        <f t="shared" si="0"/>
        <v>127400</v>
      </c>
      <c r="H20" s="6">
        <v>1300</v>
      </c>
      <c r="I20" s="9">
        <f t="shared" si="1"/>
        <v>126100</v>
      </c>
    </row>
    <row r="21" spans="1:9" x14ac:dyDescent="0.45">
      <c r="A21">
        <v>18</v>
      </c>
      <c r="B21" s="8">
        <v>46109</v>
      </c>
      <c r="C21" s="5" t="s">
        <v>16</v>
      </c>
      <c r="D21" s="5" t="s">
        <v>234</v>
      </c>
      <c r="E21" s="5">
        <v>15</v>
      </c>
      <c r="F21" s="6">
        <v>7100</v>
      </c>
      <c r="G21" s="9">
        <f t="shared" si="0"/>
        <v>106500</v>
      </c>
      <c r="H21" s="6"/>
      <c r="I21" s="9">
        <f t="shared" si="1"/>
        <v>106500</v>
      </c>
    </row>
    <row r="22" spans="1:9" x14ac:dyDescent="0.45">
      <c r="A22">
        <v>19</v>
      </c>
      <c r="B22" s="8">
        <v>46109</v>
      </c>
      <c r="C22" s="5" t="s">
        <v>237</v>
      </c>
      <c r="D22" s="5" t="s">
        <v>66</v>
      </c>
      <c r="E22" s="5">
        <v>18</v>
      </c>
      <c r="F22" s="6">
        <v>8400</v>
      </c>
      <c r="G22" s="9">
        <f t="shared" si="0"/>
        <v>151200</v>
      </c>
      <c r="H22" s="6">
        <v>7200</v>
      </c>
      <c r="I22" s="9">
        <f t="shared" si="1"/>
        <v>144000</v>
      </c>
    </row>
    <row r="23" spans="1:9" x14ac:dyDescent="0.45">
      <c r="A23">
        <v>20</v>
      </c>
      <c r="B23" s="8">
        <v>46109</v>
      </c>
      <c r="C23" s="5" t="s">
        <v>237</v>
      </c>
      <c r="D23" s="5" t="s">
        <v>17</v>
      </c>
      <c r="E23" s="5">
        <v>13</v>
      </c>
      <c r="F23" s="6">
        <v>7600</v>
      </c>
      <c r="G23" s="9">
        <f t="shared" si="0"/>
        <v>98800</v>
      </c>
      <c r="H23" s="6"/>
      <c r="I23" s="9">
        <f t="shared" si="1"/>
        <v>98800</v>
      </c>
    </row>
    <row r="24" spans="1:9" x14ac:dyDescent="0.45">
      <c r="A24">
        <v>21</v>
      </c>
      <c r="B24" s="8">
        <v>46109</v>
      </c>
      <c r="C24" s="5" t="s">
        <v>34</v>
      </c>
      <c r="D24" s="5" t="s">
        <v>274</v>
      </c>
      <c r="E24" s="5">
        <v>21</v>
      </c>
      <c r="F24" s="6">
        <v>15500</v>
      </c>
      <c r="G24" s="9">
        <f t="shared" si="0"/>
        <v>325500</v>
      </c>
      <c r="H24" s="6"/>
      <c r="I24" s="9"/>
    </row>
    <row r="25" spans="1:9" x14ac:dyDescent="0.45">
      <c r="A25">
        <v>22</v>
      </c>
      <c r="B25" s="8">
        <v>46109</v>
      </c>
      <c r="C25" s="5" t="s">
        <v>34</v>
      </c>
      <c r="D25" s="5" t="s">
        <v>274</v>
      </c>
      <c r="E25" s="5">
        <v>1</v>
      </c>
      <c r="F25" s="6">
        <v>12500</v>
      </c>
      <c r="G25" s="9">
        <f t="shared" si="0"/>
        <v>12500</v>
      </c>
      <c r="H25" s="6"/>
      <c r="I25" s="9">
        <f t="shared" si="1"/>
        <v>12500</v>
      </c>
    </row>
    <row r="26" spans="1:9" x14ac:dyDescent="0.45">
      <c r="A26">
        <v>23</v>
      </c>
      <c r="B26" s="8">
        <v>46109</v>
      </c>
      <c r="C26" s="5" t="s">
        <v>34</v>
      </c>
      <c r="D26" s="5" t="s">
        <v>275</v>
      </c>
      <c r="E26" s="5">
        <v>8</v>
      </c>
      <c r="F26" s="6">
        <v>10500</v>
      </c>
      <c r="G26" s="9">
        <f t="shared" si="0"/>
        <v>84000</v>
      </c>
      <c r="H26" s="6">
        <v>800</v>
      </c>
      <c r="I26" s="9">
        <f t="shared" si="1"/>
        <v>83200</v>
      </c>
    </row>
    <row r="27" spans="1:9" x14ac:dyDescent="0.45">
      <c r="A27">
        <v>24</v>
      </c>
      <c r="B27" s="8">
        <v>46109</v>
      </c>
      <c r="C27" s="5" t="s">
        <v>34</v>
      </c>
      <c r="D27" s="5" t="s">
        <v>236</v>
      </c>
      <c r="E27" s="5">
        <v>2</v>
      </c>
      <c r="F27" s="6">
        <v>21000</v>
      </c>
      <c r="G27" s="9">
        <f t="shared" si="0"/>
        <v>42000</v>
      </c>
      <c r="H27" s="6"/>
      <c r="I27" s="9">
        <f t="shared" si="1"/>
        <v>42000</v>
      </c>
    </row>
    <row r="28" spans="1:9" x14ac:dyDescent="0.45">
      <c r="A28">
        <v>25</v>
      </c>
      <c r="B28" s="8">
        <v>46109</v>
      </c>
      <c r="C28" s="5" t="s">
        <v>26</v>
      </c>
      <c r="D28" s="5" t="s">
        <v>40</v>
      </c>
      <c r="E28" s="5">
        <v>14</v>
      </c>
      <c r="F28" s="6">
        <v>9200</v>
      </c>
      <c r="G28" s="9">
        <f t="shared" si="0"/>
        <v>128800</v>
      </c>
      <c r="H28" s="6"/>
      <c r="I28" s="9">
        <f t="shared" si="1"/>
        <v>128800</v>
      </c>
    </row>
    <row r="29" spans="1:9" x14ac:dyDescent="0.45">
      <c r="A29">
        <v>26</v>
      </c>
      <c r="B29" s="8">
        <v>46109</v>
      </c>
      <c r="C29" s="5" t="s">
        <v>26</v>
      </c>
      <c r="D29" s="5" t="s">
        <v>234</v>
      </c>
      <c r="E29" s="5">
        <v>11</v>
      </c>
      <c r="F29" s="6">
        <v>5750</v>
      </c>
      <c r="G29" s="9">
        <f t="shared" si="0"/>
        <v>63250</v>
      </c>
      <c r="H29" s="6">
        <v>550</v>
      </c>
      <c r="I29" s="9">
        <f t="shared" si="1"/>
        <v>62700</v>
      </c>
    </row>
    <row r="30" spans="1:9" x14ac:dyDescent="0.45">
      <c r="A30">
        <v>27</v>
      </c>
      <c r="B30" s="8">
        <v>46109</v>
      </c>
      <c r="C30" s="5" t="s">
        <v>26</v>
      </c>
      <c r="D30" s="5" t="s">
        <v>27</v>
      </c>
      <c r="E30" s="5">
        <v>10</v>
      </c>
      <c r="F30" s="6">
        <v>11500</v>
      </c>
      <c r="G30" s="9">
        <f t="shared" si="0"/>
        <v>115000</v>
      </c>
      <c r="H30" s="6">
        <v>2500</v>
      </c>
      <c r="I30" s="9">
        <f t="shared" si="1"/>
        <v>112500</v>
      </c>
    </row>
    <row r="31" spans="1:9" x14ac:dyDescent="0.45">
      <c r="A31">
        <v>28</v>
      </c>
      <c r="B31" s="8">
        <v>46109</v>
      </c>
      <c r="C31" s="5" t="s">
        <v>26</v>
      </c>
      <c r="D31" s="5" t="s">
        <v>46</v>
      </c>
      <c r="E31" s="5">
        <v>10</v>
      </c>
      <c r="F31" s="6">
        <v>10500</v>
      </c>
      <c r="G31" s="9">
        <f t="shared" si="0"/>
        <v>105000</v>
      </c>
      <c r="H31" s="6"/>
      <c r="I31" s="9">
        <f t="shared" si="1"/>
        <v>105000</v>
      </c>
    </row>
    <row r="32" spans="1:9" x14ac:dyDescent="0.45">
      <c r="A32">
        <v>29</v>
      </c>
      <c r="B32" s="8">
        <v>46109</v>
      </c>
      <c r="C32" s="5" t="s">
        <v>51</v>
      </c>
      <c r="D32" s="5" t="s">
        <v>235</v>
      </c>
      <c r="E32" s="5">
        <v>18</v>
      </c>
      <c r="F32" s="6">
        <v>8750</v>
      </c>
      <c r="G32" s="9">
        <f t="shared" si="0"/>
        <v>157500</v>
      </c>
      <c r="H32" s="6"/>
      <c r="I32" s="9">
        <f t="shared" si="1"/>
        <v>157500</v>
      </c>
    </row>
    <row r="33" spans="1:9" x14ac:dyDescent="0.45">
      <c r="A33">
        <v>30</v>
      </c>
      <c r="B33" s="8">
        <v>46109</v>
      </c>
      <c r="C33" s="5" t="s">
        <v>51</v>
      </c>
      <c r="D33" s="5" t="s">
        <v>235</v>
      </c>
      <c r="E33" s="5">
        <v>2</v>
      </c>
      <c r="F33" s="6">
        <v>6000</v>
      </c>
      <c r="G33" s="9">
        <f t="shared" si="0"/>
        <v>12000</v>
      </c>
      <c r="H33" s="6"/>
      <c r="I33" s="9">
        <f t="shared" si="1"/>
        <v>12000</v>
      </c>
    </row>
    <row r="34" spans="1:9" x14ac:dyDescent="0.45">
      <c r="A34">
        <v>31</v>
      </c>
      <c r="B34" s="8">
        <v>28</v>
      </c>
      <c r="C34" s="5" t="s">
        <v>51</v>
      </c>
      <c r="D34" s="5" t="s">
        <v>27</v>
      </c>
      <c r="E34" s="5">
        <v>2</v>
      </c>
      <c r="F34" s="6">
        <v>17000</v>
      </c>
      <c r="G34" s="9">
        <f t="shared" si="0"/>
        <v>34000</v>
      </c>
      <c r="H34" s="6"/>
      <c r="I34" s="9">
        <f t="shared" si="1"/>
        <v>34000</v>
      </c>
    </row>
    <row r="35" spans="1:9" x14ac:dyDescent="0.45">
      <c r="A35">
        <v>32</v>
      </c>
      <c r="B35" s="8">
        <v>46109</v>
      </c>
      <c r="C35" s="5" t="s">
        <v>31</v>
      </c>
      <c r="D35" s="5" t="s">
        <v>276</v>
      </c>
      <c r="E35" s="5">
        <v>5</v>
      </c>
      <c r="F35" s="6">
        <v>4750</v>
      </c>
      <c r="G35" s="9">
        <f t="shared" si="0"/>
        <v>23750</v>
      </c>
      <c r="H35" s="6"/>
      <c r="I35" s="9">
        <f t="shared" si="1"/>
        <v>23750</v>
      </c>
    </row>
    <row r="36" spans="1:9" x14ac:dyDescent="0.45">
      <c r="A36">
        <v>33</v>
      </c>
      <c r="B36" s="8">
        <v>46109</v>
      </c>
      <c r="C36" s="5" t="s">
        <v>48</v>
      </c>
      <c r="D36" s="5" t="s">
        <v>277</v>
      </c>
      <c r="E36" s="5">
        <v>5</v>
      </c>
      <c r="F36" s="6">
        <v>8400</v>
      </c>
      <c r="G36" s="9">
        <f t="shared" si="0"/>
        <v>42000</v>
      </c>
      <c r="H36" s="6"/>
      <c r="I36" s="9">
        <f t="shared" si="1"/>
        <v>42000</v>
      </c>
    </row>
    <row r="37" spans="1:9" x14ac:dyDescent="0.45">
      <c r="A37">
        <v>34</v>
      </c>
      <c r="B37" s="8">
        <v>46112</v>
      </c>
      <c r="C37" s="5" t="s">
        <v>16</v>
      </c>
      <c r="D37" s="5" t="s">
        <v>296</v>
      </c>
      <c r="E37" s="5">
        <v>13</v>
      </c>
      <c r="F37" s="6">
        <v>17200</v>
      </c>
      <c r="G37" s="9">
        <f t="shared" si="0"/>
        <v>223600</v>
      </c>
      <c r="H37" s="6">
        <v>2600</v>
      </c>
      <c r="I37" s="9">
        <f t="shared" si="1"/>
        <v>221000</v>
      </c>
    </row>
    <row r="38" spans="1:9" x14ac:dyDescent="0.45">
      <c r="A38">
        <v>35</v>
      </c>
      <c r="B38" s="8">
        <v>46112</v>
      </c>
      <c r="C38" s="5" t="s">
        <v>16</v>
      </c>
      <c r="D38" s="5" t="s">
        <v>297</v>
      </c>
      <c r="E38" s="5">
        <v>5</v>
      </c>
      <c r="F38" s="6">
        <v>7250</v>
      </c>
      <c r="G38" s="9">
        <f t="shared" si="0"/>
        <v>36250</v>
      </c>
      <c r="H38" s="6"/>
      <c r="I38" s="9">
        <f t="shared" si="1"/>
        <v>36250</v>
      </c>
    </row>
    <row r="39" spans="1:9" x14ac:dyDescent="0.45">
      <c r="A39">
        <v>36</v>
      </c>
      <c r="B39" s="8">
        <v>46112</v>
      </c>
      <c r="C39" s="5" t="s">
        <v>31</v>
      </c>
      <c r="D39" s="5" t="s">
        <v>236</v>
      </c>
      <c r="E39" s="5">
        <v>1</v>
      </c>
      <c r="F39" s="6">
        <v>19000</v>
      </c>
      <c r="G39" s="9">
        <f t="shared" si="0"/>
        <v>19000</v>
      </c>
      <c r="H39" s="6"/>
      <c r="I39" s="9">
        <f t="shared" si="1"/>
        <v>19000</v>
      </c>
    </row>
    <row r="40" spans="1:9" x14ac:dyDescent="0.45">
      <c r="A40">
        <v>37</v>
      </c>
      <c r="B40" s="8">
        <v>46112</v>
      </c>
      <c r="C40" s="5" t="s">
        <v>31</v>
      </c>
      <c r="D40" s="5" t="s">
        <v>69</v>
      </c>
      <c r="E40" s="5">
        <v>15</v>
      </c>
      <c r="F40" s="6">
        <v>15500</v>
      </c>
      <c r="G40" s="9">
        <f t="shared" si="0"/>
        <v>232500</v>
      </c>
      <c r="H40" s="6"/>
      <c r="I40" s="9">
        <f t="shared" si="1"/>
        <v>232500</v>
      </c>
    </row>
    <row r="41" spans="1:9" x14ac:dyDescent="0.45">
      <c r="A41">
        <v>38</v>
      </c>
      <c r="B41" s="8">
        <v>46112</v>
      </c>
      <c r="C41" s="5" t="s">
        <v>31</v>
      </c>
      <c r="D41" s="5" t="s">
        <v>69</v>
      </c>
      <c r="E41" s="5">
        <v>1</v>
      </c>
      <c r="F41" s="6">
        <v>10000</v>
      </c>
      <c r="G41" s="9">
        <f t="shared" si="0"/>
        <v>10000</v>
      </c>
      <c r="H41" s="6"/>
      <c r="I41" s="9">
        <f t="shared" si="1"/>
        <v>10000</v>
      </c>
    </row>
    <row r="42" spans="1:9" x14ac:dyDescent="0.45">
      <c r="A42">
        <v>39</v>
      </c>
      <c r="B42" s="8">
        <v>46112</v>
      </c>
      <c r="C42" s="5" t="s">
        <v>31</v>
      </c>
      <c r="D42" s="5" t="s">
        <v>69</v>
      </c>
      <c r="E42" s="5">
        <v>13</v>
      </c>
      <c r="F42" s="6">
        <v>10500</v>
      </c>
      <c r="G42" s="9">
        <f t="shared" si="0"/>
        <v>136500</v>
      </c>
      <c r="H42" s="6"/>
      <c r="I42" s="9">
        <f t="shared" si="1"/>
        <v>136500</v>
      </c>
    </row>
    <row r="43" spans="1:9" x14ac:dyDescent="0.45">
      <c r="A43">
        <v>40</v>
      </c>
      <c r="B43" s="8">
        <v>46112</v>
      </c>
      <c r="C43" s="5" t="s">
        <v>31</v>
      </c>
      <c r="D43" s="5" t="s">
        <v>69</v>
      </c>
      <c r="E43" s="5">
        <v>2</v>
      </c>
      <c r="F43" s="6">
        <v>9000</v>
      </c>
      <c r="G43" s="9">
        <f t="shared" si="0"/>
        <v>18000</v>
      </c>
      <c r="H43" s="6"/>
      <c r="I43" s="9">
        <f t="shared" si="1"/>
        <v>18000</v>
      </c>
    </row>
    <row r="44" spans="1:9" x14ac:dyDescent="0.45">
      <c r="A44">
        <v>41</v>
      </c>
      <c r="B44" s="8">
        <v>46112</v>
      </c>
      <c r="C44" s="5" t="s">
        <v>48</v>
      </c>
      <c r="D44" s="5" t="s">
        <v>298</v>
      </c>
      <c r="E44" s="5">
        <v>10</v>
      </c>
      <c r="F44" s="6">
        <v>11000</v>
      </c>
      <c r="G44" s="9">
        <f t="shared" si="0"/>
        <v>110000</v>
      </c>
      <c r="H44" s="6"/>
      <c r="I44" s="9">
        <f t="shared" si="1"/>
        <v>110000</v>
      </c>
    </row>
    <row r="45" spans="1:9" x14ac:dyDescent="0.45">
      <c r="A45">
        <v>42</v>
      </c>
      <c r="B45" s="8">
        <v>46112</v>
      </c>
      <c r="C45" s="5" t="s">
        <v>48</v>
      </c>
      <c r="D45" s="5" t="s">
        <v>54</v>
      </c>
      <c r="E45" s="5">
        <v>18</v>
      </c>
      <c r="F45" s="6">
        <v>8600</v>
      </c>
      <c r="G45" s="9">
        <f t="shared" si="0"/>
        <v>154800</v>
      </c>
      <c r="H45" s="6"/>
      <c r="I45" s="9">
        <f t="shared" si="1"/>
        <v>154800</v>
      </c>
    </row>
    <row r="46" spans="1:9" x14ac:dyDescent="0.45">
      <c r="A46">
        <v>43</v>
      </c>
      <c r="B46" s="8">
        <v>46112</v>
      </c>
      <c r="C46" s="5" t="s">
        <v>48</v>
      </c>
      <c r="D46" s="5" t="s">
        <v>54</v>
      </c>
      <c r="E46" s="5">
        <v>2</v>
      </c>
      <c r="F46" s="6">
        <v>7000</v>
      </c>
      <c r="G46" s="9">
        <f t="shared" si="0"/>
        <v>14000</v>
      </c>
      <c r="H46" s="6"/>
      <c r="I46" s="9">
        <f t="shared" si="1"/>
        <v>14000</v>
      </c>
    </row>
    <row r="47" spans="1:9" x14ac:dyDescent="0.45">
      <c r="A47">
        <v>44</v>
      </c>
      <c r="B47" s="8">
        <v>46112</v>
      </c>
      <c r="C47" s="5" t="s">
        <v>39</v>
      </c>
      <c r="D47" s="5" t="s">
        <v>29</v>
      </c>
      <c r="E47" s="5">
        <v>17</v>
      </c>
      <c r="F47" s="6">
        <v>11500</v>
      </c>
      <c r="G47" s="9">
        <f t="shared" si="0"/>
        <v>195500</v>
      </c>
      <c r="H47" s="6"/>
      <c r="I47" s="9">
        <f t="shared" si="1"/>
        <v>195500</v>
      </c>
    </row>
    <row r="48" spans="1:9" x14ac:dyDescent="0.45">
      <c r="A48">
        <v>45</v>
      </c>
      <c r="B48" s="8">
        <v>46112</v>
      </c>
      <c r="C48" s="5" t="s">
        <v>26</v>
      </c>
      <c r="D48" s="5" t="s">
        <v>299</v>
      </c>
      <c r="E48" s="5">
        <v>16</v>
      </c>
      <c r="F48" s="6">
        <v>10400</v>
      </c>
      <c r="G48" s="9">
        <f t="shared" si="0"/>
        <v>166400</v>
      </c>
      <c r="H48" s="6">
        <v>1600</v>
      </c>
      <c r="I48" s="9">
        <f t="shared" si="1"/>
        <v>164800</v>
      </c>
    </row>
    <row r="49" spans="1:9" x14ac:dyDescent="0.45">
      <c r="A49">
        <v>46</v>
      </c>
      <c r="B49" s="8">
        <v>46112</v>
      </c>
      <c r="C49" s="5" t="s">
        <v>26</v>
      </c>
      <c r="D49" s="5" t="s">
        <v>235</v>
      </c>
      <c r="E49" s="5">
        <v>10</v>
      </c>
      <c r="F49" s="6">
        <v>7500</v>
      </c>
      <c r="G49" s="9">
        <f t="shared" si="0"/>
        <v>75000</v>
      </c>
      <c r="H49" s="6"/>
      <c r="I49" s="9">
        <f t="shared" si="1"/>
        <v>75000</v>
      </c>
    </row>
    <row r="50" spans="1:9" x14ac:dyDescent="0.45">
      <c r="A50">
        <v>47</v>
      </c>
      <c r="B50" s="8">
        <v>46112</v>
      </c>
      <c r="C50" s="5" t="s">
        <v>36</v>
      </c>
      <c r="D50" s="5" t="s">
        <v>66</v>
      </c>
      <c r="E50" s="5">
        <v>15</v>
      </c>
      <c r="F50" s="6">
        <v>8100</v>
      </c>
      <c r="G50" s="9">
        <f t="shared" si="0"/>
        <v>121500</v>
      </c>
      <c r="H50" s="6">
        <v>1500</v>
      </c>
      <c r="I50" s="9">
        <f t="shared" si="1"/>
        <v>120000</v>
      </c>
    </row>
    <row r="51" spans="1:9" x14ac:dyDescent="0.45">
      <c r="A51">
        <v>48</v>
      </c>
      <c r="B51" s="8">
        <v>46112</v>
      </c>
      <c r="C51" s="5" t="s">
        <v>51</v>
      </c>
      <c r="D51" s="5" t="s">
        <v>297</v>
      </c>
      <c r="E51" s="5">
        <v>12</v>
      </c>
      <c r="F51" s="6">
        <v>15200</v>
      </c>
      <c r="G51" s="9">
        <f t="shared" si="0"/>
        <v>182400</v>
      </c>
      <c r="H51" s="6"/>
      <c r="I51" s="9">
        <f t="shared" si="1"/>
        <v>182400</v>
      </c>
    </row>
    <row r="52" spans="1:9" x14ac:dyDescent="0.45">
      <c r="A52">
        <v>49</v>
      </c>
      <c r="B52" s="8"/>
      <c r="C52" s="5"/>
      <c r="D52" s="5"/>
      <c r="E52" s="5"/>
      <c r="F52" s="6"/>
      <c r="G52" s="9" t="str">
        <f t="shared" si="0"/>
        <v/>
      </c>
      <c r="H52" s="6"/>
      <c r="I52" s="9" t="str">
        <f t="shared" si="1"/>
        <v/>
      </c>
    </row>
    <row r="53" spans="1:9" x14ac:dyDescent="0.45">
      <c r="A53">
        <v>50</v>
      </c>
      <c r="B53" s="8"/>
      <c r="C53" s="5"/>
      <c r="D53" s="5"/>
      <c r="E53" s="5"/>
      <c r="F53" s="6"/>
      <c r="G53" s="9" t="str">
        <f t="shared" si="0"/>
        <v/>
      </c>
      <c r="H53" s="6"/>
      <c r="I53" s="9" t="str">
        <f t="shared" si="1"/>
        <v/>
      </c>
    </row>
    <row r="54" spans="1:9" x14ac:dyDescent="0.45">
      <c r="A54">
        <v>51</v>
      </c>
      <c r="B54" s="8"/>
      <c r="C54" s="5"/>
      <c r="D54" s="5"/>
      <c r="E54" s="5"/>
      <c r="F54" s="6"/>
      <c r="G54" s="9" t="str">
        <f t="shared" si="0"/>
        <v/>
      </c>
      <c r="H54" s="6"/>
      <c r="I54" s="9" t="str">
        <f t="shared" si="1"/>
        <v/>
      </c>
    </row>
    <row r="55" spans="1:9" x14ac:dyDescent="0.45">
      <c r="A55">
        <v>52</v>
      </c>
      <c r="B55" s="8"/>
      <c r="C55" s="5"/>
      <c r="D55" s="5"/>
      <c r="E55" s="5"/>
      <c r="F55" s="6"/>
      <c r="G55" s="9" t="str">
        <f t="shared" si="0"/>
        <v/>
      </c>
      <c r="H55" s="6"/>
      <c r="I55" s="9" t="str">
        <f t="shared" si="1"/>
        <v/>
      </c>
    </row>
    <row r="56" spans="1:9" x14ac:dyDescent="0.45">
      <c r="A56">
        <v>53</v>
      </c>
      <c r="B56" s="8"/>
      <c r="C56" s="5"/>
      <c r="D56" s="5"/>
      <c r="E56" s="5"/>
      <c r="F56" s="6"/>
      <c r="G56" s="9" t="str">
        <f t="shared" si="0"/>
        <v/>
      </c>
      <c r="H56" s="6"/>
      <c r="I56" s="9" t="str">
        <f t="shared" si="1"/>
        <v/>
      </c>
    </row>
    <row r="57" spans="1:9" x14ac:dyDescent="0.45">
      <c r="A57">
        <v>54</v>
      </c>
      <c r="B57" s="8"/>
      <c r="C57" s="5"/>
      <c r="D57" s="5"/>
      <c r="E57" s="5"/>
      <c r="F57" s="6"/>
      <c r="G57" s="9" t="str">
        <f t="shared" si="0"/>
        <v/>
      </c>
      <c r="H57" s="6"/>
      <c r="I57" s="9" t="str">
        <f t="shared" si="1"/>
        <v/>
      </c>
    </row>
    <row r="58" spans="1:9" x14ac:dyDescent="0.45">
      <c r="A58">
        <v>55</v>
      </c>
      <c r="B58" s="8"/>
      <c r="C58" s="5"/>
      <c r="D58" s="5"/>
      <c r="E58" s="5"/>
      <c r="F58" s="6"/>
      <c r="G58" s="9" t="str">
        <f t="shared" si="0"/>
        <v/>
      </c>
      <c r="H58" s="6"/>
      <c r="I58" s="9" t="str">
        <f t="shared" si="1"/>
        <v/>
      </c>
    </row>
    <row r="59" spans="1:9" x14ac:dyDescent="0.45">
      <c r="A59">
        <v>56</v>
      </c>
      <c r="B59" s="8"/>
      <c r="C59" s="5"/>
      <c r="D59" s="5"/>
      <c r="E59" s="5"/>
      <c r="F59" s="6"/>
      <c r="G59" s="9" t="str">
        <f t="shared" si="0"/>
        <v/>
      </c>
      <c r="H59" s="6"/>
      <c r="I59" s="9" t="str">
        <f t="shared" si="1"/>
        <v/>
      </c>
    </row>
    <row r="60" spans="1:9" x14ac:dyDescent="0.45">
      <c r="A60">
        <v>57</v>
      </c>
      <c r="B60" s="8"/>
      <c r="C60" s="5"/>
      <c r="D60" s="5"/>
      <c r="E60" s="5"/>
      <c r="F60" s="6"/>
      <c r="G60" s="9" t="str">
        <f t="shared" si="0"/>
        <v/>
      </c>
      <c r="H60" s="6"/>
      <c r="I60" s="9" t="str">
        <f t="shared" si="1"/>
        <v/>
      </c>
    </row>
    <row r="61" spans="1:9" x14ac:dyDescent="0.45">
      <c r="A61">
        <v>58</v>
      </c>
      <c r="B61" s="8"/>
      <c r="C61" s="5"/>
      <c r="D61" s="5"/>
      <c r="E61" s="5"/>
      <c r="F61" s="6"/>
      <c r="G61" s="9" t="str">
        <f t="shared" si="0"/>
        <v/>
      </c>
      <c r="H61" s="6"/>
      <c r="I61" s="9" t="str">
        <f t="shared" si="1"/>
        <v/>
      </c>
    </row>
    <row r="62" spans="1:9" x14ac:dyDescent="0.45">
      <c r="A62">
        <v>59</v>
      </c>
      <c r="B62" s="8"/>
      <c r="C62" s="5"/>
      <c r="D62" s="5"/>
      <c r="E62" s="5"/>
      <c r="F62" s="6"/>
      <c r="G62" s="9" t="str">
        <f t="shared" si="0"/>
        <v/>
      </c>
      <c r="H62" s="6"/>
      <c r="I62" s="9" t="str">
        <f t="shared" si="1"/>
        <v/>
      </c>
    </row>
    <row r="63" spans="1:9" x14ac:dyDescent="0.45">
      <c r="A63">
        <v>60</v>
      </c>
      <c r="B63" s="8"/>
      <c r="C63" s="5"/>
      <c r="D63" s="5"/>
      <c r="E63" s="5"/>
      <c r="F63" s="6"/>
      <c r="G63" s="9" t="str">
        <f t="shared" si="0"/>
        <v/>
      </c>
      <c r="H63" s="6"/>
      <c r="I63" s="9" t="str">
        <f t="shared" si="1"/>
        <v/>
      </c>
    </row>
    <row r="64" spans="1:9" x14ac:dyDescent="0.45">
      <c r="A64">
        <v>61</v>
      </c>
      <c r="B64" s="8"/>
      <c r="C64" s="5"/>
      <c r="D64" s="5"/>
      <c r="E64" s="5"/>
      <c r="F64" s="6"/>
      <c r="G64" s="9" t="str">
        <f t="shared" si="0"/>
        <v/>
      </c>
      <c r="H64" s="6"/>
      <c r="I64" s="9" t="str">
        <f t="shared" si="1"/>
        <v/>
      </c>
    </row>
    <row r="65" spans="1:9" x14ac:dyDescent="0.45">
      <c r="A65">
        <v>62</v>
      </c>
      <c r="B65" s="8"/>
      <c r="C65" s="5"/>
      <c r="D65" s="5"/>
      <c r="E65" s="5"/>
      <c r="F65" s="6"/>
      <c r="G65" s="9" t="str">
        <f t="shared" si="0"/>
        <v/>
      </c>
      <c r="H65" s="6"/>
      <c r="I65" s="9" t="str">
        <f t="shared" si="1"/>
        <v/>
      </c>
    </row>
    <row r="66" spans="1:9" x14ac:dyDescent="0.45">
      <c r="A66">
        <v>63</v>
      </c>
      <c r="B66" s="8"/>
      <c r="C66" s="5"/>
      <c r="D66" s="5"/>
      <c r="E66" s="5"/>
      <c r="F66" s="6"/>
      <c r="G66" s="9" t="str">
        <f t="shared" si="0"/>
        <v/>
      </c>
      <c r="H66" s="6"/>
      <c r="I66" s="9" t="str">
        <f t="shared" si="1"/>
        <v/>
      </c>
    </row>
    <row r="67" spans="1:9" x14ac:dyDescent="0.45">
      <c r="A67">
        <v>64</v>
      </c>
      <c r="B67" s="8"/>
      <c r="C67" s="5"/>
      <c r="D67" s="5"/>
      <c r="E67" s="5"/>
      <c r="F67" s="6"/>
      <c r="G67" s="9" t="str">
        <f t="shared" si="0"/>
        <v/>
      </c>
      <c r="H67" s="6"/>
      <c r="I67" s="9" t="str">
        <f t="shared" si="1"/>
        <v/>
      </c>
    </row>
    <row r="68" spans="1:9" x14ac:dyDescent="0.45">
      <c r="A68">
        <v>65</v>
      </c>
      <c r="B68" s="8"/>
      <c r="C68" s="5"/>
      <c r="D68" s="5"/>
      <c r="E68" s="5"/>
      <c r="F68" s="6"/>
      <c r="G68" s="9" t="str">
        <f t="shared" ref="G68:G131" si="2">IF(E68="","",E68*F68)</f>
        <v/>
      </c>
      <c r="H68" s="6"/>
      <c r="I68" s="9" t="str">
        <f t="shared" ref="I68:I131" si="3">IF(G68="","",G68-IF(H68="",0,H68))</f>
        <v/>
      </c>
    </row>
    <row r="69" spans="1:9" x14ac:dyDescent="0.45">
      <c r="A69">
        <v>66</v>
      </c>
      <c r="B69" s="8"/>
      <c r="C69" s="5"/>
      <c r="D69" s="5"/>
      <c r="E69" s="5"/>
      <c r="F69" s="6"/>
      <c r="G69" s="9" t="str">
        <f t="shared" si="2"/>
        <v/>
      </c>
      <c r="H69" s="6"/>
      <c r="I69" s="9" t="str">
        <f t="shared" si="3"/>
        <v/>
      </c>
    </row>
    <row r="70" spans="1:9" x14ac:dyDescent="0.45">
      <c r="A70">
        <v>67</v>
      </c>
      <c r="B70" s="8"/>
      <c r="C70" s="5"/>
      <c r="D70" s="5"/>
      <c r="E70" s="5"/>
      <c r="F70" s="6"/>
      <c r="G70" s="9" t="str">
        <f t="shared" si="2"/>
        <v/>
      </c>
      <c r="H70" s="6"/>
      <c r="I70" s="9" t="str">
        <f t="shared" si="3"/>
        <v/>
      </c>
    </row>
    <row r="71" spans="1:9" x14ac:dyDescent="0.45">
      <c r="A71">
        <v>68</v>
      </c>
      <c r="B71" s="8"/>
      <c r="C71" s="5"/>
      <c r="D71" s="5"/>
      <c r="E71" s="5"/>
      <c r="F71" s="6"/>
      <c r="G71" s="9" t="str">
        <f t="shared" si="2"/>
        <v/>
      </c>
      <c r="H71" s="6"/>
      <c r="I71" s="9" t="str">
        <f t="shared" si="3"/>
        <v/>
      </c>
    </row>
    <row r="72" spans="1:9" x14ac:dyDescent="0.45">
      <c r="A72">
        <v>69</v>
      </c>
      <c r="B72" s="8"/>
      <c r="C72" s="5"/>
      <c r="D72" s="5"/>
      <c r="E72" s="5"/>
      <c r="F72" s="6"/>
      <c r="G72" s="9" t="str">
        <f t="shared" si="2"/>
        <v/>
      </c>
      <c r="H72" s="6"/>
      <c r="I72" s="9" t="str">
        <f t="shared" si="3"/>
        <v/>
      </c>
    </row>
    <row r="73" spans="1:9" x14ac:dyDescent="0.45">
      <c r="A73">
        <v>70</v>
      </c>
      <c r="B73" s="8"/>
      <c r="C73" s="5"/>
      <c r="D73" s="5"/>
      <c r="E73" s="5"/>
      <c r="F73" s="6"/>
      <c r="G73" s="9" t="str">
        <f t="shared" si="2"/>
        <v/>
      </c>
      <c r="H73" s="6"/>
      <c r="I73" s="9" t="str">
        <f t="shared" si="3"/>
        <v/>
      </c>
    </row>
    <row r="74" spans="1:9" x14ac:dyDescent="0.45">
      <c r="A74">
        <v>71</v>
      </c>
      <c r="B74" s="8"/>
      <c r="C74" s="5"/>
      <c r="D74" s="5"/>
      <c r="E74" s="5"/>
      <c r="F74" s="6"/>
      <c r="G74" s="9" t="str">
        <f t="shared" si="2"/>
        <v/>
      </c>
      <c r="H74" s="6"/>
      <c r="I74" s="9" t="str">
        <f t="shared" si="3"/>
        <v/>
      </c>
    </row>
    <row r="75" spans="1:9" x14ac:dyDescent="0.45">
      <c r="A75">
        <v>72</v>
      </c>
      <c r="B75" s="8"/>
      <c r="C75" s="5"/>
      <c r="D75" s="5"/>
      <c r="E75" s="5"/>
      <c r="F75" s="6"/>
      <c r="G75" s="9" t="str">
        <f t="shared" si="2"/>
        <v/>
      </c>
      <c r="H75" s="6"/>
      <c r="I75" s="9" t="str">
        <f t="shared" si="3"/>
        <v/>
      </c>
    </row>
    <row r="76" spans="1:9" x14ac:dyDescent="0.45">
      <c r="A76">
        <v>73</v>
      </c>
      <c r="B76" s="8"/>
      <c r="C76" s="5"/>
      <c r="D76" s="5"/>
      <c r="E76" s="5"/>
      <c r="F76" s="6"/>
      <c r="G76" s="9" t="str">
        <f t="shared" si="2"/>
        <v/>
      </c>
      <c r="H76" s="6"/>
      <c r="I76" s="9" t="str">
        <f t="shared" si="3"/>
        <v/>
      </c>
    </row>
    <row r="77" spans="1:9" x14ac:dyDescent="0.45">
      <c r="A77">
        <v>74</v>
      </c>
      <c r="B77" s="8"/>
      <c r="C77" s="5"/>
      <c r="D77" s="5"/>
      <c r="E77" s="5"/>
      <c r="F77" s="6"/>
      <c r="G77" s="9" t="str">
        <f t="shared" si="2"/>
        <v/>
      </c>
      <c r="H77" s="6"/>
      <c r="I77" s="9" t="str">
        <f t="shared" si="3"/>
        <v/>
      </c>
    </row>
    <row r="78" spans="1:9" x14ac:dyDescent="0.45">
      <c r="A78">
        <v>75</v>
      </c>
      <c r="B78" s="8"/>
      <c r="C78" s="5"/>
      <c r="D78" s="5"/>
      <c r="E78" s="5"/>
      <c r="F78" s="6"/>
      <c r="G78" s="9" t="str">
        <f t="shared" si="2"/>
        <v/>
      </c>
      <c r="H78" s="6"/>
      <c r="I78" s="9" t="str">
        <f t="shared" si="3"/>
        <v/>
      </c>
    </row>
    <row r="79" spans="1:9" x14ac:dyDescent="0.45">
      <c r="A79">
        <v>76</v>
      </c>
      <c r="B79" s="8"/>
      <c r="C79" s="5"/>
      <c r="D79" s="5"/>
      <c r="E79" s="5"/>
      <c r="F79" s="6"/>
      <c r="G79" s="9" t="str">
        <f t="shared" si="2"/>
        <v/>
      </c>
      <c r="H79" s="6"/>
      <c r="I79" s="9" t="str">
        <f t="shared" si="3"/>
        <v/>
      </c>
    </row>
    <row r="80" spans="1:9" x14ac:dyDescent="0.45">
      <c r="A80">
        <v>77</v>
      </c>
      <c r="B80" s="8"/>
      <c r="C80" s="5"/>
      <c r="D80" s="5"/>
      <c r="E80" s="5"/>
      <c r="F80" s="6"/>
      <c r="G80" s="9" t="str">
        <f t="shared" si="2"/>
        <v/>
      </c>
      <c r="H80" s="6"/>
      <c r="I80" s="9" t="str">
        <f t="shared" si="3"/>
        <v/>
      </c>
    </row>
    <row r="81" spans="1:9" x14ac:dyDescent="0.45">
      <c r="A81">
        <v>78</v>
      </c>
      <c r="B81" s="8"/>
      <c r="C81" s="5"/>
      <c r="D81" s="5"/>
      <c r="E81" s="5"/>
      <c r="F81" s="6"/>
      <c r="G81" s="9" t="str">
        <f t="shared" si="2"/>
        <v/>
      </c>
      <c r="H81" s="6"/>
      <c r="I81" s="9" t="str">
        <f t="shared" si="3"/>
        <v/>
      </c>
    </row>
    <row r="82" spans="1:9" x14ac:dyDescent="0.45">
      <c r="A82">
        <v>79</v>
      </c>
      <c r="B82" s="8"/>
      <c r="C82" s="5"/>
      <c r="D82" s="5"/>
      <c r="E82" s="5"/>
      <c r="F82" s="6"/>
      <c r="G82" s="9" t="str">
        <f t="shared" si="2"/>
        <v/>
      </c>
      <c r="H82" s="6"/>
      <c r="I82" s="9" t="str">
        <f t="shared" si="3"/>
        <v/>
      </c>
    </row>
    <row r="83" spans="1:9" x14ac:dyDescent="0.45">
      <c r="A83">
        <v>80</v>
      </c>
      <c r="B83" s="8"/>
      <c r="C83" s="5"/>
      <c r="D83" s="5"/>
      <c r="E83" s="5"/>
      <c r="F83" s="6"/>
      <c r="G83" s="9" t="str">
        <f t="shared" si="2"/>
        <v/>
      </c>
      <c r="H83" s="6"/>
      <c r="I83" s="9" t="str">
        <f t="shared" si="3"/>
        <v/>
      </c>
    </row>
    <row r="84" spans="1:9" x14ac:dyDescent="0.45">
      <c r="A84">
        <v>81</v>
      </c>
      <c r="B84" s="8"/>
      <c r="C84" s="5"/>
      <c r="D84" s="5"/>
      <c r="E84" s="5"/>
      <c r="F84" s="6"/>
      <c r="G84" s="9" t="str">
        <f t="shared" si="2"/>
        <v/>
      </c>
      <c r="H84" s="6"/>
      <c r="I84" s="9" t="str">
        <f t="shared" si="3"/>
        <v/>
      </c>
    </row>
    <row r="85" spans="1:9" x14ac:dyDescent="0.45">
      <c r="A85">
        <v>82</v>
      </c>
      <c r="B85" s="8"/>
      <c r="C85" s="5"/>
      <c r="D85" s="5"/>
      <c r="E85" s="5"/>
      <c r="F85" s="6"/>
      <c r="G85" s="9" t="str">
        <f t="shared" si="2"/>
        <v/>
      </c>
      <c r="H85" s="6"/>
      <c r="I85" s="9" t="str">
        <f t="shared" si="3"/>
        <v/>
      </c>
    </row>
    <row r="86" spans="1:9" x14ac:dyDescent="0.45">
      <c r="A86">
        <v>83</v>
      </c>
      <c r="B86" s="8"/>
      <c r="C86" s="5"/>
      <c r="D86" s="5"/>
      <c r="E86" s="5"/>
      <c r="F86" s="6"/>
      <c r="G86" s="9" t="str">
        <f t="shared" si="2"/>
        <v/>
      </c>
      <c r="H86" s="6"/>
      <c r="I86" s="9" t="str">
        <f t="shared" si="3"/>
        <v/>
      </c>
    </row>
    <row r="87" spans="1:9" x14ac:dyDescent="0.45">
      <c r="A87">
        <v>84</v>
      </c>
      <c r="B87" s="8"/>
      <c r="C87" s="5"/>
      <c r="D87" s="5"/>
      <c r="E87" s="5"/>
      <c r="F87" s="6"/>
      <c r="G87" s="9" t="str">
        <f t="shared" si="2"/>
        <v/>
      </c>
      <c r="H87" s="6"/>
      <c r="I87" s="9" t="str">
        <f t="shared" si="3"/>
        <v/>
      </c>
    </row>
    <row r="88" spans="1:9" x14ac:dyDescent="0.45">
      <c r="A88">
        <v>85</v>
      </c>
      <c r="B88" s="8"/>
      <c r="C88" s="5"/>
      <c r="D88" s="5"/>
      <c r="E88" s="5"/>
      <c r="F88" s="6"/>
      <c r="G88" s="9" t="str">
        <f t="shared" si="2"/>
        <v/>
      </c>
      <c r="H88" s="6"/>
      <c r="I88" s="9" t="str">
        <f t="shared" si="3"/>
        <v/>
      </c>
    </row>
    <row r="89" spans="1:9" x14ac:dyDescent="0.45">
      <c r="A89">
        <v>86</v>
      </c>
      <c r="B89" s="8"/>
      <c r="C89" s="5"/>
      <c r="D89" s="5"/>
      <c r="E89" s="5"/>
      <c r="F89" s="6"/>
      <c r="G89" s="9" t="str">
        <f t="shared" si="2"/>
        <v/>
      </c>
      <c r="H89" s="6"/>
      <c r="I89" s="9" t="str">
        <f t="shared" si="3"/>
        <v/>
      </c>
    </row>
    <row r="90" spans="1:9" x14ac:dyDescent="0.45">
      <c r="A90">
        <v>87</v>
      </c>
      <c r="B90" s="8"/>
      <c r="C90" s="5"/>
      <c r="D90" s="5"/>
      <c r="E90" s="5"/>
      <c r="F90" s="6"/>
      <c r="G90" s="9" t="str">
        <f t="shared" si="2"/>
        <v/>
      </c>
      <c r="H90" s="6"/>
      <c r="I90" s="9" t="str">
        <f t="shared" si="3"/>
        <v/>
      </c>
    </row>
    <row r="91" spans="1:9" x14ac:dyDescent="0.45">
      <c r="A91">
        <v>88</v>
      </c>
      <c r="B91" s="8"/>
      <c r="C91" s="5"/>
      <c r="D91" s="5"/>
      <c r="E91" s="5"/>
      <c r="F91" s="6"/>
      <c r="G91" s="9" t="str">
        <f t="shared" si="2"/>
        <v/>
      </c>
      <c r="H91" s="6"/>
      <c r="I91" s="9" t="str">
        <f t="shared" si="3"/>
        <v/>
      </c>
    </row>
    <row r="92" spans="1:9" x14ac:dyDescent="0.45">
      <c r="A92">
        <v>89</v>
      </c>
      <c r="B92" s="8"/>
      <c r="C92" s="5"/>
      <c r="D92" s="5"/>
      <c r="E92" s="5"/>
      <c r="F92" s="6"/>
      <c r="G92" s="9" t="str">
        <f t="shared" si="2"/>
        <v/>
      </c>
      <c r="H92" s="6"/>
      <c r="I92" s="9" t="str">
        <f t="shared" si="3"/>
        <v/>
      </c>
    </row>
    <row r="93" spans="1:9" x14ac:dyDescent="0.45">
      <c r="A93">
        <v>90</v>
      </c>
      <c r="B93" s="8"/>
      <c r="C93" s="5"/>
      <c r="D93" s="5"/>
      <c r="E93" s="5"/>
      <c r="F93" s="6"/>
      <c r="G93" s="9" t="str">
        <f t="shared" si="2"/>
        <v/>
      </c>
      <c r="H93" s="6"/>
      <c r="I93" s="9" t="str">
        <f t="shared" si="3"/>
        <v/>
      </c>
    </row>
    <row r="94" spans="1:9" x14ac:dyDescent="0.45">
      <c r="A94">
        <v>91</v>
      </c>
      <c r="B94" s="8"/>
      <c r="C94" s="5"/>
      <c r="D94" s="5"/>
      <c r="E94" s="5"/>
      <c r="F94" s="6"/>
      <c r="G94" s="9" t="str">
        <f t="shared" si="2"/>
        <v/>
      </c>
      <c r="H94" s="6"/>
      <c r="I94" s="9" t="str">
        <f t="shared" si="3"/>
        <v/>
      </c>
    </row>
    <row r="95" spans="1:9" x14ac:dyDescent="0.45">
      <c r="A95">
        <v>92</v>
      </c>
      <c r="B95" s="8"/>
      <c r="C95" s="5"/>
      <c r="D95" s="5"/>
      <c r="E95" s="5"/>
      <c r="F95" s="6"/>
      <c r="G95" s="9" t="str">
        <f t="shared" si="2"/>
        <v/>
      </c>
      <c r="H95" s="6"/>
      <c r="I95" s="9" t="str">
        <f t="shared" si="3"/>
        <v/>
      </c>
    </row>
    <row r="96" spans="1:9" x14ac:dyDescent="0.45">
      <c r="A96">
        <v>93</v>
      </c>
      <c r="B96" s="8"/>
      <c r="C96" s="5"/>
      <c r="D96" s="5"/>
      <c r="E96" s="5"/>
      <c r="F96" s="6"/>
      <c r="G96" s="9" t="str">
        <f t="shared" si="2"/>
        <v/>
      </c>
      <c r="H96" s="6"/>
      <c r="I96" s="9" t="str">
        <f t="shared" si="3"/>
        <v/>
      </c>
    </row>
    <row r="97" spans="1:9" x14ac:dyDescent="0.45">
      <c r="A97">
        <v>94</v>
      </c>
      <c r="B97" s="8"/>
      <c r="C97" s="5"/>
      <c r="D97" s="5"/>
      <c r="E97" s="5"/>
      <c r="F97" s="6"/>
      <c r="G97" s="9" t="str">
        <f t="shared" si="2"/>
        <v/>
      </c>
      <c r="H97" s="6"/>
      <c r="I97" s="9" t="str">
        <f t="shared" si="3"/>
        <v/>
      </c>
    </row>
    <row r="98" spans="1:9" x14ac:dyDescent="0.45">
      <c r="A98">
        <v>95</v>
      </c>
      <c r="B98" s="8"/>
      <c r="C98" s="5"/>
      <c r="D98" s="5"/>
      <c r="E98" s="5"/>
      <c r="F98" s="6"/>
      <c r="G98" s="9" t="str">
        <f t="shared" si="2"/>
        <v/>
      </c>
      <c r="H98" s="6"/>
      <c r="I98" s="9" t="str">
        <f t="shared" si="3"/>
        <v/>
      </c>
    </row>
    <row r="99" spans="1:9" x14ac:dyDescent="0.45">
      <c r="A99">
        <v>96</v>
      </c>
      <c r="B99" s="8"/>
      <c r="C99" s="5"/>
      <c r="D99" s="5"/>
      <c r="E99" s="5"/>
      <c r="F99" s="6"/>
      <c r="G99" s="9" t="str">
        <f t="shared" si="2"/>
        <v/>
      </c>
      <c r="H99" s="6"/>
      <c r="I99" s="9" t="str">
        <f t="shared" si="3"/>
        <v/>
      </c>
    </row>
    <row r="100" spans="1:9" x14ac:dyDescent="0.45">
      <c r="A100">
        <v>97</v>
      </c>
      <c r="B100" s="8"/>
      <c r="C100" s="5"/>
      <c r="D100" s="5"/>
      <c r="E100" s="5"/>
      <c r="F100" s="6"/>
      <c r="G100" s="9" t="str">
        <f t="shared" si="2"/>
        <v/>
      </c>
      <c r="H100" s="6"/>
      <c r="I100" s="9" t="str">
        <f t="shared" si="3"/>
        <v/>
      </c>
    </row>
    <row r="101" spans="1:9" x14ac:dyDescent="0.45">
      <c r="A101">
        <v>98</v>
      </c>
      <c r="B101" s="8"/>
      <c r="C101" s="5"/>
      <c r="D101" s="5"/>
      <c r="E101" s="5"/>
      <c r="F101" s="6"/>
      <c r="G101" s="9" t="str">
        <f t="shared" si="2"/>
        <v/>
      </c>
      <c r="H101" s="6"/>
      <c r="I101" s="9" t="str">
        <f t="shared" si="3"/>
        <v/>
      </c>
    </row>
    <row r="102" spans="1:9" x14ac:dyDescent="0.45">
      <c r="A102">
        <v>99</v>
      </c>
      <c r="B102" s="8"/>
      <c r="C102" s="5"/>
      <c r="D102" s="5"/>
      <c r="E102" s="5"/>
      <c r="F102" s="6"/>
      <c r="G102" s="9" t="str">
        <f t="shared" si="2"/>
        <v/>
      </c>
      <c r="H102" s="6"/>
      <c r="I102" s="9" t="str">
        <f t="shared" si="3"/>
        <v/>
      </c>
    </row>
    <row r="103" spans="1:9" x14ac:dyDescent="0.45">
      <c r="A103">
        <v>100</v>
      </c>
      <c r="B103" s="8"/>
      <c r="C103" s="5"/>
      <c r="D103" s="5"/>
      <c r="E103" s="5"/>
      <c r="F103" s="6"/>
      <c r="G103" s="9" t="str">
        <f t="shared" si="2"/>
        <v/>
      </c>
      <c r="H103" s="6"/>
      <c r="I103" s="9" t="str">
        <f t="shared" si="3"/>
        <v/>
      </c>
    </row>
    <row r="104" spans="1:9" x14ac:dyDescent="0.45">
      <c r="A104">
        <v>101</v>
      </c>
      <c r="B104" s="8"/>
      <c r="C104" s="5"/>
      <c r="D104" s="5"/>
      <c r="E104" s="5"/>
      <c r="F104" s="6"/>
      <c r="G104" s="9" t="str">
        <f t="shared" si="2"/>
        <v/>
      </c>
      <c r="H104" s="6"/>
      <c r="I104" s="9" t="str">
        <f t="shared" si="3"/>
        <v/>
      </c>
    </row>
    <row r="105" spans="1:9" x14ac:dyDescent="0.45">
      <c r="A105">
        <v>102</v>
      </c>
      <c r="B105" s="8"/>
      <c r="C105" s="5"/>
      <c r="D105" s="5"/>
      <c r="E105" s="5"/>
      <c r="F105" s="6"/>
      <c r="G105" s="9" t="str">
        <f t="shared" si="2"/>
        <v/>
      </c>
      <c r="H105" s="6"/>
      <c r="I105" s="9" t="str">
        <f t="shared" si="3"/>
        <v/>
      </c>
    </row>
    <row r="106" spans="1:9" x14ac:dyDescent="0.45">
      <c r="A106">
        <v>103</v>
      </c>
      <c r="B106" s="8"/>
      <c r="C106" s="5"/>
      <c r="D106" s="5"/>
      <c r="E106" s="5"/>
      <c r="F106" s="6"/>
      <c r="G106" s="9" t="str">
        <f t="shared" si="2"/>
        <v/>
      </c>
      <c r="H106" s="6"/>
      <c r="I106" s="9" t="str">
        <f t="shared" si="3"/>
        <v/>
      </c>
    </row>
    <row r="107" spans="1:9" x14ac:dyDescent="0.45">
      <c r="A107">
        <v>104</v>
      </c>
      <c r="B107" s="8"/>
      <c r="C107" s="5"/>
      <c r="D107" s="5"/>
      <c r="E107" s="5"/>
      <c r="F107" s="6"/>
      <c r="G107" s="9" t="str">
        <f t="shared" si="2"/>
        <v/>
      </c>
      <c r="H107" s="6"/>
      <c r="I107" s="9" t="str">
        <f t="shared" si="3"/>
        <v/>
      </c>
    </row>
    <row r="108" spans="1:9" x14ac:dyDescent="0.45">
      <c r="A108">
        <v>105</v>
      </c>
      <c r="B108" s="8"/>
      <c r="C108" s="5"/>
      <c r="D108" s="5"/>
      <c r="E108" s="5"/>
      <c r="F108" s="6"/>
      <c r="G108" s="9" t="str">
        <f t="shared" si="2"/>
        <v/>
      </c>
      <c r="H108" s="6"/>
      <c r="I108" s="9" t="str">
        <f t="shared" si="3"/>
        <v/>
      </c>
    </row>
    <row r="109" spans="1:9" x14ac:dyDescent="0.45">
      <c r="A109">
        <v>106</v>
      </c>
      <c r="B109" s="8"/>
      <c r="C109" s="5"/>
      <c r="D109" s="5"/>
      <c r="E109" s="5"/>
      <c r="F109" s="6"/>
      <c r="G109" s="9" t="str">
        <f t="shared" si="2"/>
        <v/>
      </c>
      <c r="H109" s="6"/>
      <c r="I109" s="9" t="str">
        <f t="shared" si="3"/>
        <v/>
      </c>
    </row>
    <row r="110" spans="1:9" x14ac:dyDescent="0.45">
      <c r="A110">
        <v>107</v>
      </c>
      <c r="B110" s="8"/>
      <c r="C110" s="5"/>
      <c r="D110" s="5"/>
      <c r="E110" s="5"/>
      <c r="F110" s="6"/>
      <c r="G110" s="9" t="str">
        <f t="shared" si="2"/>
        <v/>
      </c>
      <c r="H110" s="6"/>
      <c r="I110" s="9" t="str">
        <f t="shared" si="3"/>
        <v/>
      </c>
    </row>
    <row r="111" spans="1:9" x14ac:dyDescent="0.45">
      <c r="A111">
        <v>108</v>
      </c>
      <c r="B111" s="8"/>
      <c r="C111" s="5"/>
      <c r="D111" s="5"/>
      <c r="E111" s="5"/>
      <c r="F111" s="6"/>
      <c r="G111" s="9" t="str">
        <f t="shared" si="2"/>
        <v/>
      </c>
      <c r="H111" s="6"/>
      <c r="I111" s="9" t="str">
        <f t="shared" si="3"/>
        <v/>
      </c>
    </row>
    <row r="112" spans="1:9" x14ac:dyDescent="0.45">
      <c r="A112">
        <v>109</v>
      </c>
      <c r="B112" s="8"/>
      <c r="C112" s="5"/>
      <c r="D112" s="5"/>
      <c r="E112" s="5"/>
      <c r="F112" s="6"/>
      <c r="G112" s="9" t="str">
        <f t="shared" si="2"/>
        <v/>
      </c>
      <c r="H112" s="6"/>
      <c r="I112" s="9" t="str">
        <f t="shared" si="3"/>
        <v/>
      </c>
    </row>
    <row r="113" spans="1:9" x14ac:dyDescent="0.45">
      <c r="A113">
        <v>110</v>
      </c>
      <c r="B113" s="8"/>
      <c r="C113" s="5"/>
      <c r="D113" s="5"/>
      <c r="E113" s="5"/>
      <c r="F113" s="6"/>
      <c r="G113" s="9" t="str">
        <f t="shared" si="2"/>
        <v/>
      </c>
      <c r="H113" s="6"/>
      <c r="I113" s="9" t="str">
        <f t="shared" si="3"/>
        <v/>
      </c>
    </row>
    <row r="114" spans="1:9" x14ac:dyDescent="0.45">
      <c r="A114">
        <v>111</v>
      </c>
      <c r="B114" s="8"/>
      <c r="C114" s="5"/>
      <c r="D114" s="5"/>
      <c r="E114" s="5"/>
      <c r="F114" s="6"/>
      <c r="G114" s="9" t="str">
        <f t="shared" si="2"/>
        <v/>
      </c>
      <c r="H114" s="6"/>
      <c r="I114" s="9" t="str">
        <f t="shared" si="3"/>
        <v/>
      </c>
    </row>
    <row r="115" spans="1:9" x14ac:dyDescent="0.45">
      <c r="A115">
        <v>112</v>
      </c>
      <c r="B115" s="8"/>
      <c r="C115" s="5"/>
      <c r="D115" s="5"/>
      <c r="E115" s="5"/>
      <c r="F115" s="6"/>
      <c r="G115" s="9" t="str">
        <f t="shared" si="2"/>
        <v/>
      </c>
      <c r="H115" s="6"/>
      <c r="I115" s="9" t="str">
        <f t="shared" si="3"/>
        <v/>
      </c>
    </row>
    <row r="116" spans="1:9" x14ac:dyDescent="0.45">
      <c r="A116">
        <v>113</v>
      </c>
      <c r="B116" s="8"/>
      <c r="C116" s="5"/>
      <c r="D116" s="5"/>
      <c r="E116" s="5"/>
      <c r="F116" s="6"/>
      <c r="G116" s="9" t="str">
        <f t="shared" si="2"/>
        <v/>
      </c>
      <c r="H116" s="6"/>
      <c r="I116" s="9" t="str">
        <f t="shared" si="3"/>
        <v/>
      </c>
    </row>
    <row r="117" spans="1:9" x14ac:dyDescent="0.45">
      <c r="A117">
        <v>114</v>
      </c>
      <c r="B117" s="8"/>
      <c r="C117" s="5"/>
      <c r="D117" s="5"/>
      <c r="E117" s="5"/>
      <c r="F117" s="6"/>
      <c r="G117" s="9" t="str">
        <f t="shared" si="2"/>
        <v/>
      </c>
      <c r="H117" s="6"/>
      <c r="I117" s="9" t="str">
        <f t="shared" si="3"/>
        <v/>
      </c>
    </row>
    <row r="118" spans="1:9" x14ac:dyDescent="0.45">
      <c r="A118">
        <v>115</v>
      </c>
      <c r="B118" s="8"/>
      <c r="C118" s="5"/>
      <c r="D118" s="5"/>
      <c r="E118" s="5"/>
      <c r="F118" s="6"/>
      <c r="G118" s="9" t="str">
        <f t="shared" si="2"/>
        <v/>
      </c>
      <c r="H118" s="6"/>
      <c r="I118" s="9" t="str">
        <f t="shared" si="3"/>
        <v/>
      </c>
    </row>
    <row r="119" spans="1:9" x14ac:dyDescent="0.45">
      <c r="A119">
        <v>116</v>
      </c>
      <c r="B119" s="8"/>
      <c r="C119" s="5"/>
      <c r="D119" s="5"/>
      <c r="E119" s="5"/>
      <c r="F119" s="6"/>
      <c r="G119" s="9" t="str">
        <f t="shared" si="2"/>
        <v/>
      </c>
      <c r="H119" s="6"/>
      <c r="I119" s="9" t="str">
        <f t="shared" si="3"/>
        <v/>
      </c>
    </row>
    <row r="120" spans="1:9" x14ac:dyDescent="0.45">
      <c r="A120">
        <v>117</v>
      </c>
      <c r="B120" s="8"/>
      <c r="C120" s="5"/>
      <c r="D120" s="5"/>
      <c r="E120" s="5"/>
      <c r="F120" s="6"/>
      <c r="G120" s="9" t="str">
        <f t="shared" si="2"/>
        <v/>
      </c>
      <c r="H120" s="6"/>
      <c r="I120" s="9" t="str">
        <f t="shared" si="3"/>
        <v/>
      </c>
    </row>
    <row r="121" spans="1:9" x14ac:dyDescent="0.45">
      <c r="A121">
        <v>118</v>
      </c>
      <c r="B121" s="8"/>
      <c r="C121" s="5"/>
      <c r="D121" s="5"/>
      <c r="E121" s="5"/>
      <c r="F121" s="6"/>
      <c r="G121" s="9" t="str">
        <f t="shared" si="2"/>
        <v/>
      </c>
      <c r="H121" s="6"/>
      <c r="I121" s="9" t="str">
        <f t="shared" si="3"/>
        <v/>
      </c>
    </row>
    <row r="122" spans="1:9" x14ac:dyDescent="0.45">
      <c r="A122">
        <v>119</v>
      </c>
      <c r="B122" s="8"/>
      <c r="C122" s="5"/>
      <c r="D122" s="5"/>
      <c r="E122" s="5"/>
      <c r="F122" s="6"/>
      <c r="G122" s="9" t="str">
        <f t="shared" si="2"/>
        <v/>
      </c>
      <c r="H122" s="6"/>
      <c r="I122" s="9" t="str">
        <f t="shared" si="3"/>
        <v/>
      </c>
    </row>
    <row r="123" spans="1:9" x14ac:dyDescent="0.45">
      <c r="A123">
        <v>120</v>
      </c>
      <c r="B123" s="8"/>
      <c r="C123" s="5"/>
      <c r="D123" s="5"/>
      <c r="E123" s="5"/>
      <c r="F123" s="6"/>
      <c r="G123" s="9" t="str">
        <f t="shared" si="2"/>
        <v/>
      </c>
      <c r="H123" s="6"/>
      <c r="I123" s="9" t="str">
        <f t="shared" si="3"/>
        <v/>
      </c>
    </row>
    <row r="124" spans="1:9" x14ac:dyDescent="0.45">
      <c r="A124">
        <v>121</v>
      </c>
      <c r="B124" s="8"/>
      <c r="C124" s="5"/>
      <c r="D124" s="5"/>
      <c r="E124" s="5"/>
      <c r="F124" s="6"/>
      <c r="G124" s="9" t="str">
        <f t="shared" si="2"/>
        <v/>
      </c>
      <c r="H124" s="6"/>
      <c r="I124" s="9" t="str">
        <f t="shared" si="3"/>
        <v/>
      </c>
    </row>
    <row r="125" spans="1:9" x14ac:dyDescent="0.45">
      <c r="A125">
        <v>122</v>
      </c>
      <c r="B125" s="8"/>
      <c r="C125" s="5"/>
      <c r="D125" s="5"/>
      <c r="E125" s="5"/>
      <c r="F125" s="6"/>
      <c r="G125" s="9" t="str">
        <f t="shared" si="2"/>
        <v/>
      </c>
      <c r="H125" s="6"/>
      <c r="I125" s="9" t="str">
        <f t="shared" si="3"/>
        <v/>
      </c>
    </row>
    <row r="126" spans="1:9" x14ac:dyDescent="0.45">
      <c r="A126">
        <v>123</v>
      </c>
      <c r="B126" s="8"/>
      <c r="C126" s="5"/>
      <c r="D126" s="5"/>
      <c r="E126" s="5"/>
      <c r="F126" s="6"/>
      <c r="G126" s="9" t="str">
        <f t="shared" si="2"/>
        <v/>
      </c>
      <c r="H126" s="6"/>
      <c r="I126" s="9" t="str">
        <f t="shared" si="3"/>
        <v/>
      </c>
    </row>
    <row r="127" spans="1:9" x14ac:dyDescent="0.45">
      <c r="A127">
        <v>124</v>
      </c>
      <c r="B127" s="8"/>
      <c r="C127" s="5"/>
      <c r="D127" s="5"/>
      <c r="E127" s="5"/>
      <c r="F127" s="6"/>
      <c r="G127" s="9" t="str">
        <f t="shared" si="2"/>
        <v/>
      </c>
      <c r="H127" s="6"/>
      <c r="I127" s="9" t="str">
        <f t="shared" si="3"/>
        <v/>
      </c>
    </row>
    <row r="128" spans="1:9" x14ac:dyDescent="0.45">
      <c r="A128">
        <v>125</v>
      </c>
      <c r="B128" s="8"/>
      <c r="C128" s="5"/>
      <c r="D128" s="5"/>
      <c r="E128" s="5"/>
      <c r="F128" s="6"/>
      <c r="G128" s="9" t="str">
        <f t="shared" si="2"/>
        <v/>
      </c>
      <c r="H128" s="6"/>
      <c r="I128" s="9" t="str">
        <f t="shared" si="3"/>
        <v/>
      </c>
    </row>
    <row r="129" spans="1:9" x14ac:dyDescent="0.45">
      <c r="A129">
        <v>126</v>
      </c>
      <c r="B129" s="8"/>
      <c r="C129" s="5"/>
      <c r="D129" s="5"/>
      <c r="E129" s="5"/>
      <c r="F129" s="6"/>
      <c r="G129" s="9" t="str">
        <f t="shared" si="2"/>
        <v/>
      </c>
      <c r="H129" s="6"/>
      <c r="I129" s="9" t="str">
        <f t="shared" si="3"/>
        <v/>
      </c>
    </row>
    <row r="130" spans="1:9" x14ac:dyDescent="0.45">
      <c r="A130">
        <v>127</v>
      </c>
      <c r="B130" s="8"/>
      <c r="C130" s="5"/>
      <c r="D130" s="5"/>
      <c r="E130" s="5"/>
      <c r="F130" s="6"/>
      <c r="G130" s="9" t="str">
        <f t="shared" si="2"/>
        <v/>
      </c>
      <c r="H130" s="6"/>
      <c r="I130" s="9" t="str">
        <f t="shared" si="3"/>
        <v/>
      </c>
    </row>
    <row r="131" spans="1:9" x14ac:dyDescent="0.45">
      <c r="A131">
        <v>128</v>
      </c>
      <c r="B131" s="8"/>
      <c r="C131" s="5"/>
      <c r="D131" s="5"/>
      <c r="E131" s="5"/>
      <c r="F131" s="6"/>
      <c r="G131" s="9" t="str">
        <f t="shared" si="2"/>
        <v/>
      </c>
      <c r="H131" s="6"/>
      <c r="I131" s="9" t="str">
        <f t="shared" si="3"/>
        <v/>
      </c>
    </row>
    <row r="132" spans="1:9" x14ac:dyDescent="0.45">
      <c r="A132">
        <v>129</v>
      </c>
      <c r="B132" s="8"/>
      <c r="C132" s="5"/>
      <c r="D132" s="5"/>
      <c r="E132" s="5"/>
      <c r="F132" s="6"/>
      <c r="G132" s="9" t="str">
        <f t="shared" ref="G132:G195" si="4">IF(E132="","",E132*F132)</f>
        <v/>
      </c>
      <c r="H132" s="6"/>
      <c r="I132" s="9" t="str">
        <f t="shared" ref="I132:I195" si="5">IF(G132="","",G132-IF(H132="",0,H132))</f>
        <v/>
      </c>
    </row>
    <row r="133" spans="1:9" x14ac:dyDescent="0.45">
      <c r="A133">
        <v>130</v>
      </c>
      <c r="B133" s="8"/>
      <c r="C133" s="5"/>
      <c r="D133" s="5"/>
      <c r="E133" s="5"/>
      <c r="F133" s="6"/>
      <c r="G133" s="9" t="str">
        <f t="shared" si="4"/>
        <v/>
      </c>
      <c r="H133" s="6"/>
      <c r="I133" s="9" t="str">
        <f t="shared" si="5"/>
        <v/>
      </c>
    </row>
    <row r="134" spans="1:9" x14ac:dyDescent="0.45">
      <c r="A134">
        <v>131</v>
      </c>
      <c r="B134" s="8"/>
      <c r="C134" s="5"/>
      <c r="D134" s="5"/>
      <c r="E134" s="5"/>
      <c r="F134" s="6"/>
      <c r="G134" s="9" t="str">
        <f t="shared" si="4"/>
        <v/>
      </c>
      <c r="H134" s="6"/>
      <c r="I134" s="9" t="str">
        <f t="shared" si="5"/>
        <v/>
      </c>
    </row>
    <row r="135" spans="1:9" x14ac:dyDescent="0.45">
      <c r="A135">
        <v>132</v>
      </c>
      <c r="B135" s="8"/>
      <c r="C135" s="5"/>
      <c r="D135" s="5"/>
      <c r="E135" s="5"/>
      <c r="F135" s="6"/>
      <c r="G135" s="9" t="str">
        <f t="shared" si="4"/>
        <v/>
      </c>
      <c r="H135" s="6"/>
      <c r="I135" s="9" t="str">
        <f t="shared" si="5"/>
        <v/>
      </c>
    </row>
    <row r="136" spans="1:9" x14ac:dyDescent="0.45">
      <c r="A136">
        <v>133</v>
      </c>
      <c r="B136" s="8"/>
      <c r="C136" s="5"/>
      <c r="D136" s="5"/>
      <c r="E136" s="5"/>
      <c r="F136" s="6"/>
      <c r="G136" s="9" t="str">
        <f t="shared" si="4"/>
        <v/>
      </c>
      <c r="H136" s="6"/>
      <c r="I136" s="9" t="str">
        <f t="shared" si="5"/>
        <v/>
      </c>
    </row>
    <row r="137" spans="1:9" x14ac:dyDescent="0.45">
      <c r="A137">
        <v>134</v>
      </c>
      <c r="B137" s="8"/>
      <c r="C137" s="5"/>
      <c r="D137" s="5"/>
      <c r="E137" s="5"/>
      <c r="F137" s="6"/>
      <c r="G137" s="9" t="str">
        <f t="shared" si="4"/>
        <v/>
      </c>
      <c r="H137" s="6"/>
      <c r="I137" s="9" t="str">
        <f t="shared" si="5"/>
        <v/>
      </c>
    </row>
    <row r="138" spans="1:9" x14ac:dyDescent="0.45">
      <c r="A138">
        <v>135</v>
      </c>
      <c r="B138" s="8"/>
      <c r="C138" s="5"/>
      <c r="D138" s="5"/>
      <c r="E138" s="5"/>
      <c r="F138" s="6"/>
      <c r="G138" s="9" t="str">
        <f t="shared" si="4"/>
        <v/>
      </c>
      <c r="H138" s="6"/>
      <c r="I138" s="9" t="str">
        <f t="shared" si="5"/>
        <v/>
      </c>
    </row>
    <row r="139" spans="1:9" x14ac:dyDescent="0.45">
      <c r="A139">
        <v>136</v>
      </c>
      <c r="B139" s="8"/>
      <c r="C139" s="5"/>
      <c r="D139" s="5"/>
      <c r="E139" s="5"/>
      <c r="F139" s="6"/>
      <c r="G139" s="9" t="str">
        <f t="shared" si="4"/>
        <v/>
      </c>
      <c r="H139" s="6"/>
      <c r="I139" s="9" t="str">
        <f t="shared" si="5"/>
        <v/>
      </c>
    </row>
    <row r="140" spans="1:9" x14ac:dyDescent="0.45">
      <c r="A140">
        <v>137</v>
      </c>
      <c r="B140" s="8"/>
      <c r="C140" s="5"/>
      <c r="D140" s="5"/>
      <c r="E140" s="5"/>
      <c r="F140" s="6"/>
      <c r="G140" s="9" t="str">
        <f t="shared" si="4"/>
        <v/>
      </c>
      <c r="H140" s="6"/>
      <c r="I140" s="9" t="str">
        <f t="shared" si="5"/>
        <v/>
      </c>
    </row>
    <row r="141" spans="1:9" x14ac:dyDescent="0.45">
      <c r="A141">
        <v>138</v>
      </c>
      <c r="B141" s="8"/>
      <c r="C141" s="5"/>
      <c r="D141" s="5"/>
      <c r="E141" s="5"/>
      <c r="F141" s="6"/>
      <c r="G141" s="9" t="str">
        <f t="shared" si="4"/>
        <v/>
      </c>
      <c r="H141" s="6"/>
      <c r="I141" s="9" t="str">
        <f t="shared" si="5"/>
        <v/>
      </c>
    </row>
    <row r="142" spans="1:9" x14ac:dyDescent="0.45">
      <c r="A142">
        <v>139</v>
      </c>
      <c r="B142" s="8"/>
      <c r="C142" s="5"/>
      <c r="D142" s="5"/>
      <c r="E142" s="5"/>
      <c r="F142" s="6"/>
      <c r="G142" s="9" t="str">
        <f t="shared" si="4"/>
        <v/>
      </c>
      <c r="H142" s="6"/>
      <c r="I142" s="9" t="str">
        <f t="shared" si="5"/>
        <v/>
      </c>
    </row>
    <row r="143" spans="1:9" x14ac:dyDescent="0.45">
      <c r="A143">
        <v>140</v>
      </c>
      <c r="B143" s="8"/>
      <c r="C143" s="5"/>
      <c r="D143" s="5"/>
      <c r="E143" s="5"/>
      <c r="F143" s="6"/>
      <c r="G143" s="9" t="str">
        <f t="shared" si="4"/>
        <v/>
      </c>
      <c r="H143" s="6"/>
      <c r="I143" s="9" t="str">
        <f t="shared" si="5"/>
        <v/>
      </c>
    </row>
    <row r="144" spans="1:9" x14ac:dyDescent="0.45">
      <c r="A144">
        <v>141</v>
      </c>
      <c r="B144" s="8"/>
      <c r="C144" s="5"/>
      <c r="D144" s="5"/>
      <c r="E144" s="5"/>
      <c r="F144" s="6"/>
      <c r="G144" s="9" t="str">
        <f t="shared" si="4"/>
        <v/>
      </c>
      <c r="H144" s="6"/>
      <c r="I144" s="9" t="str">
        <f t="shared" si="5"/>
        <v/>
      </c>
    </row>
    <row r="145" spans="1:9" x14ac:dyDescent="0.45">
      <c r="A145">
        <v>142</v>
      </c>
      <c r="B145" s="8"/>
      <c r="C145" s="5"/>
      <c r="D145" s="5"/>
      <c r="E145" s="5"/>
      <c r="F145" s="6"/>
      <c r="G145" s="9" t="str">
        <f t="shared" si="4"/>
        <v/>
      </c>
      <c r="H145" s="6"/>
      <c r="I145" s="9" t="str">
        <f t="shared" si="5"/>
        <v/>
      </c>
    </row>
    <row r="146" spans="1:9" x14ac:dyDescent="0.45">
      <c r="A146">
        <v>143</v>
      </c>
      <c r="B146" s="8"/>
      <c r="C146" s="5"/>
      <c r="D146" s="5"/>
      <c r="E146" s="5"/>
      <c r="F146" s="6"/>
      <c r="G146" s="9" t="str">
        <f t="shared" si="4"/>
        <v/>
      </c>
      <c r="H146" s="6"/>
      <c r="I146" s="9" t="str">
        <f t="shared" si="5"/>
        <v/>
      </c>
    </row>
    <row r="147" spans="1:9" x14ac:dyDescent="0.45">
      <c r="A147">
        <v>144</v>
      </c>
      <c r="B147" s="8"/>
      <c r="C147" s="5"/>
      <c r="D147" s="5"/>
      <c r="E147" s="5"/>
      <c r="F147" s="6"/>
      <c r="G147" s="9" t="str">
        <f t="shared" si="4"/>
        <v/>
      </c>
      <c r="H147" s="6"/>
      <c r="I147" s="9" t="str">
        <f t="shared" si="5"/>
        <v/>
      </c>
    </row>
    <row r="148" spans="1:9" x14ac:dyDescent="0.45">
      <c r="A148">
        <v>145</v>
      </c>
      <c r="B148" s="8"/>
      <c r="C148" s="5"/>
      <c r="D148" s="5"/>
      <c r="E148" s="5"/>
      <c r="F148" s="6"/>
      <c r="G148" s="9" t="str">
        <f t="shared" si="4"/>
        <v/>
      </c>
      <c r="H148" s="6"/>
      <c r="I148" s="9" t="str">
        <f t="shared" si="5"/>
        <v/>
      </c>
    </row>
    <row r="149" spans="1:9" x14ac:dyDescent="0.45">
      <c r="A149">
        <v>146</v>
      </c>
      <c r="B149" s="8"/>
      <c r="C149" s="5"/>
      <c r="D149" s="5"/>
      <c r="E149" s="5"/>
      <c r="F149" s="6"/>
      <c r="G149" s="9" t="str">
        <f t="shared" si="4"/>
        <v/>
      </c>
      <c r="H149" s="6"/>
      <c r="I149" s="9" t="str">
        <f t="shared" si="5"/>
        <v/>
      </c>
    </row>
    <row r="150" spans="1:9" x14ac:dyDescent="0.45">
      <c r="A150">
        <v>147</v>
      </c>
      <c r="B150" s="8"/>
      <c r="C150" s="5"/>
      <c r="D150" s="5"/>
      <c r="E150" s="5"/>
      <c r="F150" s="6"/>
      <c r="G150" s="9" t="str">
        <f t="shared" si="4"/>
        <v/>
      </c>
      <c r="H150" s="6"/>
      <c r="I150" s="9" t="str">
        <f t="shared" si="5"/>
        <v/>
      </c>
    </row>
    <row r="151" spans="1:9" x14ac:dyDescent="0.45">
      <c r="A151">
        <v>148</v>
      </c>
      <c r="B151" s="8"/>
      <c r="C151" s="5"/>
      <c r="D151" s="5"/>
      <c r="E151" s="5"/>
      <c r="F151" s="6"/>
      <c r="G151" s="9" t="str">
        <f t="shared" si="4"/>
        <v/>
      </c>
      <c r="H151" s="6"/>
      <c r="I151" s="9" t="str">
        <f t="shared" si="5"/>
        <v/>
      </c>
    </row>
    <row r="152" spans="1:9" x14ac:dyDescent="0.45">
      <c r="A152">
        <v>149</v>
      </c>
      <c r="B152" s="8"/>
      <c r="C152" s="5"/>
      <c r="D152" s="5"/>
      <c r="E152" s="5"/>
      <c r="F152" s="6"/>
      <c r="G152" s="9" t="str">
        <f t="shared" si="4"/>
        <v/>
      </c>
      <c r="H152" s="6"/>
      <c r="I152" s="9" t="str">
        <f t="shared" si="5"/>
        <v/>
      </c>
    </row>
    <row r="153" spans="1:9" x14ac:dyDescent="0.45">
      <c r="A153">
        <v>150</v>
      </c>
      <c r="B153" s="8"/>
      <c r="C153" s="5"/>
      <c r="D153" s="5"/>
      <c r="E153" s="5"/>
      <c r="F153" s="6"/>
      <c r="G153" s="9" t="str">
        <f t="shared" si="4"/>
        <v/>
      </c>
      <c r="H153" s="6"/>
      <c r="I153" s="9" t="str">
        <f t="shared" si="5"/>
        <v/>
      </c>
    </row>
    <row r="154" spans="1:9" x14ac:dyDescent="0.45">
      <c r="A154">
        <v>151</v>
      </c>
      <c r="B154" s="8"/>
      <c r="C154" s="5"/>
      <c r="D154" s="5"/>
      <c r="E154" s="5"/>
      <c r="F154" s="6"/>
      <c r="G154" s="9" t="str">
        <f t="shared" si="4"/>
        <v/>
      </c>
      <c r="H154" s="6"/>
      <c r="I154" s="9" t="str">
        <f t="shared" si="5"/>
        <v/>
      </c>
    </row>
    <row r="155" spans="1:9" x14ac:dyDescent="0.45">
      <c r="A155">
        <v>152</v>
      </c>
      <c r="B155" s="8"/>
      <c r="C155" s="5"/>
      <c r="D155" s="5"/>
      <c r="E155" s="5"/>
      <c r="F155" s="6"/>
      <c r="G155" s="9" t="str">
        <f t="shared" si="4"/>
        <v/>
      </c>
      <c r="H155" s="6"/>
      <c r="I155" s="9" t="str">
        <f t="shared" si="5"/>
        <v/>
      </c>
    </row>
    <row r="156" spans="1:9" x14ac:dyDescent="0.45">
      <c r="A156">
        <v>153</v>
      </c>
      <c r="B156" s="8"/>
      <c r="C156" s="5"/>
      <c r="D156" s="5"/>
      <c r="E156" s="5"/>
      <c r="F156" s="6"/>
      <c r="G156" s="9" t="str">
        <f t="shared" si="4"/>
        <v/>
      </c>
      <c r="H156" s="6"/>
      <c r="I156" s="9" t="str">
        <f t="shared" si="5"/>
        <v/>
      </c>
    </row>
    <row r="157" spans="1:9" x14ac:dyDescent="0.45">
      <c r="A157">
        <v>154</v>
      </c>
      <c r="B157" s="8"/>
      <c r="C157" s="5"/>
      <c r="D157" s="5"/>
      <c r="E157" s="5"/>
      <c r="F157" s="6"/>
      <c r="G157" s="9" t="str">
        <f t="shared" si="4"/>
        <v/>
      </c>
      <c r="H157" s="6"/>
      <c r="I157" s="9" t="str">
        <f t="shared" si="5"/>
        <v/>
      </c>
    </row>
    <row r="158" spans="1:9" x14ac:dyDescent="0.45">
      <c r="A158">
        <v>155</v>
      </c>
      <c r="B158" s="8"/>
      <c r="C158" s="5"/>
      <c r="D158" s="5"/>
      <c r="E158" s="5"/>
      <c r="F158" s="6"/>
      <c r="G158" s="9" t="str">
        <f t="shared" si="4"/>
        <v/>
      </c>
      <c r="H158" s="6"/>
      <c r="I158" s="9" t="str">
        <f t="shared" si="5"/>
        <v/>
      </c>
    </row>
    <row r="159" spans="1:9" x14ac:dyDescent="0.45">
      <c r="A159">
        <v>156</v>
      </c>
      <c r="B159" s="8"/>
      <c r="C159" s="5"/>
      <c r="D159" s="5"/>
      <c r="E159" s="5"/>
      <c r="F159" s="6"/>
      <c r="G159" s="9" t="str">
        <f t="shared" si="4"/>
        <v/>
      </c>
      <c r="H159" s="6"/>
      <c r="I159" s="9" t="str">
        <f t="shared" si="5"/>
        <v/>
      </c>
    </row>
    <row r="160" spans="1:9" x14ac:dyDescent="0.45">
      <c r="A160">
        <v>157</v>
      </c>
      <c r="B160" s="8"/>
      <c r="C160" s="5"/>
      <c r="D160" s="5"/>
      <c r="E160" s="5"/>
      <c r="F160" s="6"/>
      <c r="G160" s="9" t="str">
        <f t="shared" si="4"/>
        <v/>
      </c>
      <c r="H160" s="6"/>
      <c r="I160" s="9" t="str">
        <f t="shared" si="5"/>
        <v/>
      </c>
    </row>
    <row r="161" spans="1:9" x14ac:dyDescent="0.45">
      <c r="A161">
        <v>158</v>
      </c>
      <c r="B161" s="8"/>
      <c r="C161" s="5"/>
      <c r="D161" s="5"/>
      <c r="E161" s="5"/>
      <c r="F161" s="6"/>
      <c r="G161" s="9" t="str">
        <f t="shared" si="4"/>
        <v/>
      </c>
      <c r="H161" s="6"/>
      <c r="I161" s="9" t="str">
        <f t="shared" si="5"/>
        <v/>
      </c>
    </row>
    <row r="162" spans="1:9" x14ac:dyDescent="0.45">
      <c r="A162">
        <v>159</v>
      </c>
      <c r="B162" s="8"/>
      <c r="C162" s="5"/>
      <c r="D162" s="5"/>
      <c r="E162" s="5"/>
      <c r="F162" s="6"/>
      <c r="G162" s="9" t="str">
        <f t="shared" si="4"/>
        <v/>
      </c>
      <c r="H162" s="6"/>
      <c r="I162" s="9" t="str">
        <f t="shared" si="5"/>
        <v/>
      </c>
    </row>
    <row r="163" spans="1:9" x14ac:dyDescent="0.45">
      <c r="A163">
        <v>160</v>
      </c>
      <c r="B163" s="8"/>
      <c r="C163" s="5"/>
      <c r="D163" s="5"/>
      <c r="E163" s="5"/>
      <c r="F163" s="6"/>
      <c r="G163" s="9" t="str">
        <f t="shared" si="4"/>
        <v/>
      </c>
      <c r="H163" s="6"/>
      <c r="I163" s="9" t="str">
        <f t="shared" si="5"/>
        <v/>
      </c>
    </row>
    <row r="164" spans="1:9" x14ac:dyDescent="0.45">
      <c r="A164">
        <v>161</v>
      </c>
      <c r="B164" s="8"/>
      <c r="C164" s="5"/>
      <c r="D164" s="5"/>
      <c r="E164" s="5"/>
      <c r="F164" s="6"/>
      <c r="G164" s="9" t="str">
        <f t="shared" si="4"/>
        <v/>
      </c>
      <c r="H164" s="6"/>
      <c r="I164" s="9" t="str">
        <f t="shared" si="5"/>
        <v/>
      </c>
    </row>
    <row r="165" spans="1:9" x14ac:dyDescent="0.45">
      <c r="A165">
        <v>162</v>
      </c>
      <c r="B165" s="8"/>
      <c r="C165" s="5"/>
      <c r="D165" s="5"/>
      <c r="E165" s="5"/>
      <c r="F165" s="6"/>
      <c r="G165" s="9" t="str">
        <f t="shared" si="4"/>
        <v/>
      </c>
      <c r="H165" s="6"/>
      <c r="I165" s="9" t="str">
        <f t="shared" si="5"/>
        <v/>
      </c>
    </row>
    <row r="166" spans="1:9" x14ac:dyDescent="0.45">
      <c r="A166">
        <v>163</v>
      </c>
      <c r="B166" s="8"/>
      <c r="C166" s="5"/>
      <c r="D166" s="5"/>
      <c r="E166" s="5"/>
      <c r="F166" s="6"/>
      <c r="G166" s="9" t="str">
        <f t="shared" si="4"/>
        <v/>
      </c>
      <c r="H166" s="6"/>
      <c r="I166" s="9" t="str">
        <f t="shared" si="5"/>
        <v/>
      </c>
    </row>
    <row r="167" spans="1:9" x14ac:dyDescent="0.45">
      <c r="A167">
        <v>164</v>
      </c>
      <c r="B167" s="8"/>
      <c r="C167" s="5"/>
      <c r="D167" s="5"/>
      <c r="E167" s="5"/>
      <c r="F167" s="6"/>
      <c r="G167" s="9" t="str">
        <f t="shared" si="4"/>
        <v/>
      </c>
      <c r="H167" s="6"/>
      <c r="I167" s="9" t="str">
        <f t="shared" si="5"/>
        <v/>
      </c>
    </row>
    <row r="168" spans="1:9" x14ac:dyDescent="0.45">
      <c r="A168">
        <v>165</v>
      </c>
      <c r="B168" s="8"/>
      <c r="C168" s="5"/>
      <c r="D168" s="5"/>
      <c r="E168" s="5"/>
      <c r="F168" s="6"/>
      <c r="G168" s="9" t="str">
        <f t="shared" si="4"/>
        <v/>
      </c>
      <c r="H168" s="6"/>
      <c r="I168" s="9" t="str">
        <f t="shared" si="5"/>
        <v/>
      </c>
    </row>
    <row r="169" spans="1:9" x14ac:dyDescent="0.45">
      <c r="A169">
        <v>166</v>
      </c>
      <c r="B169" s="8"/>
      <c r="C169" s="5"/>
      <c r="D169" s="5"/>
      <c r="E169" s="5"/>
      <c r="F169" s="6"/>
      <c r="G169" s="9" t="str">
        <f t="shared" si="4"/>
        <v/>
      </c>
      <c r="H169" s="6"/>
      <c r="I169" s="9" t="str">
        <f t="shared" si="5"/>
        <v/>
      </c>
    </row>
    <row r="170" spans="1:9" x14ac:dyDescent="0.45">
      <c r="A170">
        <v>167</v>
      </c>
      <c r="B170" s="8"/>
      <c r="C170" s="5"/>
      <c r="D170" s="5"/>
      <c r="E170" s="5"/>
      <c r="F170" s="6"/>
      <c r="G170" s="9" t="str">
        <f t="shared" si="4"/>
        <v/>
      </c>
      <c r="H170" s="6"/>
      <c r="I170" s="9" t="str">
        <f t="shared" si="5"/>
        <v/>
      </c>
    </row>
    <row r="171" spans="1:9" x14ac:dyDescent="0.45">
      <c r="A171">
        <v>168</v>
      </c>
      <c r="B171" s="8"/>
      <c r="C171" s="5"/>
      <c r="D171" s="5"/>
      <c r="E171" s="5"/>
      <c r="F171" s="6"/>
      <c r="G171" s="9" t="str">
        <f t="shared" si="4"/>
        <v/>
      </c>
      <c r="H171" s="6"/>
      <c r="I171" s="9" t="str">
        <f t="shared" si="5"/>
        <v/>
      </c>
    </row>
    <row r="172" spans="1:9" x14ac:dyDescent="0.45">
      <c r="A172">
        <v>169</v>
      </c>
      <c r="B172" s="8"/>
      <c r="C172" s="5"/>
      <c r="D172" s="5"/>
      <c r="E172" s="5"/>
      <c r="F172" s="6"/>
      <c r="G172" s="9" t="str">
        <f t="shared" si="4"/>
        <v/>
      </c>
      <c r="H172" s="6"/>
      <c r="I172" s="9" t="str">
        <f t="shared" si="5"/>
        <v/>
      </c>
    </row>
    <row r="173" spans="1:9" x14ac:dyDescent="0.45">
      <c r="A173">
        <v>170</v>
      </c>
      <c r="B173" s="8"/>
      <c r="C173" s="5"/>
      <c r="D173" s="5"/>
      <c r="E173" s="5"/>
      <c r="F173" s="6"/>
      <c r="G173" s="9" t="str">
        <f t="shared" si="4"/>
        <v/>
      </c>
      <c r="H173" s="6"/>
      <c r="I173" s="9" t="str">
        <f t="shared" si="5"/>
        <v/>
      </c>
    </row>
    <row r="174" spans="1:9" x14ac:dyDescent="0.45">
      <c r="A174">
        <v>171</v>
      </c>
      <c r="B174" s="8"/>
      <c r="C174" s="5"/>
      <c r="D174" s="5"/>
      <c r="E174" s="5"/>
      <c r="F174" s="6"/>
      <c r="G174" s="9" t="str">
        <f t="shared" si="4"/>
        <v/>
      </c>
      <c r="H174" s="6"/>
      <c r="I174" s="9" t="str">
        <f t="shared" si="5"/>
        <v/>
      </c>
    </row>
    <row r="175" spans="1:9" x14ac:dyDescent="0.45">
      <c r="A175">
        <v>172</v>
      </c>
      <c r="B175" s="8"/>
      <c r="C175" s="5"/>
      <c r="D175" s="5"/>
      <c r="E175" s="5"/>
      <c r="F175" s="6"/>
      <c r="G175" s="9" t="str">
        <f t="shared" si="4"/>
        <v/>
      </c>
      <c r="H175" s="6"/>
      <c r="I175" s="9" t="str">
        <f t="shared" si="5"/>
        <v/>
      </c>
    </row>
    <row r="176" spans="1:9" x14ac:dyDescent="0.45">
      <c r="A176">
        <v>173</v>
      </c>
      <c r="B176" s="8"/>
      <c r="C176" s="5"/>
      <c r="D176" s="5"/>
      <c r="E176" s="5"/>
      <c r="F176" s="6"/>
      <c r="G176" s="9" t="str">
        <f t="shared" si="4"/>
        <v/>
      </c>
      <c r="H176" s="6"/>
      <c r="I176" s="9" t="str">
        <f t="shared" si="5"/>
        <v/>
      </c>
    </row>
    <row r="177" spans="1:9" x14ac:dyDescent="0.45">
      <c r="A177">
        <v>174</v>
      </c>
      <c r="B177" s="8"/>
      <c r="C177" s="5"/>
      <c r="D177" s="5"/>
      <c r="E177" s="5"/>
      <c r="F177" s="6"/>
      <c r="G177" s="9" t="str">
        <f t="shared" si="4"/>
        <v/>
      </c>
      <c r="H177" s="6"/>
      <c r="I177" s="9" t="str">
        <f t="shared" si="5"/>
        <v/>
      </c>
    </row>
    <row r="178" spans="1:9" x14ac:dyDescent="0.45">
      <c r="A178">
        <v>175</v>
      </c>
      <c r="B178" s="8"/>
      <c r="C178" s="5"/>
      <c r="D178" s="5"/>
      <c r="E178" s="5"/>
      <c r="F178" s="6"/>
      <c r="G178" s="9" t="str">
        <f t="shared" si="4"/>
        <v/>
      </c>
      <c r="H178" s="6"/>
      <c r="I178" s="9" t="str">
        <f t="shared" si="5"/>
        <v/>
      </c>
    </row>
    <row r="179" spans="1:9" x14ac:dyDescent="0.45">
      <c r="A179">
        <v>176</v>
      </c>
      <c r="B179" s="8"/>
      <c r="C179" s="5"/>
      <c r="D179" s="5"/>
      <c r="E179" s="5"/>
      <c r="F179" s="6"/>
      <c r="G179" s="9" t="str">
        <f t="shared" si="4"/>
        <v/>
      </c>
      <c r="H179" s="6"/>
      <c r="I179" s="9" t="str">
        <f t="shared" si="5"/>
        <v/>
      </c>
    </row>
    <row r="180" spans="1:9" x14ac:dyDescent="0.45">
      <c r="A180">
        <v>177</v>
      </c>
      <c r="B180" s="8"/>
      <c r="C180" s="5"/>
      <c r="D180" s="5"/>
      <c r="E180" s="5"/>
      <c r="F180" s="6"/>
      <c r="G180" s="9" t="str">
        <f t="shared" si="4"/>
        <v/>
      </c>
      <c r="H180" s="6"/>
      <c r="I180" s="9" t="str">
        <f t="shared" si="5"/>
        <v/>
      </c>
    </row>
    <row r="181" spans="1:9" x14ac:dyDescent="0.45">
      <c r="A181">
        <v>178</v>
      </c>
      <c r="B181" s="8"/>
      <c r="C181" s="5"/>
      <c r="D181" s="5"/>
      <c r="E181" s="5"/>
      <c r="F181" s="6"/>
      <c r="G181" s="9" t="str">
        <f t="shared" si="4"/>
        <v/>
      </c>
      <c r="H181" s="6"/>
      <c r="I181" s="9" t="str">
        <f t="shared" si="5"/>
        <v/>
      </c>
    </row>
    <row r="182" spans="1:9" x14ac:dyDescent="0.45">
      <c r="A182">
        <v>179</v>
      </c>
      <c r="B182" s="8"/>
      <c r="C182" s="5"/>
      <c r="D182" s="5"/>
      <c r="E182" s="5"/>
      <c r="F182" s="6"/>
      <c r="G182" s="9" t="str">
        <f t="shared" si="4"/>
        <v/>
      </c>
      <c r="H182" s="6"/>
      <c r="I182" s="9" t="str">
        <f t="shared" si="5"/>
        <v/>
      </c>
    </row>
    <row r="183" spans="1:9" x14ac:dyDescent="0.45">
      <c r="A183">
        <v>180</v>
      </c>
      <c r="B183" s="8"/>
      <c r="C183" s="5"/>
      <c r="D183" s="5"/>
      <c r="E183" s="5"/>
      <c r="F183" s="6"/>
      <c r="G183" s="9" t="str">
        <f t="shared" si="4"/>
        <v/>
      </c>
      <c r="H183" s="6"/>
      <c r="I183" s="9" t="str">
        <f t="shared" si="5"/>
        <v/>
      </c>
    </row>
    <row r="184" spans="1:9" x14ac:dyDescent="0.45">
      <c r="A184">
        <v>181</v>
      </c>
      <c r="B184" s="8"/>
      <c r="C184" s="5"/>
      <c r="D184" s="5"/>
      <c r="E184" s="5"/>
      <c r="F184" s="6"/>
      <c r="G184" s="9" t="str">
        <f t="shared" si="4"/>
        <v/>
      </c>
      <c r="H184" s="6"/>
      <c r="I184" s="9" t="str">
        <f t="shared" si="5"/>
        <v/>
      </c>
    </row>
    <row r="185" spans="1:9" x14ac:dyDescent="0.45">
      <c r="A185">
        <v>182</v>
      </c>
      <c r="B185" s="8"/>
      <c r="C185" s="5"/>
      <c r="D185" s="5"/>
      <c r="E185" s="5"/>
      <c r="F185" s="6"/>
      <c r="G185" s="9" t="str">
        <f t="shared" si="4"/>
        <v/>
      </c>
      <c r="H185" s="6"/>
      <c r="I185" s="9" t="str">
        <f t="shared" si="5"/>
        <v/>
      </c>
    </row>
    <row r="186" spans="1:9" x14ac:dyDescent="0.45">
      <c r="A186">
        <v>183</v>
      </c>
      <c r="B186" s="8"/>
      <c r="C186" s="5"/>
      <c r="D186" s="5"/>
      <c r="E186" s="5"/>
      <c r="F186" s="6"/>
      <c r="G186" s="9" t="str">
        <f t="shared" si="4"/>
        <v/>
      </c>
      <c r="H186" s="6"/>
      <c r="I186" s="9" t="str">
        <f t="shared" si="5"/>
        <v/>
      </c>
    </row>
    <row r="187" spans="1:9" x14ac:dyDescent="0.45">
      <c r="A187">
        <v>184</v>
      </c>
      <c r="B187" s="8"/>
      <c r="C187" s="5"/>
      <c r="D187" s="5"/>
      <c r="E187" s="5"/>
      <c r="F187" s="6"/>
      <c r="G187" s="9" t="str">
        <f t="shared" si="4"/>
        <v/>
      </c>
      <c r="H187" s="6"/>
      <c r="I187" s="9" t="str">
        <f t="shared" si="5"/>
        <v/>
      </c>
    </row>
    <row r="188" spans="1:9" x14ac:dyDescent="0.45">
      <c r="A188">
        <v>185</v>
      </c>
      <c r="B188" s="8"/>
      <c r="C188" s="5"/>
      <c r="D188" s="5"/>
      <c r="E188" s="5"/>
      <c r="F188" s="6"/>
      <c r="G188" s="9" t="str">
        <f t="shared" si="4"/>
        <v/>
      </c>
      <c r="H188" s="6"/>
      <c r="I188" s="9" t="str">
        <f t="shared" si="5"/>
        <v/>
      </c>
    </row>
    <row r="189" spans="1:9" x14ac:dyDescent="0.45">
      <c r="A189">
        <v>186</v>
      </c>
      <c r="B189" s="8"/>
      <c r="C189" s="5"/>
      <c r="D189" s="5"/>
      <c r="E189" s="5"/>
      <c r="F189" s="6"/>
      <c r="G189" s="9" t="str">
        <f t="shared" si="4"/>
        <v/>
      </c>
      <c r="H189" s="6"/>
      <c r="I189" s="9" t="str">
        <f t="shared" si="5"/>
        <v/>
      </c>
    </row>
    <row r="190" spans="1:9" x14ac:dyDescent="0.45">
      <c r="A190">
        <v>187</v>
      </c>
      <c r="B190" s="8"/>
      <c r="C190" s="5"/>
      <c r="D190" s="5"/>
      <c r="E190" s="5"/>
      <c r="F190" s="6"/>
      <c r="G190" s="9" t="str">
        <f t="shared" si="4"/>
        <v/>
      </c>
      <c r="H190" s="6"/>
      <c r="I190" s="9" t="str">
        <f t="shared" si="5"/>
        <v/>
      </c>
    </row>
    <row r="191" spans="1:9" x14ac:dyDescent="0.45">
      <c r="A191">
        <v>188</v>
      </c>
      <c r="B191" s="8"/>
      <c r="C191" s="5"/>
      <c r="D191" s="5"/>
      <c r="E191" s="5"/>
      <c r="F191" s="6"/>
      <c r="G191" s="9" t="str">
        <f t="shared" si="4"/>
        <v/>
      </c>
      <c r="H191" s="6"/>
      <c r="I191" s="9" t="str">
        <f t="shared" si="5"/>
        <v/>
      </c>
    </row>
    <row r="192" spans="1:9" x14ac:dyDescent="0.45">
      <c r="A192">
        <v>189</v>
      </c>
      <c r="B192" s="8"/>
      <c r="C192" s="5"/>
      <c r="D192" s="5"/>
      <c r="E192" s="5"/>
      <c r="F192" s="6"/>
      <c r="G192" s="9" t="str">
        <f t="shared" si="4"/>
        <v/>
      </c>
      <c r="H192" s="6"/>
      <c r="I192" s="9" t="str">
        <f t="shared" si="5"/>
        <v/>
      </c>
    </row>
    <row r="193" spans="1:9" x14ac:dyDescent="0.45">
      <c r="A193">
        <v>190</v>
      </c>
      <c r="B193" s="8"/>
      <c r="C193" s="5"/>
      <c r="D193" s="5"/>
      <c r="E193" s="5"/>
      <c r="F193" s="6"/>
      <c r="G193" s="9" t="str">
        <f t="shared" si="4"/>
        <v/>
      </c>
      <c r="H193" s="6"/>
      <c r="I193" s="9" t="str">
        <f t="shared" si="5"/>
        <v/>
      </c>
    </row>
    <row r="194" spans="1:9" x14ac:dyDescent="0.45">
      <c r="A194">
        <v>191</v>
      </c>
      <c r="B194" s="8"/>
      <c r="C194" s="5"/>
      <c r="D194" s="5"/>
      <c r="E194" s="5"/>
      <c r="F194" s="6"/>
      <c r="G194" s="9" t="str">
        <f t="shared" si="4"/>
        <v/>
      </c>
      <c r="H194" s="6"/>
      <c r="I194" s="9" t="str">
        <f t="shared" si="5"/>
        <v/>
      </c>
    </row>
    <row r="195" spans="1:9" x14ac:dyDescent="0.45">
      <c r="A195">
        <v>192</v>
      </c>
      <c r="B195" s="8"/>
      <c r="C195" s="5"/>
      <c r="D195" s="5"/>
      <c r="E195" s="5"/>
      <c r="F195" s="6"/>
      <c r="G195" s="9" t="str">
        <f t="shared" si="4"/>
        <v/>
      </c>
      <c r="H195" s="6"/>
      <c r="I195" s="9" t="str">
        <f t="shared" si="5"/>
        <v/>
      </c>
    </row>
    <row r="196" spans="1:9" x14ac:dyDescent="0.45">
      <c r="A196">
        <v>193</v>
      </c>
      <c r="B196" s="8"/>
      <c r="C196" s="5"/>
      <c r="D196" s="5"/>
      <c r="E196" s="5"/>
      <c r="F196" s="6"/>
      <c r="G196" s="9" t="str">
        <f t="shared" ref="G196:G259" si="6">IF(E196="","",E196*F196)</f>
        <v/>
      </c>
      <c r="H196" s="6"/>
      <c r="I196" s="9" t="str">
        <f t="shared" ref="I196:I259" si="7">IF(G196="","",G196-IF(H196="",0,H196))</f>
        <v/>
      </c>
    </row>
    <row r="197" spans="1:9" x14ac:dyDescent="0.45">
      <c r="A197">
        <v>194</v>
      </c>
      <c r="B197" s="8"/>
      <c r="C197" s="5"/>
      <c r="D197" s="5"/>
      <c r="E197" s="5"/>
      <c r="F197" s="6"/>
      <c r="G197" s="9" t="str">
        <f t="shared" si="6"/>
        <v/>
      </c>
      <c r="H197" s="6"/>
      <c r="I197" s="9" t="str">
        <f t="shared" si="7"/>
        <v/>
      </c>
    </row>
    <row r="198" spans="1:9" x14ac:dyDescent="0.45">
      <c r="A198">
        <v>195</v>
      </c>
      <c r="B198" s="8"/>
      <c r="C198" s="5"/>
      <c r="D198" s="5"/>
      <c r="E198" s="5"/>
      <c r="F198" s="6"/>
      <c r="G198" s="9" t="str">
        <f t="shared" si="6"/>
        <v/>
      </c>
      <c r="H198" s="6"/>
      <c r="I198" s="9" t="str">
        <f t="shared" si="7"/>
        <v/>
      </c>
    </row>
    <row r="199" spans="1:9" x14ac:dyDescent="0.45">
      <c r="A199">
        <v>196</v>
      </c>
      <c r="B199" s="8"/>
      <c r="C199" s="5"/>
      <c r="D199" s="5"/>
      <c r="E199" s="5"/>
      <c r="F199" s="6"/>
      <c r="G199" s="9" t="str">
        <f t="shared" si="6"/>
        <v/>
      </c>
      <c r="H199" s="6"/>
      <c r="I199" s="9" t="str">
        <f t="shared" si="7"/>
        <v/>
      </c>
    </row>
    <row r="200" spans="1:9" x14ac:dyDescent="0.45">
      <c r="A200">
        <v>197</v>
      </c>
      <c r="B200" s="8"/>
      <c r="C200" s="5"/>
      <c r="D200" s="5"/>
      <c r="E200" s="5"/>
      <c r="F200" s="6"/>
      <c r="G200" s="9" t="str">
        <f t="shared" si="6"/>
        <v/>
      </c>
      <c r="H200" s="6"/>
      <c r="I200" s="9" t="str">
        <f t="shared" si="7"/>
        <v/>
      </c>
    </row>
    <row r="201" spans="1:9" x14ac:dyDescent="0.45">
      <c r="A201">
        <v>198</v>
      </c>
      <c r="B201" s="8"/>
      <c r="C201" s="5"/>
      <c r="D201" s="5"/>
      <c r="E201" s="5"/>
      <c r="F201" s="6"/>
      <c r="G201" s="9" t="str">
        <f t="shared" si="6"/>
        <v/>
      </c>
      <c r="H201" s="6"/>
      <c r="I201" s="9" t="str">
        <f t="shared" si="7"/>
        <v/>
      </c>
    </row>
    <row r="202" spans="1:9" x14ac:dyDescent="0.45">
      <c r="A202">
        <v>199</v>
      </c>
      <c r="B202" s="8"/>
      <c r="C202" s="5"/>
      <c r="D202" s="5"/>
      <c r="E202" s="5"/>
      <c r="F202" s="6"/>
      <c r="G202" s="9" t="str">
        <f t="shared" si="6"/>
        <v/>
      </c>
      <c r="H202" s="6"/>
      <c r="I202" s="9" t="str">
        <f t="shared" si="7"/>
        <v/>
      </c>
    </row>
    <row r="203" spans="1:9" x14ac:dyDescent="0.45">
      <c r="A203">
        <v>200</v>
      </c>
      <c r="B203" s="8"/>
      <c r="C203" s="5"/>
      <c r="D203" s="5"/>
      <c r="E203" s="5"/>
      <c r="F203" s="6"/>
      <c r="G203" s="9" t="str">
        <f t="shared" si="6"/>
        <v/>
      </c>
      <c r="H203" s="6"/>
      <c r="I203" s="9" t="str">
        <f t="shared" si="7"/>
        <v/>
      </c>
    </row>
    <row r="204" spans="1:9" x14ac:dyDescent="0.45">
      <c r="A204">
        <v>201</v>
      </c>
      <c r="B204" s="8"/>
      <c r="C204" s="5"/>
      <c r="D204" s="5"/>
      <c r="E204" s="5"/>
      <c r="F204" s="6"/>
      <c r="G204" s="9" t="str">
        <f t="shared" si="6"/>
        <v/>
      </c>
      <c r="H204" s="6"/>
      <c r="I204" s="9" t="str">
        <f t="shared" si="7"/>
        <v/>
      </c>
    </row>
    <row r="205" spans="1:9" x14ac:dyDescent="0.45">
      <c r="A205">
        <v>202</v>
      </c>
      <c r="B205" s="8"/>
      <c r="C205" s="5"/>
      <c r="D205" s="5"/>
      <c r="E205" s="5"/>
      <c r="F205" s="6"/>
      <c r="G205" s="9" t="str">
        <f t="shared" si="6"/>
        <v/>
      </c>
      <c r="H205" s="6"/>
      <c r="I205" s="9" t="str">
        <f t="shared" si="7"/>
        <v/>
      </c>
    </row>
    <row r="206" spans="1:9" x14ac:dyDescent="0.45">
      <c r="A206">
        <v>203</v>
      </c>
      <c r="B206" s="8"/>
      <c r="C206" s="5"/>
      <c r="D206" s="5"/>
      <c r="E206" s="5"/>
      <c r="F206" s="6"/>
      <c r="G206" s="9" t="str">
        <f t="shared" si="6"/>
        <v/>
      </c>
      <c r="H206" s="6"/>
      <c r="I206" s="9" t="str">
        <f t="shared" si="7"/>
        <v/>
      </c>
    </row>
    <row r="207" spans="1:9" x14ac:dyDescent="0.45">
      <c r="A207">
        <v>204</v>
      </c>
      <c r="B207" s="8"/>
      <c r="C207" s="5"/>
      <c r="D207" s="5"/>
      <c r="E207" s="5"/>
      <c r="F207" s="6"/>
      <c r="G207" s="9" t="str">
        <f t="shared" si="6"/>
        <v/>
      </c>
      <c r="H207" s="6"/>
      <c r="I207" s="9" t="str">
        <f t="shared" si="7"/>
        <v/>
      </c>
    </row>
    <row r="208" spans="1:9" x14ac:dyDescent="0.45">
      <c r="A208">
        <v>205</v>
      </c>
      <c r="B208" s="8"/>
      <c r="C208" s="5"/>
      <c r="D208" s="5"/>
      <c r="E208" s="5"/>
      <c r="F208" s="6"/>
      <c r="G208" s="9" t="str">
        <f t="shared" si="6"/>
        <v/>
      </c>
      <c r="H208" s="6"/>
      <c r="I208" s="9" t="str">
        <f t="shared" si="7"/>
        <v/>
      </c>
    </row>
    <row r="209" spans="1:9" x14ac:dyDescent="0.45">
      <c r="A209">
        <v>206</v>
      </c>
      <c r="B209" s="8"/>
      <c r="C209" s="5"/>
      <c r="D209" s="5"/>
      <c r="E209" s="5"/>
      <c r="F209" s="6"/>
      <c r="G209" s="9" t="str">
        <f t="shared" si="6"/>
        <v/>
      </c>
      <c r="H209" s="6"/>
      <c r="I209" s="9" t="str">
        <f t="shared" si="7"/>
        <v/>
      </c>
    </row>
    <row r="210" spans="1:9" x14ac:dyDescent="0.45">
      <c r="A210">
        <v>207</v>
      </c>
      <c r="B210" s="8"/>
      <c r="C210" s="5"/>
      <c r="D210" s="5"/>
      <c r="E210" s="5"/>
      <c r="F210" s="6"/>
      <c r="G210" s="9" t="str">
        <f t="shared" si="6"/>
        <v/>
      </c>
      <c r="H210" s="6"/>
      <c r="I210" s="9" t="str">
        <f t="shared" si="7"/>
        <v/>
      </c>
    </row>
    <row r="211" spans="1:9" x14ac:dyDescent="0.45">
      <c r="A211">
        <v>208</v>
      </c>
      <c r="B211" s="8"/>
      <c r="C211" s="5"/>
      <c r="D211" s="5"/>
      <c r="E211" s="5"/>
      <c r="F211" s="6"/>
      <c r="G211" s="9" t="str">
        <f t="shared" si="6"/>
        <v/>
      </c>
      <c r="H211" s="6"/>
      <c r="I211" s="9" t="str">
        <f t="shared" si="7"/>
        <v/>
      </c>
    </row>
    <row r="212" spans="1:9" x14ac:dyDescent="0.45">
      <c r="A212">
        <v>209</v>
      </c>
      <c r="B212" s="8"/>
      <c r="C212" s="5"/>
      <c r="D212" s="5"/>
      <c r="E212" s="5"/>
      <c r="F212" s="6"/>
      <c r="G212" s="9" t="str">
        <f t="shared" si="6"/>
        <v/>
      </c>
      <c r="H212" s="6"/>
      <c r="I212" s="9" t="str">
        <f t="shared" si="7"/>
        <v/>
      </c>
    </row>
    <row r="213" spans="1:9" x14ac:dyDescent="0.45">
      <c r="A213">
        <v>210</v>
      </c>
      <c r="B213" s="8"/>
      <c r="C213" s="5"/>
      <c r="D213" s="5"/>
      <c r="E213" s="5"/>
      <c r="F213" s="6"/>
      <c r="G213" s="9" t="str">
        <f t="shared" si="6"/>
        <v/>
      </c>
      <c r="H213" s="6"/>
      <c r="I213" s="9" t="str">
        <f t="shared" si="7"/>
        <v/>
      </c>
    </row>
    <row r="214" spans="1:9" x14ac:dyDescent="0.45">
      <c r="A214">
        <v>211</v>
      </c>
      <c r="B214" s="8"/>
      <c r="C214" s="5"/>
      <c r="D214" s="5"/>
      <c r="E214" s="5"/>
      <c r="F214" s="6"/>
      <c r="G214" s="9" t="str">
        <f t="shared" si="6"/>
        <v/>
      </c>
      <c r="H214" s="6"/>
      <c r="I214" s="9" t="str">
        <f t="shared" si="7"/>
        <v/>
      </c>
    </row>
    <row r="215" spans="1:9" x14ac:dyDescent="0.45">
      <c r="A215">
        <v>212</v>
      </c>
      <c r="B215" s="8"/>
      <c r="C215" s="5"/>
      <c r="D215" s="5"/>
      <c r="E215" s="5"/>
      <c r="F215" s="6"/>
      <c r="G215" s="9" t="str">
        <f t="shared" si="6"/>
        <v/>
      </c>
      <c r="H215" s="6"/>
      <c r="I215" s="9" t="str">
        <f t="shared" si="7"/>
        <v/>
      </c>
    </row>
    <row r="216" spans="1:9" x14ac:dyDescent="0.45">
      <c r="A216">
        <v>213</v>
      </c>
      <c r="B216" s="8"/>
      <c r="C216" s="5"/>
      <c r="D216" s="5"/>
      <c r="E216" s="5"/>
      <c r="F216" s="6"/>
      <c r="G216" s="9" t="str">
        <f t="shared" si="6"/>
        <v/>
      </c>
      <c r="H216" s="6"/>
      <c r="I216" s="9" t="str">
        <f t="shared" si="7"/>
        <v/>
      </c>
    </row>
    <row r="217" spans="1:9" x14ac:dyDescent="0.45">
      <c r="A217">
        <v>214</v>
      </c>
      <c r="B217" s="8"/>
      <c r="C217" s="5"/>
      <c r="D217" s="5"/>
      <c r="E217" s="5"/>
      <c r="F217" s="6"/>
      <c r="G217" s="9" t="str">
        <f t="shared" si="6"/>
        <v/>
      </c>
      <c r="H217" s="6"/>
      <c r="I217" s="9" t="str">
        <f t="shared" si="7"/>
        <v/>
      </c>
    </row>
    <row r="218" spans="1:9" x14ac:dyDescent="0.45">
      <c r="A218">
        <v>215</v>
      </c>
      <c r="B218" s="8"/>
      <c r="C218" s="5"/>
      <c r="D218" s="5"/>
      <c r="E218" s="5"/>
      <c r="F218" s="6"/>
      <c r="G218" s="9" t="str">
        <f t="shared" si="6"/>
        <v/>
      </c>
      <c r="H218" s="6"/>
      <c r="I218" s="9" t="str">
        <f t="shared" si="7"/>
        <v/>
      </c>
    </row>
    <row r="219" spans="1:9" x14ac:dyDescent="0.45">
      <c r="A219">
        <v>216</v>
      </c>
      <c r="B219" s="8"/>
      <c r="C219" s="5"/>
      <c r="D219" s="5"/>
      <c r="E219" s="5"/>
      <c r="F219" s="6"/>
      <c r="G219" s="9" t="str">
        <f t="shared" si="6"/>
        <v/>
      </c>
      <c r="H219" s="6"/>
      <c r="I219" s="9" t="str">
        <f t="shared" si="7"/>
        <v/>
      </c>
    </row>
    <row r="220" spans="1:9" x14ac:dyDescent="0.45">
      <c r="A220">
        <v>217</v>
      </c>
      <c r="B220" s="8"/>
      <c r="C220" s="5"/>
      <c r="D220" s="5"/>
      <c r="E220" s="5"/>
      <c r="F220" s="6"/>
      <c r="G220" s="9" t="str">
        <f t="shared" si="6"/>
        <v/>
      </c>
      <c r="H220" s="6"/>
      <c r="I220" s="9" t="str">
        <f t="shared" si="7"/>
        <v/>
      </c>
    </row>
    <row r="221" spans="1:9" x14ac:dyDescent="0.45">
      <c r="A221">
        <v>218</v>
      </c>
      <c r="B221" s="8"/>
      <c r="C221" s="5"/>
      <c r="D221" s="5"/>
      <c r="E221" s="5"/>
      <c r="F221" s="6"/>
      <c r="G221" s="9" t="str">
        <f t="shared" si="6"/>
        <v/>
      </c>
      <c r="H221" s="6"/>
      <c r="I221" s="9" t="str">
        <f t="shared" si="7"/>
        <v/>
      </c>
    </row>
    <row r="222" spans="1:9" x14ac:dyDescent="0.45">
      <c r="A222">
        <v>219</v>
      </c>
      <c r="B222" s="8"/>
      <c r="C222" s="5"/>
      <c r="D222" s="5"/>
      <c r="E222" s="5"/>
      <c r="F222" s="6"/>
      <c r="G222" s="9" t="str">
        <f t="shared" si="6"/>
        <v/>
      </c>
      <c r="H222" s="6"/>
      <c r="I222" s="9" t="str">
        <f t="shared" si="7"/>
        <v/>
      </c>
    </row>
    <row r="223" spans="1:9" x14ac:dyDescent="0.45">
      <c r="A223">
        <v>220</v>
      </c>
      <c r="B223" s="8"/>
      <c r="C223" s="5"/>
      <c r="D223" s="5"/>
      <c r="E223" s="5"/>
      <c r="F223" s="6"/>
      <c r="G223" s="9" t="str">
        <f t="shared" si="6"/>
        <v/>
      </c>
      <c r="H223" s="6"/>
      <c r="I223" s="9" t="str">
        <f t="shared" si="7"/>
        <v/>
      </c>
    </row>
    <row r="224" spans="1:9" x14ac:dyDescent="0.45">
      <c r="A224">
        <v>221</v>
      </c>
      <c r="B224" s="8"/>
      <c r="C224" s="5"/>
      <c r="D224" s="5"/>
      <c r="E224" s="5"/>
      <c r="F224" s="6"/>
      <c r="G224" s="9" t="str">
        <f t="shared" si="6"/>
        <v/>
      </c>
      <c r="H224" s="6"/>
      <c r="I224" s="9" t="str">
        <f t="shared" si="7"/>
        <v/>
      </c>
    </row>
    <row r="225" spans="1:9" x14ac:dyDescent="0.45">
      <c r="A225">
        <v>222</v>
      </c>
      <c r="B225" s="8"/>
      <c r="C225" s="5"/>
      <c r="D225" s="5"/>
      <c r="E225" s="5"/>
      <c r="F225" s="6"/>
      <c r="G225" s="9" t="str">
        <f t="shared" si="6"/>
        <v/>
      </c>
      <c r="H225" s="6"/>
      <c r="I225" s="9" t="str">
        <f t="shared" si="7"/>
        <v/>
      </c>
    </row>
    <row r="226" spans="1:9" x14ac:dyDescent="0.45">
      <c r="A226">
        <v>223</v>
      </c>
      <c r="B226" s="8"/>
      <c r="C226" s="5"/>
      <c r="D226" s="5"/>
      <c r="E226" s="5"/>
      <c r="F226" s="6"/>
      <c r="G226" s="9" t="str">
        <f t="shared" si="6"/>
        <v/>
      </c>
      <c r="H226" s="6"/>
      <c r="I226" s="9" t="str">
        <f t="shared" si="7"/>
        <v/>
      </c>
    </row>
    <row r="227" spans="1:9" x14ac:dyDescent="0.45">
      <c r="A227">
        <v>224</v>
      </c>
      <c r="B227" s="8"/>
      <c r="C227" s="5"/>
      <c r="D227" s="5"/>
      <c r="E227" s="5"/>
      <c r="F227" s="6"/>
      <c r="G227" s="9" t="str">
        <f t="shared" si="6"/>
        <v/>
      </c>
      <c r="H227" s="6"/>
      <c r="I227" s="9" t="str">
        <f t="shared" si="7"/>
        <v/>
      </c>
    </row>
    <row r="228" spans="1:9" x14ac:dyDescent="0.45">
      <c r="A228">
        <v>225</v>
      </c>
      <c r="B228" s="8"/>
      <c r="C228" s="5"/>
      <c r="D228" s="5"/>
      <c r="E228" s="5"/>
      <c r="F228" s="6"/>
      <c r="G228" s="9" t="str">
        <f t="shared" si="6"/>
        <v/>
      </c>
      <c r="H228" s="6"/>
      <c r="I228" s="9" t="str">
        <f t="shared" si="7"/>
        <v/>
      </c>
    </row>
    <row r="229" spans="1:9" x14ac:dyDescent="0.45">
      <c r="A229">
        <v>226</v>
      </c>
      <c r="B229" s="8"/>
      <c r="C229" s="5"/>
      <c r="D229" s="5"/>
      <c r="E229" s="5"/>
      <c r="F229" s="6"/>
      <c r="G229" s="9" t="str">
        <f t="shared" si="6"/>
        <v/>
      </c>
      <c r="H229" s="6"/>
      <c r="I229" s="9" t="str">
        <f t="shared" si="7"/>
        <v/>
      </c>
    </row>
    <row r="230" spans="1:9" x14ac:dyDescent="0.45">
      <c r="A230">
        <v>227</v>
      </c>
      <c r="B230" s="8"/>
      <c r="C230" s="5"/>
      <c r="D230" s="5"/>
      <c r="E230" s="5"/>
      <c r="F230" s="6"/>
      <c r="G230" s="9" t="str">
        <f t="shared" si="6"/>
        <v/>
      </c>
      <c r="H230" s="6"/>
      <c r="I230" s="9" t="str">
        <f t="shared" si="7"/>
        <v/>
      </c>
    </row>
    <row r="231" spans="1:9" x14ac:dyDescent="0.45">
      <c r="A231">
        <v>228</v>
      </c>
      <c r="B231" s="8"/>
      <c r="C231" s="5"/>
      <c r="D231" s="5"/>
      <c r="E231" s="5"/>
      <c r="F231" s="6"/>
      <c r="G231" s="9" t="str">
        <f t="shared" si="6"/>
        <v/>
      </c>
      <c r="H231" s="6"/>
      <c r="I231" s="9" t="str">
        <f t="shared" si="7"/>
        <v/>
      </c>
    </row>
    <row r="232" spans="1:9" x14ac:dyDescent="0.45">
      <c r="A232">
        <v>229</v>
      </c>
      <c r="B232" s="8"/>
      <c r="C232" s="5"/>
      <c r="D232" s="5"/>
      <c r="E232" s="5"/>
      <c r="F232" s="6"/>
      <c r="G232" s="9" t="str">
        <f t="shared" si="6"/>
        <v/>
      </c>
      <c r="H232" s="6"/>
      <c r="I232" s="9" t="str">
        <f t="shared" si="7"/>
        <v/>
      </c>
    </row>
    <row r="233" spans="1:9" x14ac:dyDescent="0.45">
      <c r="A233">
        <v>230</v>
      </c>
      <c r="B233" s="8"/>
      <c r="C233" s="5"/>
      <c r="D233" s="5"/>
      <c r="E233" s="5"/>
      <c r="F233" s="6"/>
      <c r="G233" s="9" t="str">
        <f t="shared" si="6"/>
        <v/>
      </c>
      <c r="H233" s="6"/>
      <c r="I233" s="9" t="str">
        <f t="shared" si="7"/>
        <v/>
      </c>
    </row>
    <row r="234" spans="1:9" x14ac:dyDescent="0.45">
      <c r="A234">
        <v>231</v>
      </c>
      <c r="B234" s="8"/>
      <c r="C234" s="5"/>
      <c r="D234" s="5"/>
      <c r="E234" s="5"/>
      <c r="F234" s="6"/>
      <c r="G234" s="9" t="str">
        <f t="shared" si="6"/>
        <v/>
      </c>
      <c r="H234" s="6"/>
      <c r="I234" s="9" t="str">
        <f t="shared" si="7"/>
        <v/>
      </c>
    </row>
    <row r="235" spans="1:9" x14ac:dyDescent="0.45">
      <c r="A235">
        <v>232</v>
      </c>
      <c r="B235" s="8"/>
      <c r="C235" s="5"/>
      <c r="D235" s="5"/>
      <c r="E235" s="5"/>
      <c r="F235" s="6"/>
      <c r="G235" s="9" t="str">
        <f t="shared" si="6"/>
        <v/>
      </c>
      <c r="H235" s="6"/>
      <c r="I235" s="9" t="str">
        <f t="shared" si="7"/>
        <v/>
      </c>
    </row>
    <row r="236" spans="1:9" x14ac:dyDescent="0.45">
      <c r="A236">
        <v>233</v>
      </c>
      <c r="B236" s="8"/>
      <c r="C236" s="5"/>
      <c r="D236" s="5"/>
      <c r="E236" s="5"/>
      <c r="F236" s="6"/>
      <c r="G236" s="9" t="str">
        <f t="shared" si="6"/>
        <v/>
      </c>
      <c r="H236" s="6"/>
      <c r="I236" s="9" t="str">
        <f t="shared" si="7"/>
        <v/>
      </c>
    </row>
    <row r="237" spans="1:9" x14ac:dyDescent="0.45">
      <c r="A237">
        <v>234</v>
      </c>
      <c r="B237" s="8"/>
      <c r="C237" s="5"/>
      <c r="D237" s="5"/>
      <c r="E237" s="5"/>
      <c r="F237" s="6"/>
      <c r="G237" s="9" t="str">
        <f t="shared" si="6"/>
        <v/>
      </c>
      <c r="H237" s="6"/>
      <c r="I237" s="9" t="str">
        <f t="shared" si="7"/>
        <v/>
      </c>
    </row>
    <row r="238" spans="1:9" x14ac:dyDescent="0.45">
      <c r="A238">
        <v>235</v>
      </c>
      <c r="B238" s="8"/>
      <c r="C238" s="5"/>
      <c r="D238" s="5"/>
      <c r="E238" s="5"/>
      <c r="F238" s="6"/>
      <c r="G238" s="9" t="str">
        <f t="shared" si="6"/>
        <v/>
      </c>
      <c r="H238" s="6"/>
      <c r="I238" s="9" t="str">
        <f t="shared" si="7"/>
        <v/>
      </c>
    </row>
    <row r="239" spans="1:9" x14ac:dyDescent="0.45">
      <c r="A239">
        <v>236</v>
      </c>
      <c r="B239" s="8"/>
      <c r="C239" s="5"/>
      <c r="D239" s="5"/>
      <c r="E239" s="5"/>
      <c r="F239" s="6"/>
      <c r="G239" s="9" t="str">
        <f t="shared" si="6"/>
        <v/>
      </c>
      <c r="H239" s="6"/>
      <c r="I239" s="9" t="str">
        <f t="shared" si="7"/>
        <v/>
      </c>
    </row>
    <row r="240" spans="1:9" x14ac:dyDescent="0.45">
      <c r="A240">
        <v>237</v>
      </c>
      <c r="B240" s="8"/>
      <c r="C240" s="5"/>
      <c r="D240" s="5"/>
      <c r="E240" s="5"/>
      <c r="F240" s="6"/>
      <c r="G240" s="9" t="str">
        <f t="shared" si="6"/>
        <v/>
      </c>
      <c r="H240" s="6"/>
      <c r="I240" s="9" t="str">
        <f t="shared" si="7"/>
        <v/>
      </c>
    </row>
    <row r="241" spans="1:9" x14ac:dyDescent="0.45">
      <c r="A241">
        <v>238</v>
      </c>
      <c r="B241" s="8"/>
      <c r="C241" s="5"/>
      <c r="D241" s="5"/>
      <c r="E241" s="5"/>
      <c r="F241" s="6"/>
      <c r="G241" s="9" t="str">
        <f t="shared" si="6"/>
        <v/>
      </c>
      <c r="H241" s="6"/>
      <c r="I241" s="9" t="str">
        <f t="shared" si="7"/>
        <v/>
      </c>
    </row>
    <row r="242" spans="1:9" x14ac:dyDescent="0.45">
      <c r="A242">
        <v>239</v>
      </c>
      <c r="B242" s="8"/>
      <c r="C242" s="5"/>
      <c r="D242" s="5"/>
      <c r="E242" s="5"/>
      <c r="F242" s="6"/>
      <c r="G242" s="9" t="str">
        <f t="shared" si="6"/>
        <v/>
      </c>
      <c r="H242" s="6"/>
      <c r="I242" s="9" t="str">
        <f t="shared" si="7"/>
        <v/>
      </c>
    </row>
    <row r="243" spans="1:9" x14ac:dyDescent="0.45">
      <c r="A243">
        <v>240</v>
      </c>
      <c r="B243" s="8"/>
      <c r="C243" s="5"/>
      <c r="D243" s="5"/>
      <c r="E243" s="5"/>
      <c r="F243" s="6"/>
      <c r="G243" s="9" t="str">
        <f t="shared" si="6"/>
        <v/>
      </c>
      <c r="H243" s="6"/>
      <c r="I243" s="9" t="str">
        <f t="shared" si="7"/>
        <v/>
      </c>
    </row>
    <row r="244" spans="1:9" x14ac:dyDescent="0.45">
      <c r="A244">
        <v>241</v>
      </c>
      <c r="B244" s="8"/>
      <c r="C244" s="5"/>
      <c r="D244" s="5"/>
      <c r="E244" s="5"/>
      <c r="F244" s="6"/>
      <c r="G244" s="9" t="str">
        <f t="shared" si="6"/>
        <v/>
      </c>
      <c r="H244" s="6"/>
      <c r="I244" s="9" t="str">
        <f t="shared" si="7"/>
        <v/>
      </c>
    </row>
    <row r="245" spans="1:9" x14ac:dyDescent="0.45">
      <c r="A245">
        <v>242</v>
      </c>
      <c r="B245" s="8"/>
      <c r="C245" s="5"/>
      <c r="D245" s="5"/>
      <c r="E245" s="5"/>
      <c r="F245" s="6"/>
      <c r="G245" s="9" t="str">
        <f t="shared" si="6"/>
        <v/>
      </c>
      <c r="H245" s="6"/>
      <c r="I245" s="9" t="str">
        <f t="shared" si="7"/>
        <v/>
      </c>
    </row>
    <row r="246" spans="1:9" x14ac:dyDescent="0.45">
      <c r="A246">
        <v>243</v>
      </c>
      <c r="B246" s="8"/>
      <c r="C246" s="5"/>
      <c r="D246" s="5"/>
      <c r="E246" s="5"/>
      <c r="F246" s="6"/>
      <c r="G246" s="9" t="str">
        <f t="shared" si="6"/>
        <v/>
      </c>
      <c r="H246" s="6"/>
      <c r="I246" s="9" t="str">
        <f t="shared" si="7"/>
        <v/>
      </c>
    </row>
    <row r="247" spans="1:9" x14ac:dyDescent="0.45">
      <c r="A247">
        <v>244</v>
      </c>
      <c r="B247" s="8"/>
      <c r="C247" s="5"/>
      <c r="D247" s="5"/>
      <c r="E247" s="5"/>
      <c r="F247" s="6"/>
      <c r="G247" s="9" t="str">
        <f t="shared" si="6"/>
        <v/>
      </c>
      <c r="H247" s="6"/>
      <c r="I247" s="9" t="str">
        <f t="shared" si="7"/>
        <v/>
      </c>
    </row>
    <row r="248" spans="1:9" x14ac:dyDescent="0.45">
      <c r="A248">
        <v>245</v>
      </c>
      <c r="B248" s="8"/>
      <c r="C248" s="5"/>
      <c r="D248" s="5"/>
      <c r="E248" s="5"/>
      <c r="F248" s="6"/>
      <c r="G248" s="9" t="str">
        <f t="shared" si="6"/>
        <v/>
      </c>
      <c r="H248" s="6"/>
      <c r="I248" s="9" t="str">
        <f t="shared" si="7"/>
        <v/>
      </c>
    </row>
    <row r="249" spans="1:9" x14ac:dyDescent="0.45">
      <c r="A249">
        <v>246</v>
      </c>
      <c r="B249" s="8"/>
      <c r="C249" s="5"/>
      <c r="D249" s="5"/>
      <c r="E249" s="5"/>
      <c r="F249" s="6"/>
      <c r="G249" s="9" t="str">
        <f t="shared" si="6"/>
        <v/>
      </c>
      <c r="H249" s="6"/>
      <c r="I249" s="9" t="str">
        <f t="shared" si="7"/>
        <v/>
      </c>
    </row>
    <row r="250" spans="1:9" x14ac:dyDescent="0.45">
      <c r="A250">
        <v>247</v>
      </c>
      <c r="B250" s="8"/>
      <c r="C250" s="5"/>
      <c r="D250" s="5"/>
      <c r="E250" s="5"/>
      <c r="F250" s="6"/>
      <c r="G250" s="9" t="str">
        <f t="shared" si="6"/>
        <v/>
      </c>
      <c r="H250" s="6"/>
      <c r="I250" s="9" t="str">
        <f t="shared" si="7"/>
        <v/>
      </c>
    </row>
    <row r="251" spans="1:9" x14ac:dyDescent="0.45">
      <c r="A251">
        <v>248</v>
      </c>
      <c r="B251" s="8"/>
      <c r="C251" s="5"/>
      <c r="D251" s="5"/>
      <c r="E251" s="5"/>
      <c r="F251" s="6"/>
      <c r="G251" s="9" t="str">
        <f t="shared" si="6"/>
        <v/>
      </c>
      <c r="H251" s="6"/>
      <c r="I251" s="9" t="str">
        <f t="shared" si="7"/>
        <v/>
      </c>
    </row>
    <row r="252" spans="1:9" x14ac:dyDescent="0.45">
      <c r="A252">
        <v>249</v>
      </c>
      <c r="B252" s="8"/>
      <c r="C252" s="5"/>
      <c r="D252" s="5"/>
      <c r="E252" s="5"/>
      <c r="F252" s="6"/>
      <c r="G252" s="9" t="str">
        <f t="shared" si="6"/>
        <v/>
      </c>
      <c r="H252" s="6"/>
      <c r="I252" s="9" t="str">
        <f t="shared" si="7"/>
        <v/>
      </c>
    </row>
    <row r="253" spans="1:9" x14ac:dyDescent="0.45">
      <c r="A253">
        <v>250</v>
      </c>
      <c r="B253" s="8"/>
      <c r="C253" s="5"/>
      <c r="D253" s="5"/>
      <c r="E253" s="5"/>
      <c r="F253" s="6"/>
      <c r="G253" s="9" t="str">
        <f t="shared" si="6"/>
        <v/>
      </c>
      <c r="H253" s="6"/>
      <c r="I253" s="9" t="str">
        <f t="shared" si="7"/>
        <v/>
      </c>
    </row>
    <row r="254" spans="1:9" x14ac:dyDescent="0.45">
      <c r="A254">
        <v>251</v>
      </c>
      <c r="B254" s="8"/>
      <c r="C254" s="5"/>
      <c r="D254" s="5"/>
      <c r="E254" s="5"/>
      <c r="F254" s="6"/>
      <c r="G254" s="9" t="str">
        <f t="shared" si="6"/>
        <v/>
      </c>
      <c r="H254" s="6"/>
      <c r="I254" s="9" t="str">
        <f t="shared" si="7"/>
        <v/>
      </c>
    </row>
    <row r="255" spans="1:9" x14ac:dyDescent="0.45">
      <c r="A255">
        <v>252</v>
      </c>
      <c r="B255" s="8"/>
      <c r="C255" s="5"/>
      <c r="D255" s="5"/>
      <c r="E255" s="5"/>
      <c r="F255" s="6"/>
      <c r="G255" s="9" t="str">
        <f t="shared" si="6"/>
        <v/>
      </c>
      <c r="H255" s="6"/>
      <c r="I255" s="9" t="str">
        <f t="shared" si="7"/>
        <v/>
      </c>
    </row>
    <row r="256" spans="1:9" x14ac:dyDescent="0.45">
      <c r="A256">
        <v>253</v>
      </c>
      <c r="B256" s="8"/>
      <c r="C256" s="5"/>
      <c r="D256" s="5"/>
      <c r="E256" s="5"/>
      <c r="F256" s="6"/>
      <c r="G256" s="9" t="str">
        <f t="shared" si="6"/>
        <v/>
      </c>
      <c r="H256" s="6"/>
      <c r="I256" s="9" t="str">
        <f t="shared" si="7"/>
        <v/>
      </c>
    </row>
    <row r="257" spans="1:9" x14ac:dyDescent="0.45">
      <c r="A257">
        <v>254</v>
      </c>
      <c r="B257" s="8"/>
      <c r="C257" s="5"/>
      <c r="D257" s="5"/>
      <c r="E257" s="5"/>
      <c r="F257" s="6"/>
      <c r="G257" s="9" t="str">
        <f t="shared" si="6"/>
        <v/>
      </c>
      <c r="H257" s="6"/>
      <c r="I257" s="9" t="str">
        <f t="shared" si="7"/>
        <v/>
      </c>
    </row>
    <row r="258" spans="1:9" x14ac:dyDescent="0.45">
      <c r="A258">
        <v>255</v>
      </c>
      <c r="B258" s="8"/>
      <c r="C258" s="5"/>
      <c r="D258" s="5"/>
      <c r="E258" s="5"/>
      <c r="F258" s="6"/>
      <c r="G258" s="9" t="str">
        <f t="shared" si="6"/>
        <v/>
      </c>
      <c r="H258" s="6"/>
      <c r="I258" s="9" t="str">
        <f t="shared" si="7"/>
        <v/>
      </c>
    </row>
    <row r="259" spans="1:9" x14ac:dyDescent="0.45">
      <c r="A259">
        <v>256</v>
      </c>
      <c r="B259" s="8"/>
      <c r="C259" s="5"/>
      <c r="D259" s="5"/>
      <c r="E259" s="5"/>
      <c r="F259" s="6"/>
      <c r="G259" s="9" t="str">
        <f t="shared" si="6"/>
        <v/>
      </c>
      <c r="H259" s="6"/>
      <c r="I259" s="9" t="str">
        <f t="shared" si="7"/>
        <v/>
      </c>
    </row>
    <row r="260" spans="1:9" x14ac:dyDescent="0.45">
      <c r="A260">
        <v>257</v>
      </c>
      <c r="B260" s="8"/>
      <c r="C260" s="5"/>
      <c r="D260" s="5"/>
      <c r="E260" s="5"/>
      <c r="F260" s="6"/>
      <c r="G260" s="9" t="str">
        <f t="shared" ref="G260:G323" si="8">IF(E260="","",E260*F260)</f>
        <v/>
      </c>
      <c r="H260" s="6"/>
      <c r="I260" s="9" t="str">
        <f t="shared" ref="I260:I323" si="9">IF(G260="","",G260-IF(H260="",0,H260))</f>
        <v/>
      </c>
    </row>
    <row r="261" spans="1:9" x14ac:dyDescent="0.45">
      <c r="A261">
        <v>258</v>
      </c>
      <c r="B261" s="8"/>
      <c r="C261" s="5"/>
      <c r="D261" s="5"/>
      <c r="E261" s="5"/>
      <c r="F261" s="6"/>
      <c r="G261" s="9" t="str">
        <f t="shared" si="8"/>
        <v/>
      </c>
      <c r="H261" s="6"/>
      <c r="I261" s="9" t="str">
        <f t="shared" si="9"/>
        <v/>
      </c>
    </row>
    <row r="262" spans="1:9" x14ac:dyDescent="0.45">
      <c r="A262">
        <v>259</v>
      </c>
      <c r="B262" s="8"/>
      <c r="C262" s="5"/>
      <c r="D262" s="5"/>
      <c r="E262" s="5"/>
      <c r="F262" s="6"/>
      <c r="G262" s="9" t="str">
        <f t="shared" si="8"/>
        <v/>
      </c>
      <c r="H262" s="6"/>
      <c r="I262" s="9" t="str">
        <f t="shared" si="9"/>
        <v/>
      </c>
    </row>
    <row r="263" spans="1:9" x14ac:dyDescent="0.45">
      <c r="A263">
        <v>260</v>
      </c>
      <c r="B263" s="8"/>
      <c r="C263" s="5"/>
      <c r="D263" s="5"/>
      <c r="E263" s="5"/>
      <c r="F263" s="6"/>
      <c r="G263" s="9" t="str">
        <f t="shared" si="8"/>
        <v/>
      </c>
      <c r="H263" s="6"/>
      <c r="I263" s="9" t="str">
        <f t="shared" si="9"/>
        <v/>
      </c>
    </row>
    <row r="264" spans="1:9" x14ac:dyDescent="0.45">
      <c r="A264">
        <v>261</v>
      </c>
      <c r="B264" s="8"/>
      <c r="C264" s="5"/>
      <c r="D264" s="5"/>
      <c r="E264" s="5"/>
      <c r="F264" s="6"/>
      <c r="G264" s="9" t="str">
        <f t="shared" si="8"/>
        <v/>
      </c>
      <c r="H264" s="6"/>
      <c r="I264" s="9" t="str">
        <f t="shared" si="9"/>
        <v/>
      </c>
    </row>
    <row r="265" spans="1:9" x14ac:dyDescent="0.45">
      <c r="A265">
        <v>262</v>
      </c>
      <c r="B265" s="8"/>
      <c r="C265" s="5"/>
      <c r="D265" s="5"/>
      <c r="E265" s="5"/>
      <c r="F265" s="6"/>
      <c r="G265" s="9" t="str">
        <f t="shared" si="8"/>
        <v/>
      </c>
      <c r="H265" s="6"/>
      <c r="I265" s="9" t="str">
        <f t="shared" si="9"/>
        <v/>
      </c>
    </row>
    <row r="266" spans="1:9" x14ac:dyDescent="0.45">
      <c r="A266">
        <v>263</v>
      </c>
      <c r="B266" s="8"/>
      <c r="C266" s="5"/>
      <c r="D266" s="5"/>
      <c r="E266" s="5"/>
      <c r="F266" s="6"/>
      <c r="G266" s="9" t="str">
        <f t="shared" si="8"/>
        <v/>
      </c>
      <c r="H266" s="6"/>
      <c r="I266" s="9" t="str">
        <f t="shared" si="9"/>
        <v/>
      </c>
    </row>
    <row r="267" spans="1:9" x14ac:dyDescent="0.45">
      <c r="A267">
        <v>264</v>
      </c>
      <c r="B267" s="8"/>
      <c r="C267" s="5"/>
      <c r="D267" s="5"/>
      <c r="E267" s="5"/>
      <c r="F267" s="6"/>
      <c r="G267" s="9" t="str">
        <f t="shared" si="8"/>
        <v/>
      </c>
      <c r="H267" s="6"/>
      <c r="I267" s="9" t="str">
        <f t="shared" si="9"/>
        <v/>
      </c>
    </row>
    <row r="268" spans="1:9" x14ac:dyDescent="0.45">
      <c r="A268">
        <v>265</v>
      </c>
      <c r="B268" s="8"/>
      <c r="C268" s="5"/>
      <c r="D268" s="5"/>
      <c r="E268" s="5"/>
      <c r="F268" s="6"/>
      <c r="G268" s="9" t="str">
        <f t="shared" si="8"/>
        <v/>
      </c>
      <c r="H268" s="6"/>
      <c r="I268" s="9" t="str">
        <f t="shared" si="9"/>
        <v/>
      </c>
    </row>
    <row r="269" spans="1:9" x14ac:dyDescent="0.45">
      <c r="A269">
        <v>266</v>
      </c>
      <c r="B269" s="8"/>
      <c r="C269" s="5"/>
      <c r="D269" s="5"/>
      <c r="E269" s="5"/>
      <c r="F269" s="6"/>
      <c r="G269" s="9" t="str">
        <f t="shared" si="8"/>
        <v/>
      </c>
      <c r="H269" s="6"/>
      <c r="I269" s="9" t="str">
        <f t="shared" si="9"/>
        <v/>
      </c>
    </row>
    <row r="270" spans="1:9" x14ac:dyDescent="0.45">
      <c r="A270">
        <v>267</v>
      </c>
      <c r="B270" s="8"/>
      <c r="C270" s="5"/>
      <c r="D270" s="5"/>
      <c r="E270" s="5"/>
      <c r="F270" s="6"/>
      <c r="G270" s="9" t="str">
        <f t="shared" si="8"/>
        <v/>
      </c>
      <c r="H270" s="6"/>
      <c r="I270" s="9" t="str">
        <f t="shared" si="9"/>
        <v/>
      </c>
    </row>
    <row r="271" spans="1:9" x14ac:dyDescent="0.45">
      <c r="A271">
        <v>268</v>
      </c>
      <c r="B271" s="8"/>
      <c r="C271" s="5"/>
      <c r="D271" s="5"/>
      <c r="E271" s="5"/>
      <c r="F271" s="6"/>
      <c r="G271" s="9" t="str">
        <f t="shared" si="8"/>
        <v/>
      </c>
      <c r="H271" s="6"/>
      <c r="I271" s="9" t="str">
        <f t="shared" si="9"/>
        <v/>
      </c>
    </row>
    <row r="272" spans="1:9" x14ac:dyDescent="0.45">
      <c r="A272">
        <v>269</v>
      </c>
      <c r="B272" s="8"/>
      <c r="C272" s="5"/>
      <c r="D272" s="5"/>
      <c r="E272" s="5"/>
      <c r="F272" s="6"/>
      <c r="G272" s="9" t="str">
        <f t="shared" si="8"/>
        <v/>
      </c>
      <c r="H272" s="6"/>
      <c r="I272" s="9" t="str">
        <f t="shared" si="9"/>
        <v/>
      </c>
    </row>
    <row r="273" spans="1:9" x14ac:dyDescent="0.45">
      <c r="A273">
        <v>270</v>
      </c>
      <c r="B273" s="8"/>
      <c r="C273" s="5"/>
      <c r="D273" s="5"/>
      <c r="E273" s="5"/>
      <c r="F273" s="6"/>
      <c r="G273" s="9" t="str">
        <f t="shared" si="8"/>
        <v/>
      </c>
      <c r="H273" s="6"/>
      <c r="I273" s="9" t="str">
        <f t="shared" si="9"/>
        <v/>
      </c>
    </row>
    <row r="274" spans="1:9" x14ac:dyDescent="0.45">
      <c r="A274">
        <v>271</v>
      </c>
      <c r="B274" s="8"/>
      <c r="C274" s="5"/>
      <c r="D274" s="5"/>
      <c r="E274" s="5"/>
      <c r="F274" s="6"/>
      <c r="G274" s="9" t="str">
        <f t="shared" si="8"/>
        <v/>
      </c>
      <c r="H274" s="6"/>
      <c r="I274" s="9" t="str">
        <f t="shared" si="9"/>
        <v/>
      </c>
    </row>
    <row r="275" spans="1:9" x14ac:dyDescent="0.45">
      <c r="A275">
        <v>272</v>
      </c>
      <c r="B275" s="8"/>
      <c r="C275" s="5"/>
      <c r="D275" s="5"/>
      <c r="E275" s="5"/>
      <c r="F275" s="6"/>
      <c r="G275" s="9" t="str">
        <f t="shared" si="8"/>
        <v/>
      </c>
      <c r="H275" s="6"/>
      <c r="I275" s="9" t="str">
        <f t="shared" si="9"/>
        <v/>
      </c>
    </row>
    <row r="276" spans="1:9" x14ac:dyDescent="0.45">
      <c r="A276">
        <v>273</v>
      </c>
      <c r="B276" s="8"/>
      <c r="C276" s="5"/>
      <c r="D276" s="5"/>
      <c r="E276" s="5"/>
      <c r="F276" s="6"/>
      <c r="G276" s="9" t="str">
        <f t="shared" si="8"/>
        <v/>
      </c>
      <c r="H276" s="6"/>
      <c r="I276" s="9" t="str">
        <f t="shared" si="9"/>
        <v/>
      </c>
    </row>
    <row r="277" spans="1:9" x14ac:dyDescent="0.45">
      <c r="A277">
        <v>274</v>
      </c>
      <c r="B277" s="8"/>
      <c r="C277" s="5"/>
      <c r="D277" s="5"/>
      <c r="E277" s="5"/>
      <c r="F277" s="6"/>
      <c r="G277" s="9" t="str">
        <f t="shared" si="8"/>
        <v/>
      </c>
      <c r="H277" s="6"/>
      <c r="I277" s="9" t="str">
        <f t="shared" si="9"/>
        <v/>
      </c>
    </row>
    <row r="278" spans="1:9" x14ac:dyDescent="0.45">
      <c r="A278">
        <v>275</v>
      </c>
      <c r="B278" s="8"/>
      <c r="C278" s="5"/>
      <c r="D278" s="5"/>
      <c r="E278" s="5"/>
      <c r="F278" s="6"/>
      <c r="G278" s="9" t="str">
        <f t="shared" si="8"/>
        <v/>
      </c>
      <c r="H278" s="6"/>
      <c r="I278" s="9" t="str">
        <f t="shared" si="9"/>
        <v/>
      </c>
    </row>
    <row r="279" spans="1:9" x14ac:dyDescent="0.45">
      <c r="A279">
        <v>276</v>
      </c>
      <c r="B279" s="8"/>
      <c r="C279" s="5"/>
      <c r="D279" s="5"/>
      <c r="E279" s="5"/>
      <c r="F279" s="6"/>
      <c r="G279" s="9" t="str">
        <f t="shared" si="8"/>
        <v/>
      </c>
      <c r="H279" s="6"/>
      <c r="I279" s="9" t="str">
        <f t="shared" si="9"/>
        <v/>
      </c>
    </row>
    <row r="280" spans="1:9" x14ac:dyDescent="0.45">
      <c r="A280">
        <v>277</v>
      </c>
      <c r="B280" s="8"/>
      <c r="C280" s="5"/>
      <c r="D280" s="5"/>
      <c r="E280" s="5"/>
      <c r="F280" s="6"/>
      <c r="G280" s="9" t="str">
        <f t="shared" si="8"/>
        <v/>
      </c>
      <c r="H280" s="6"/>
      <c r="I280" s="9" t="str">
        <f t="shared" si="9"/>
        <v/>
      </c>
    </row>
    <row r="281" spans="1:9" x14ac:dyDescent="0.45">
      <c r="A281">
        <v>278</v>
      </c>
      <c r="B281" s="8"/>
      <c r="C281" s="5"/>
      <c r="D281" s="5"/>
      <c r="E281" s="5"/>
      <c r="F281" s="6"/>
      <c r="G281" s="9" t="str">
        <f t="shared" si="8"/>
        <v/>
      </c>
      <c r="H281" s="6"/>
      <c r="I281" s="9" t="str">
        <f t="shared" si="9"/>
        <v/>
      </c>
    </row>
    <row r="282" spans="1:9" x14ac:dyDescent="0.45">
      <c r="A282">
        <v>279</v>
      </c>
      <c r="B282" s="8"/>
      <c r="C282" s="5"/>
      <c r="D282" s="5"/>
      <c r="E282" s="5"/>
      <c r="F282" s="6"/>
      <c r="G282" s="9" t="str">
        <f t="shared" si="8"/>
        <v/>
      </c>
      <c r="H282" s="6"/>
      <c r="I282" s="9" t="str">
        <f t="shared" si="9"/>
        <v/>
      </c>
    </row>
    <row r="283" spans="1:9" x14ac:dyDescent="0.45">
      <c r="A283">
        <v>280</v>
      </c>
      <c r="B283" s="8"/>
      <c r="C283" s="5"/>
      <c r="D283" s="5"/>
      <c r="E283" s="5"/>
      <c r="F283" s="6"/>
      <c r="G283" s="9" t="str">
        <f t="shared" si="8"/>
        <v/>
      </c>
      <c r="H283" s="6"/>
      <c r="I283" s="9" t="str">
        <f t="shared" si="9"/>
        <v/>
      </c>
    </row>
    <row r="284" spans="1:9" x14ac:dyDescent="0.45">
      <c r="A284">
        <v>281</v>
      </c>
      <c r="B284" s="8"/>
      <c r="C284" s="5"/>
      <c r="D284" s="5"/>
      <c r="E284" s="5"/>
      <c r="F284" s="6"/>
      <c r="G284" s="9" t="str">
        <f t="shared" si="8"/>
        <v/>
      </c>
      <c r="H284" s="6"/>
      <c r="I284" s="9" t="str">
        <f t="shared" si="9"/>
        <v/>
      </c>
    </row>
    <row r="285" spans="1:9" x14ac:dyDescent="0.45">
      <c r="A285">
        <v>282</v>
      </c>
      <c r="B285" s="8"/>
      <c r="C285" s="5"/>
      <c r="D285" s="5"/>
      <c r="E285" s="5"/>
      <c r="F285" s="6"/>
      <c r="G285" s="9" t="str">
        <f t="shared" si="8"/>
        <v/>
      </c>
      <c r="H285" s="6"/>
      <c r="I285" s="9" t="str">
        <f t="shared" si="9"/>
        <v/>
      </c>
    </row>
    <row r="286" spans="1:9" x14ac:dyDescent="0.45">
      <c r="A286">
        <v>283</v>
      </c>
      <c r="B286" s="8"/>
      <c r="C286" s="5"/>
      <c r="D286" s="5"/>
      <c r="E286" s="5"/>
      <c r="F286" s="6"/>
      <c r="G286" s="9" t="str">
        <f t="shared" si="8"/>
        <v/>
      </c>
      <c r="H286" s="6"/>
      <c r="I286" s="9" t="str">
        <f t="shared" si="9"/>
        <v/>
      </c>
    </row>
    <row r="287" spans="1:9" x14ac:dyDescent="0.45">
      <c r="A287">
        <v>284</v>
      </c>
      <c r="B287" s="8"/>
      <c r="C287" s="5"/>
      <c r="D287" s="5"/>
      <c r="E287" s="5"/>
      <c r="F287" s="6"/>
      <c r="G287" s="9" t="str">
        <f t="shared" si="8"/>
        <v/>
      </c>
      <c r="H287" s="6"/>
      <c r="I287" s="9" t="str">
        <f t="shared" si="9"/>
        <v/>
      </c>
    </row>
    <row r="288" spans="1:9" x14ac:dyDescent="0.45">
      <c r="A288">
        <v>285</v>
      </c>
      <c r="B288" s="8"/>
      <c r="C288" s="5"/>
      <c r="D288" s="5"/>
      <c r="E288" s="5"/>
      <c r="F288" s="6"/>
      <c r="G288" s="9" t="str">
        <f t="shared" si="8"/>
        <v/>
      </c>
      <c r="H288" s="6"/>
      <c r="I288" s="9" t="str">
        <f t="shared" si="9"/>
        <v/>
      </c>
    </row>
    <row r="289" spans="1:9" x14ac:dyDescent="0.45">
      <c r="A289">
        <v>286</v>
      </c>
      <c r="B289" s="8"/>
      <c r="C289" s="5"/>
      <c r="D289" s="5"/>
      <c r="E289" s="5"/>
      <c r="F289" s="6"/>
      <c r="G289" s="9" t="str">
        <f t="shared" si="8"/>
        <v/>
      </c>
      <c r="H289" s="6"/>
      <c r="I289" s="9" t="str">
        <f t="shared" si="9"/>
        <v/>
      </c>
    </row>
    <row r="290" spans="1:9" x14ac:dyDescent="0.45">
      <c r="A290">
        <v>287</v>
      </c>
      <c r="B290" s="8"/>
      <c r="C290" s="5"/>
      <c r="D290" s="5"/>
      <c r="E290" s="5"/>
      <c r="F290" s="6"/>
      <c r="G290" s="9" t="str">
        <f t="shared" si="8"/>
        <v/>
      </c>
      <c r="H290" s="6"/>
      <c r="I290" s="9" t="str">
        <f t="shared" si="9"/>
        <v/>
      </c>
    </row>
    <row r="291" spans="1:9" x14ac:dyDescent="0.45">
      <c r="A291">
        <v>288</v>
      </c>
      <c r="B291" s="8"/>
      <c r="C291" s="5"/>
      <c r="D291" s="5"/>
      <c r="E291" s="5"/>
      <c r="F291" s="6"/>
      <c r="G291" s="9" t="str">
        <f t="shared" si="8"/>
        <v/>
      </c>
      <c r="H291" s="6"/>
      <c r="I291" s="9" t="str">
        <f t="shared" si="9"/>
        <v/>
      </c>
    </row>
    <row r="292" spans="1:9" x14ac:dyDescent="0.45">
      <c r="A292">
        <v>289</v>
      </c>
      <c r="B292" s="8"/>
      <c r="C292" s="5"/>
      <c r="D292" s="5"/>
      <c r="E292" s="5"/>
      <c r="F292" s="6"/>
      <c r="G292" s="9" t="str">
        <f t="shared" si="8"/>
        <v/>
      </c>
      <c r="H292" s="6"/>
      <c r="I292" s="9" t="str">
        <f t="shared" si="9"/>
        <v/>
      </c>
    </row>
    <row r="293" spans="1:9" x14ac:dyDescent="0.45">
      <c r="A293">
        <v>290</v>
      </c>
      <c r="B293" s="8"/>
      <c r="C293" s="5"/>
      <c r="D293" s="5"/>
      <c r="E293" s="5"/>
      <c r="F293" s="6"/>
      <c r="G293" s="9" t="str">
        <f t="shared" si="8"/>
        <v/>
      </c>
      <c r="H293" s="6"/>
      <c r="I293" s="9" t="str">
        <f t="shared" si="9"/>
        <v/>
      </c>
    </row>
    <row r="294" spans="1:9" x14ac:dyDescent="0.45">
      <c r="A294">
        <v>291</v>
      </c>
      <c r="B294" s="8"/>
      <c r="C294" s="5"/>
      <c r="D294" s="5"/>
      <c r="E294" s="5"/>
      <c r="F294" s="6"/>
      <c r="G294" s="9" t="str">
        <f t="shared" si="8"/>
        <v/>
      </c>
      <c r="H294" s="6"/>
      <c r="I294" s="9" t="str">
        <f t="shared" si="9"/>
        <v/>
      </c>
    </row>
    <row r="295" spans="1:9" x14ac:dyDescent="0.45">
      <c r="A295">
        <v>292</v>
      </c>
      <c r="B295" s="8"/>
      <c r="C295" s="5"/>
      <c r="D295" s="5"/>
      <c r="E295" s="5"/>
      <c r="F295" s="6"/>
      <c r="G295" s="9" t="str">
        <f t="shared" si="8"/>
        <v/>
      </c>
      <c r="H295" s="6"/>
      <c r="I295" s="9" t="str">
        <f t="shared" si="9"/>
        <v/>
      </c>
    </row>
    <row r="296" spans="1:9" x14ac:dyDescent="0.45">
      <c r="A296">
        <v>293</v>
      </c>
      <c r="B296" s="8"/>
      <c r="C296" s="5"/>
      <c r="D296" s="5"/>
      <c r="E296" s="5"/>
      <c r="F296" s="6"/>
      <c r="G296" s="9" t="str">
        <f t="shared" si="8"/>
        <v/>
      </c>
      <c r="H296" s="6"/>
      <c r="I296" s="9" t="str">
        <f t="shared" si="9"/>
        <v/>
      </c>
    </row>
    <row r="297" spans="1:9" x14ac:dyDescent="0.45">
      <c r="A297">
        <v>294</v>
      </c>
      <c r="B297" s="8"/>
      <c r="C297" s="5"/>
      <c r="D297" s="5"/>
      <c r="E297" s="5"/>
      <c r="F297" s="6"/>
      <c r="G297" s="9" t="str">
        <f t="shared" si="8"/>
        <v/>
      </c>
      <c r="H297" s="6"/>
      <c r="I297" s="9" t="str">
        <f t="shared" si="9"/>
        <v/>
      </c>
    </row>
    <row r="298" spans="1:9" x14ac:dyDescent="0.45">
      <c r="A298">
        <v>295</v>
      </c>
      <c r="B298" s="8"/>
      <c r="C298" s="5"/>
      <c r="D298" s="5"/>
      <c r="E298" s="5"/>
      <c r="F298" s="6"/>
      <c r="G298" s="9" t="str">
        <f t="shared" si="8"/>
        <v/>
      </c>
      <c r="H298" s="6"/>
      <c r="I298" s="9" t="str">
        <f t="shared" si="9"/>
        <v/>
      </c>
    </row>
    <row r="299" spans="1:9" x14ac:dyDescent="0.45">
      <c r="A299">
        <v>296</v>
      </c>
      <c r="B299" s="8"/>
      <c r="C299" s="5"/>
      <c r="D299" s="5"/>
      <c r="E299" s="5"/>
      <c r="F299" s="6"/>
      <c r="G299" s="9" t="str">
        <f t="shared" si="8"/>
        <v/>
      </c>
      <c r="H299" s="6"/>
      <c r="I299" s="9" t="str">
        <f t="shared" si="9"/>
        <v/>
      </c>
    </row>
    <row r="300" spans="1:9" x14ac:dyDescent="0.45">
      <c r="A300">
        <v>297</v>
      </c>
      <c r="B300" s="8"/>
      <c r="C300" s="5"/>
      <c r="D300" s="5"/>
      <c r="E300" s="5"/>
      <c r="F300" s="6"/>
      <c r="G300" s="9" t="str">
        <f t="shared" si="8"/>
        <v/>
      </c>
      <c r="H300" s="6"/>
      <c r="I300" s="9" t="str">
        <f t="shared" si="9"/>
        <v/>
      </c>
    </row>
    <row r="301" spans="1:9" x14ac:dyDescent="0.45">
      <c r="A301">
        <v>298</v>
      </c>
      <c r="B301" s="8"/>
      <c r="C301" s="5"/>
      <c r="D301" s="5"/>
      <c r="E301" s="5"/>
      <c r="F301" s="6"/>
      <c r="G301" s="9" t="str">
        <f t="shared" si="8"/>
        <v/>
      </c>
      <c r="H301" s="6"/>
      <c r="I301" s="9" t="str">
        <f t="shared" si="9"/>
        <v/>
      </c>
    </row>
    <row r="302" spans="1:9" x14ac:dyDescent="0.45">
      <c r="A302">
        <v>299</v>
      </c>
      <c r="B302" s="8"/>
      <c r="C302" s="5"/>
      <c r="D302" s="5"/>
      <c r="E302" s="5"/>
      <c r="F302" s="6"/>
      <c r="G302" s="9" t="str">
        <f t="shared" si="8"/>
        <v/>
      </c>
      <c r="H302" s="6"/>
      <c r="I302" s="9" t="str">
        <f t="shared" si="9"/>
        <v/>
      </c>
    </row>
    <row r="303" spans="1:9" x14ac:dyDescent="0.45">
      <c r="A303">
        <v>300</v>
      </c>
      <c r="B303" s="8"/>
      <c r="C303" s="5"/>
      <c r="D303" s="5"/>
      <c r="E303" s="5"/>
      <c r="F303" s="6"/>
      <c r="G303" s="9" t="str">
        <f t="shared" si="8"/>
        <v/>
      </c>
      <c r="H303" s="6"/>
      <c r="I303" s="9" t="str">
        <f t="shared" si="9"/>
        <v/>
      </c>
    </row>
    <row r="304" spans="1:9" x14ac:dyDescent="0.45">
      <c r="A304">
        <v>301</v>
      </c>
      <c r="B304" s="8"/>
      <c r="C304" s="5"/>
      <c r="D304" s="5"/>
      <c r="E304" s="5"/>
      <c r="F304" s="6"/>
      <c r="G304" s="9" t="str">
        <f t="shared" si="8"/>
        <v/>
      </c>
      <c r="H304" s="6"/>
      <c r="I304" s="9" t="str">
        <f t="shared" si="9"/>
        <v/>
      </c>
    </row>
    <row r="305" spans="1:9" x14ac:dyDescent="0.45">
      <c r="A305">
        <v>302</v>
      </c>
      <c r="B305" s="8"/>
      <c r="C305" s="5"/>
      <c r="D305" s="5"/>
      <c r="E305" s="5"/>
      <c r="F305" s="6"/>
      <c r="G305" s="9" t="str">
        <f t="shared" si="8"/>
        <v/>
      </c>
      <c r="H305" s="6"/>
      <c r="I305" s="9" t="str">
        <f t="shared" si="9"/>
        <v/>
      </c>
    </row>
    <row r="306" spans="1:9" x14ac:dyDescent="0.45">
      <c r="A306">
        <v>303</v>
      </c>
      <c r="B306" s="8"/>
      <c r="C306" s="5"/>
      <c r="D306" s="5"/>
      <c r="E306" s="5"/>
      <c r="F306" s="6"/>
      <c r="G306" s="9" t="str">
        <f t="shared" si="8"/>
        <v/>
      </c>
      <c r="H306" s="6"/>
      <c r="I306" s="9" t="str">
        <f t="shared" si="9"/>
        <v/>
      </c>
    </row>
    <row r="307" spans="1:9" x14ac:dyDescent="0.45">
      <c r="A307">
        <v>304</v>
      </c>
      <c r="B307" s="8"/>
      <c r="C307" s="5"/>
      <c r="D307" s="5"/>
      <c r="E307" s="5"/>
      <c r="F307" s="6"/>
      <c r="G307" s="9" t="str">
        <f t="shared" si="8"/>
        <v/>
      </c>
      <c r="H307" s="6"/>
      <c r="I307" s="9" t="str">
        <f t="shared" si="9"/>
        <v/>
      </c>
    </row>
    <row r="308" spans="1:9" x14ac:dyDescent="0.45">
      <c r="A308">
        <v>305</v>
      </c>
      <c r="B308" s="8"/>
      <c r="C308" s="5"/>
      <c r="D308" s="5"/>
      <c r="E308" s="5"/>
      <c r="F308" s="6"/>
      <c r="G308" s="9" t="str">
        <f t="shared" si="8"/>
        <v/>
      </c>
      <c r="H308" s="6"/>
      <c r="I308" s="9" t="str">
        <f t="shared" si="9"/>
        <v/>
      </c>
    </row>
    <row r="309" spans="1:9" x14ac:dyDescent="0.45">
      <c r="A309">
        <v>306</v>
      </c>
      <c r="B309" s="8"/>
      <c r="C309" s="5"/>
      <c r="D309" s="5"/>
      <c r="E309" s="5"/>
      <c r="F309" s="6"/>
      <c r="G309" s="9" t="str">
        <f t="shared" si="8"/>
        <v/>
      </c>
      <c r="H309" s="6"/>
      <c r="I309" s="9" t="str">
        <f t="shared" si="9"/>
        <v/>
      </c>
    </row>
    <row r="310" spans="1:9" x14ac:dyDescent="0.45">
      <c r="A310">
        <v>307</v>
      </c>
      <c r="B310" s="8"/>
      <c r="C310" s="5"/>
      <c r="D310" s="5"/>
      <c r="E310" s="5"/>
      <c r="F310" s="6"/>
      <c r="G310" s="9" t="str">
        <f t="shared" si="8"/>
        <v/>
      </c>
      <c r="H310" s="6"/>
      <c r="I310" s="9" t="str">
        <f t="shared" si="9"/>
        <v/>
      </c>
    </row>
    <row r="311" spans="1:9" x14ac:dyDescent="0.45">
      <c r="A311">
        <v>308</v>
      </c>
      <c r="B311" s="8"/>
      <c r="C311" s="5"/>
      <c r="D311" s="5"/>
      <c r="E311" s="5"/>
      <c r="F311" s="6"/>
      <c r="G311" s="9" t="str">
        <f t="shared" si="8"/>
        <v/>
      </c>
      <c r="H311" s="6"/>
      <c r="I311" s="9" t="str">
        <f t="shared" si="9"/>
        <v/>
      </c>
    </row>
    <row r="312" spans="1:9" x14ac:dyDescent="0.45">
      <c r="A312">
        <v>309</v>
      </c>
      <c r="B312" s="8"/>
      <c r="C312" s="5"/>
      <c r="D312" s="5"/>
      <c r="E312" s="5"/>
      <c r="F312" s="6"/>
      <c r="G312" s="9" t="str">
        <f t="shared" si="8"/>
        <v/>
      </c>
      <c r="H312" s="6"/>
      <c r="I312" s="9" t="str">
        <f t="shared" si="9"/>
        <v/>
      </c>
    </row>
    <row r="313" spans="1:9" x14ac:dyDescent="0.45">
      <c r="A313">
        <v>310</v>
      </c>
      <c r="B313" s="8"/>
      <c r="C313" s="5"/>
      <c r="D313" s="5"/>
      <c r="E313" s="5"/>
      <c r="F313" s="6"/>
      <c r="G313" s="9" t="str">
        <f t="shared" si="8"/>
        <v/>
      </c>
      <c r="H313" s="6"/>
      <c r="I313" s="9" t="str">
        <f t="shared" si="9"/>
        <v/>
      </c>
    </row>
    <row r="314" spans="1:9" x14ac:dyDescent="0.45">
      <c r="A314">
        <v>311</v>
      </c>
      <c r="B314" s="8"/>
      <c r="C314" s="5"/>
      <c r="D314" s="5"/>
      <c r="E314" s="5"/>
      <c r="F314" s="6"/>
      <c r="G314" s="9" t="str">
        <f t="shared" si="8"/>
        <v/>
      </c>
      <c r="H314" s="6"/>
      <c r="I314" s="9" t="str">
        <f t="shared" si="9"/>
        <v/>
      </c>
    </row>
    <row r="315" spans="1:9" x14ac:dyDescent="0.45">
      <c r="A315">
        <v>312</v>
      </c>
      <c r="B315" s="8"/>
      <c r="C315" s="5"/>
      <c r="D315" s="5"/>
      <c r="E315" s="5"/>
      <c r="F315" s="6"/>
      <c r="G315" s="9" t="str">
        <f t="shared" si="8"/>
        <v/>
      </c>
      <c r="H315" s="6"/>
      <c r="I315" s="9" t="str">
        <f t="shared" si="9"/>
        <v/>
      </c>
    </row>
    <row r="316" spans="1:9" x14ac:dyDescent="0.45">
      <c r="A316">
        <v>313</v>
      </c>
      <c r="B316" s="8"/>
      <c r="C316" s="5"/>
      <c r="D316" s="5"/>
      <c r="E316" s="5"/>
      <c r="F316" s="6"/>
      <c r="G316" s="9" t="str">
        <f t="shared" si="8"/>
        <v/>
      </c>
      <c r="H316" s="6"/>
      <c r="I316" s="9" t="str">
        <f t="shared" si="9"/>
        <v/>
      </c>
    </row>
    <row r="317" spans="1:9" x14ac:dyDescent="0.45">
      <c r="A317">
        <v>314</v>
      </c>
      <c r="B317" s="8"/>
      <c r="C317" s="5"/>
      <c r="D317" s="5"/>
      <c r="E317" s="5"/>
      <c r="F317" s="6"/>
      <c r="G317" s="9" t="str">
        <f t="shared" si="8"/>
        <v/>
      </c>
      <c r="H317" s="6"/>
      <c r="I317" s="9" t="str">
        <f t="shared" si="9"/>
        <v/>
      </c>
    </row>
    <row r="318" spans="1:9" x14ac:dyDescent="0.45">
      <c r="A318">
        <v>315</v>
      </c>
      <c r="B318" s="8"/>
      <c r="C318" s="5"/>
      <c r="D318" s="5"/>
      <c r="E318" s="5"/>
      <c r="F318" s="6"/>
      <c r="G318" s="9" t="str">
        <f t="shared" si="8"/>
        <v/>
      </c>
      <c r="H318" s="6"/>
      <c r="I318" s="9" t="str">
        <f t="shared" si="9"/>
        <v/>
      </c>
    </row>
    <row r="319" spans="1:9" x14ac:dyDescent="0.45">
      <c r="A319">
        <v>316</v>
      </c>
      <c r="B319" s="8"/>
      <c r="C319" s="5"/>
      <c r="D319" s="5"/>
      <c r="E319" s="5"/>
      <c r="F319" s="6"/>
      <c r="G319" s="9" t="str">
        <f t="shared" si="8"/>
        <v/>
      </c>
      <c r="H319" s="6"/>
      <c r="I319" s="9" t="str">
        <f t="shared" si="9"/>
        <v/>
      </c>
    </row>
    <row r="320" spans="1:9" x14ac:dyDescent="0.45">
      <c r="A320">
        <v>317</v>
      </c>
      <c r="B320" s="8"/>
      <c r="C320" s="5"/>
      <c r="D320" s="5"/>
      <c r="E320" s="5"/>
      <c r="F320" s="6"/>
      <c r="G320" s="9" t="str">
        <f t="shared" si="8"/>
        <v/>
      </c>
      <c r="H320" s="6"/>
      <c r="I320" s="9" t="str">
        <f t="shared" si="9"/>
        <v/>
      </c>
    </row>
    <row r="321" spans="1:9" x14ac:dyDescent="0.45">
      <c r="A321">
        <v>318</v>
      </c>
      <c r="B321" s="8"/>
      <c r="C321" s="5"/>
      <c r="D321" s="5"/>
      <c r="E321" s="5"/>
      <c r="F321" s="6"/>
      <c r="G321" s="9" t="str">
        <f t="shared" si="8"/>
        <v/>
      </c>
      <c r="H321" s="6"/>
      <c r="I321" s="9" t="str">
        <f t="shared" si="9"/>
        <v/>
      </c>
    </row>
    <row r="322" spans="1:9" x14ac:dyDescent="0.45">
      <c r="A322">
        <v>319</v>
      </c>
      <c r="B322" s="8"/>
      <c r="C322" s="5"/>
      <c r="D322" s="5"/>
      <c r="E322" s="5"/>
      <c r="F322" s="6"/>
      <c r="G322" s="9" t="str">
        <f t="shared" si="8"/>
        <v/>
      </c>
      <c r="H322" s="6"/>
      <c r="I322" s="9" t="str">
        <f t="shared" si="9"/>
        <v/>
      </c>
    </row>
    <row r="323" spans="1:9" x14ac:dyDescent="0.45">
      <c r="A323">
        <v>320</v>
      </c>
      <c r="B323" s="8"/>
      <c r="C323" s="5"/>
      <c r="D323" s="5"/>
      <c r="E323" s="5"/>
      <c r="F323" s="6"/>
      <c r="G323" s="9" t="str">
        <f t="shared" si="8"/>
        <v/>
      </c>
      <c r="H323" s="6"/>
      <c r="I323" s="9" t="str">
        <f t="shared" si="9"/>
        <v/>
      </c>
    </row>
    <row r="324" spans="1:9" x14ac:dyDescent="0.45">
      <c r="A324">
        <v>321</v>
      </c>
      <c r="B324" s="8"/>
      <c r="C324" s="5"/>
      <c r="D324" s="5"/>
      <c r="E324" s="5"/>
      <c r="F324" s="6"/>
      <c r="G324" s="9" t="str">
        <f t="shared" ref="G324:G387" si="10">IF(E324="","",E324*F324)</f>
        <v/>
      </c>
      <c r="H324" s="6"/>
      <c r="I324" s="9" t="str">
        <f t="shared" ref="I324:I387" si="11">IF(G324="","",G324-IF(H324="",0,H324))</f>
        <v/>
      </c>
    </row>
    <row r="325" spans="1:9" x14ac:dyDescent="0.45">
      <c r="A325">
        <v>322</v>
      </c>
      <c r="B325" s="8"/>
      <c r="C325" s="5"/>
      <c r="D325" s="5"/>
      <c r="E325" s="5"/>
      <c r="F325" s="6"/>
      <c r="G325" s="9" t="str">
        <f t="shared" si="10"/>
        <v/>
      </c>
      <c r="H325" s="6"/>
      <c r="I325" s="9" t="str">
        <f t="shared" si="11"/>
        <v/>
      </c>
    </row>
    <row r="326" spans="1:9" x14ac:dyDescent="0.45">
      <c r="A326">
        <v>323</v>
      </c>
      <c r="B326" s="8"/>
      <c r="C326" s="5"/>
      <c r="D326" s="5"/>
      <c r="E326" s="5"/>
      <c r="F326" s="6"/>
      <c r="G326" s="9" t="str">
        <f t="shared" si="10"/>
        <v/>
      </c>
      <c r="H326" s="6"/>
      <c r="I326" s="9" t="str">
        <f t="shared" si="11"/>
        <v/>
      </c>
    </row>
    <row r="327" spans="1:9" x14ac:dyDescent="0.45">
      <c r="A327">
        <v>324</v>
      </c>
      <c r="B327" s="8"/>
      <c r="C327" s="5"/>
      <c r="D327" s="5"/>
      <c r="E327" s="5"/>
      <c r="F327" s="6"/>
      <c r="G327" s="9" t="str">
        <f t="shared" si="10"/>
        <v/>
      </c>
      <c r="H327" s="6"/>
      <c r="I327" s="9" t="str">
        <f t="shared" si="11"/>
        <v/>
      </c>
    </row>
    <row r="328" spans="1:9" x14ac:dyDescent="0.45">
      <c r="A328">
        <v>325</v>
      </c>
      <c r="B328" s="8"/>
      <c r="C328" s="5"/>
      <c r="D328" s="5"/>
      <c r="E328" s="5"/>
      <c r="F328" s="6"/>
      <c r="G328" s="9" t="str">
        <f t="shared" si="10"/>
        <v/>
      </c>
      <c r="H328" s="6"/>
      <c r="I328" s="9" t="str">
        <f t="shared" si="11"/>
        <v/>
      </c>
    </row>
    <row r="329" spans="1:9" x14ac:dyDescent="0.45">
      <c r="A329">
        <v>326</v>
      </c>
      <c r="B329" s="8"/>
      <c r="C329" s="5"/>
      <c r="D329" s="5"/>
      <c r="E329" s="5"/>
      <c r="F329" s="6"/>
      <c r="G329" s="9" t="str">
        <f t="shared" si="10"/>
        <v/>
      </c>
      <c r="H329" s="6"/>
      <c r="I329" s="9" t="str">
        <f t="shared" si="11"/>
        <v/>
      </c>
    </row>
    <row r="330" spans="1:9" x14ac:dyDescent="0.45">
      <c r="A330">
        <v>327</v>
      </c>
      <c r="B330" s="8"/>
      <c r="C330" s="5"/>
      <c r="D330" s="5"/>
      <c r="E330" s="5"/>
      <c r="F330" s="6"/>
      <c r="G330" s="9" t="str">
        <f t="shared" si="10"/>
        <v/>
      </c>
      <c r="H330" s="6"/>
      <c r="I330" s="9" t="str">
        <f t="shared" si="11"/>
        <v/>
      </c>
    </row>
    <row r="331" spans="1:9" x14ac:dyDescent="0.45">
      <c r="A331">
        <v>328</v>
      </c>
      <c r="B331" s="8"/>
      <c r="C331" s="5"/>
      <c r="D331" s="5"/>
      <c r="E331" s="5"/>
      <c r="F331" s="6"/>
      <c r="G331" s="9" t="str">
        <f t="shared" si="10"/>
        <v/>
      </c>
      <c r="H331" s="6"/>
      <c r="I331" s="9" t="str">
        <f t="shared" si="11"/>
        <v/>
      </c>
    </row>
    <row r="332" spans="1:9" x14ac:dyDescent="0.45">
      <c r="A332">
        <v>329</v>
      </c>
      <c r="B332" s="8"/>
      <c r="C332" s="5"/>
      <c r="D332" s="5"/>
      <c r="E332" s="5"/>
      <c r="F332" s="6"/>
      <c r="G332" s="9" t="str">
        <f t="shared" si="10"/>
        <v/>
      </c>
      <c r="H332" s="6"/>
      <c r="I332" s="9" t="str">
        <f t="shared" si="11"/>
        <v/>
      </c>
    </row>
    <row r="333" spans="1:9" x14ac:dyDescent="0.45">
      <c r="A333">
        <v>330</v>
      </c>
      <c r="B333" s="8"/>
      <c r="C333" s="5"/>
      <c r="D333" s="5"/>
      <c r="E333" s="5"/>
      <c r="F333" s="6"/>
      <c r="G333" s="9" t="str">
        <f t="shared" si="10"/>
        <v/>
      </c>
      <c r="H333" s="6"/>
      <c r="I333" s="9" t="str">
        <f t="shared" si="11"/>
        <v/>
      </c>
    </row>
    <row r="334" spans="1:9" x14ac:dyDescent="0.45">
      <c r="A334">
        <v>331</v>
      </c>
      <c r="B334" s="8"/>
      <c r="C334" s="5"/>
      <c r="D334" s="5"/>
      <c r="E334" s="5"/>
      <c r="F334" s="6"/>
      <c r="G334" s="9" t="str">
        <f t="shared" si="10"/>
        <v/>
      </c>
      <c r="H334" s="6"/>
      <c r="I334" s="9" t="str">
        <f t="shared" si="11"/>
        <v/>
      </c>
    </row>
    <row r="335" spans="1:9" x14ac:dyDescent="0.45">
      <c r="A335">
        <v>332</v>
      </c>
      <c r="B335" s="8"/>
      <c r="C335" s="5"/>
      <c r="D335" s="5"/>
      <c r="E335" s="5"/>
      <c r="F335" s="6"/>
      <c r="G335" s="9" t="str">
        <f t="shared" si="10"/>
        <v/>
      </c>
      <c r="H335" s="6"/>
      <c r="I335" s="9" t="str">
        <f t="shared" si="11"/>
        <v/>
      </c>
    </row>
    <row r="336" spans="1:9" x14ac:dyDescent="0.45">
      <c r="A336">
        <v>333</v>
      </c>
      <c r="B336" s="8"/>
      <c r="C336" s="5"/>
      <c r="D336" s="5"/>
      <c r="E336" s="5"/>
      <c r="F336" s="6"/>
      <c r="G336" s="9" t="str">
        <f t="shared" si="10"/>
        <v/>
      </c>
      <c r="H336" s="6"/>
      <c r="I336" s="9" t="str">
        <f t="shared" si="11"/>
        <v/>
      </c>
    </row>
    <row r="337" spans="1:9" x14ac:dyDescent="0.45">
      <c r="A337">
        <v>334</v>
      </c>
      <c r="B337" s="8"/>
      <c r="C337" s="5"/>
      <c r="D337" s="5"/>
      <c r="E337" s="5"/>
      <c r="F337" s="6"/>
      <c r="G337" s="9" t="str">
        <f t="shared" si="10"/>
        <v/>
      </c>
      <c r="H337" s="6"/>
      <c r="I337" s="9" t="str">
        <f t="shared" si="11"/>
        <v/>
      </c>
    </row>
    <row r="338" spans="1:9" x14ac:dyDescent="0.45">
      <c r="A338">
        <v>335</v>
      </c>
      <c r="B338" s="8"/>
      <c r="C338" s="5"/>
      <c r="D338" s="5"/>
      <c r="E338" s="5"/>
      <c r="F338" s="6"/>
      <c r="G338" s="9" t="str">
        <f t="shared" si="10"/>
        <v/>
      </c>
      <c r="H338" s="6"/>
      <c r="I338" s="9" t="str">
        <f t="shared" si="11"/>
        <v/>
      </c>
    </row>
    <row r="339" spans="1:9" x14ac:dyDescent="0.45">
      <c r="A339">
        <v>336</v>
      </c>
      <c r="B339" s="8"/>
      <c r="C339" s="5"/>
      <c r="D339" s="5"/>
      <c r="E339" s="5"/>
      <c r="F339" s="6"/>
      <c r="G339" s="9" t="str">
        <f t="shared" si="10"/>
        <v/>
      </c>
      <c r="H339" s="6"/>
      <c r="I339" s="9" t="str">
        <f t="shared" si="11"/>
        <v/>
      </c>
    </row>
    <row r="340" spans="1:9" x14ac:dyDescent="0.45">
      <c r="A340">
        <v>337</v>
      </c>
      <c r="B340" s="8"/>
      <c r="C340" s="5"/>
      <c r="D340" s="5"/>
      <c r="E340" s="5"/>
      <c r="F340" s="6"/>
      <c r="G340" s="9" t="str">
        <f t="shared" si="10"/>
        <v/>
      </c>
      <c r="H340" s="6"/>
      <c r="I340" s="9" t="str">
        <f t="shared" si="11"/>
        <v/>
      </c>
    </row>
    <row r="341" spans="1:9" x14ac:dyDescent="0.45">
      <c r="A341">
        <v>338</v>
      </c>
      <c r="B341" s="8"/>
      <c r="C341" s="5"/>
      <c r="D341" s="5"/>
      <c r="E341" s="5"/>
      <c r="F341" s="6"/>
      <c r="G341" s="9" t="str">
        <f t="shared" si="10"/>
        <v/>
      </c>
      <c r="H341" s="6"/>
      <c r="I341" s="9" t="str">
        <f t="shared" si="11"/>
        <v/>
      </c>
    </row>
    <row r="342" spans="1:9" x14ac:dyDescent="0.45">
      <c r="A342">
        <v>339</v>
      </c>
      <c r="B342" s="8"/>
      <c r="C342" s="5"/>
      <c r="D342" s="5"/>
      <c r="E342" s="5"/>
      <c r="F342" s="6"/>
      <c r="G342" s="9" t="str">
        <f t="shared" si="10"/>
        <v/>
      </c>
      <c r="H342" s="6"/>
      <c r="I342" s="9" t="str">
        <f t="shared" si="11"/>
        <v/>
      </c>
    </row>
    <row r="343" spans="1:9" x14ac:dyDescent="0.45">
      <c r="A343">
        <v>340</v>
      </c>
      <c r="B343" s="8"/>
      <c r="C343" s="5"/>
      <c r="D343" s="5"/>
      <c r="E343" s="5"/>
      <c r="F343" s="6"/>
      <c r="G343" s="9" t="str">
        <f t="shared" si="10"/>
        <v/>
      </c>
      <c r="H343" s="6"/>
      <c r="I343" s="9" t="str">
        <f t="shared" si="11"/>
        <v/>
      </c>
    </row>
    <row r="344" spans="1:9" x14ac:dyDescent="0.45">
      <c r="A344">
        <v>341</v>
      </c>
      <c r="B344" s="8"/>
      <c r="C344" s="5"/>
      <c r="D344" s="5"/>
      <c r="E344" s="5"/>
      <c r="F344" s="6"/>
      <c r="G344" s="9" t="str">
        <f t="shared" si="10"/>
        <v/>
      </c>
      <c r="H344" s="6"/>
      <c r="I344" s="9" t="str">
        <f t="shared" si="11"/>
        <v/>
      </c>
    </row>
    <row r="345" spans="1:9" x14ac:dyDescent="0.45">
      <c r="A345">
        <v>342</v>
      </c>
      <c r="B345" s="8"/>
      <c r="C345" s="5"/>
      <c r="D345" s="5"/>
      <c r="E345" s="5"/>
      <c r="F345" s="6"/>
      <c r="G345" s="9" t="str">
        <f t="shared" si="10"/>
        <v/>
      </c>
      <c r="H345" s="6"/>
      <c r="I345" s="9" t="str">
        <f t="shared" si="11"/>
        <v/>
      </c>
    </row>
    <row r="346" spans="1:9" x14ac:dyDescent="0.45">
      <c r="A346">
        <v>343</v>
      </c>
      <c r="B346" s="8"/>
      <c r="C346" s="5"/>
      <c r="D346" s="5"/>
      <c r="E346" s="5"/>
      <c r="F346" s="6"/>
      <c r="G346" s="9" t="str">
        <f t="shared" si="10"/>
        <v/>
      </c>
      <c r="H346" s="6"/>
      <c r="I346" s="9" t="str">
        <f t="shared" si="11"/>
        <v/>
      </c>
    </row>
    <row r="347" spans="1:9" x14ac:dyDescent="0.45">
      <c r="A347">
        <v>344</v>
      </c>
      <c r="B347" s="8"/>
      <c r="C347" s="5"/>
      <c r="D347" s="5"/>
      <c r="E347" s="5"/>
      <c r="F347" s="6"/>
      <c r="G347" s="9" t="str">
        <f t="shared" si="10"/>
        <v/>
      </c>
      <c r="H347" s="6"/>
      <c r="I347" s="9" t="str">
        <f t="shared" si="11"/>
        <v/>
      </c>
    </row>
    <row r="348" spans="1:9" x14ac:dyDescent="0.45">
      <c r="A348">
        <v>345</v>
      </c>
      <c r="B348" s="8"/>
      <c r="C348" s="5"/>
      <c r="D348" s="5"/>
      <c r="E348" s="5"/>
      <c r="F348" s="6"/>
      <c r="G348" s="9" t="str">
        <f t="shared" si="10"/>
        <v/>
      </c>
      <c r="H348" s="6"/>
      <c r="I348" s="9" t="str">
        <f t="shared" si="11"/>
        <v/>
      </c>
    </row>
    <row r="349" spans="1:9" x14ac:dyDescent="0.45">
      <c r="A349">
        <v>346</v>
      </c>
      <c r="B349" s="8"/>
      <c r="C349" s="5"/>
      <c r="D349" s="5"/>
      <c r="E349" s="5"/>
      <c r="F349" s="6"/>
      <c r="G349" s="9" t="str">
        <f t="shared" si="10"/>
        <v/>
      </c>
      <c r="H349" s="6"/>
      <c r="I349" s="9" t="str">
        <f t="shared" si="11"/>
        <v/>
      </c>
    </row>
    <row r="350" spans="1:9" x14ac:dyDescent="0.45">
      <c r="A350">
        <v>347</v>
      </c>
      <c r="B350" s="8"/>
      <c r="C350" s="5"/>
      <c r="D350" s="5"/>
      <c r="E350" s="5"/>
      <c r="F350" s="6"/>
      <c r="G350" s="9" t="str">
        <f t="shared" si="10"/>
        <v/>
      </c>
      <c r="H350" s="6"/>
      <c r="I350" s="9" t="str">
        <f t="shared" si="11"/>
        <v/>
      </c>
    </row>
    <row r="351" spans="1:9" x14ac:dyDescent="0.45">
      <c r="A351">
        <v>348</v>
      </c>
      <c r="B351" s="8"/>
      <c r="C351" s="5"/>
      <c r="D351" s="5"/>
      <c r="E351" s="5"/>
      <c r="F351" s="6"/>
      <c r="G351" s="9" t="str">
        <f t="shared" si="10"/>
        <v/>
      </c>
      <c r="H351" s="6"/>
      <c r="I351" s="9" t="str">
        <f t="shared" si="11"/>
        <v/>
      </c>
    </row>
    <row r="352" spans="1:9" x14ac:dyDescent="0.45">
      <c r="A352">
        <v>349</v>
      </c>
      <c r="B352" s="8"/>
      <c r="C352" s="5"/>
      <c r="D352" s="5"/>
      <c r="E352" s="5"/>
      <c r="F352" s="6"/>
      <c r="G352" s="9" t="str">
        <f t="shared" si="10"/>
        <v/>
      </c>
      <c r="H352" s="6"/>
      <c r="I352" s="9" t="str">
        <f t="shared" si="11"/>
        <v/>
      </c>
    </row>
    <row r="353" spans="1:9" x14ac:dyDescent="0.45">
      <c r="A353">
        <v>350</v>
      </c>
      <c r="B353" s="8"/>
      <c r="C353" s="5"/>
      <c r="D353" s="5"/>
      <c r="E353" s="5"/>
      <c r="F353" s="6"/>
      <c r="G353" s="9" t="str">
        <f t="shared" si="10"/>
        <v/>
      </c>
      <c r="H353" s="6"/>
      <c r="I353" s="9" t="str">
        <f t="shared" si="11"/>
        <v/>
      </c>
    </row>
    <row r="354" spans="1:9" x14ac:dyDescent="0.45">
      <c r="A354">
        <v>351</v>
      </c>
      <c r="B354" s="8"/>
      <c r="C354" s="5"/>
      <c r="D354" s="5"/>
      <c r="E354" s="5"/>
      <c r="F354" s="6"/>
      <c r="G354" s="9" t="str">
        <f t="shared" si="10"/>
        <v/>
      </c>
      <c r="H354" s="6"/>
      <c r="I354" s="9" t="str">
        <f t="shared" si="11"/>
        <v/>
      </c>
    </row>
    <row r="355" spans="1:9" x14ac:dyDescent="0.45">
      <c r="A355">
        <v>352</v>
      </c>
      <c r="B355" s="8"/>
      <c r="C355" s="5"/>
      <c r="D355" s="5"/>
      <c r="E355" s="5"/>
      <c r="F355" s="6"/>
      <c r="G355" s="9" t="str">
        <f t="shared" si="10"/>
        <v/>
      </c>
      <c r="H355" s="6"/>
      <c r="I355" s="9" t="str">
        <f t="shared" si="11"/>
        <v/>
      </c>
    </row>
    <row r="356" spans="1:9" x14ac:dyDescent="0.45">
      <c r="A356">
        <v>353</v>
      </c>
      <c r="B356" s="8"/>
      <c r="C356" s="5"/>
      <c r="D356" s="5"/>
      <c r="E356" s="5"/>
      <c r="F356" s="6"/>
      <c r="G356" s="9" t="str">
        <f t="shared" si="10"/>
        <v/>
      </c>
      <c r="H356" s="6"/>
      <c r="I356" s="9" t="str">
        <f t="shared" si="11"/>
        <v/>
      </c>
    </row>
    <row r="357" spans="1:9" x14ac:dyDescent="0.45">
      <c r="A357">
        <v>354</v>
      </c>
      <c r="B357" s="8"/>
      <c r="C357" s="5"/>
      <c r="D357" s="5"/>
      <c r="E357" s="5"/>
      <c r="F357" s="6"/>
      <c r="G357" s="9" t="str">
        <f t="shared" si="10"/>
        <v/>
      </c>
      <c r="H357" s="6"/>
      <c r="I357" s="9" t="str">
        <f t="shared" si="11"/>
        <v/>
      </c>
    </row>
    <row r="358" spans="1:9" x14ac:dyDescent="0.45">
      <c r="A358">
        <v>355</v>
      </c>
      <c r="B358" s="8"/>
      <c r="C358" s="5"/>
      <c r="D358" s="5"/>
      <c r="E358" s="5"/>
      <c r="F358" s="6"/>
      <c r="G358" s="9" t="str">
        <f t="shared" si="10"/>
        <v/>
      </c>
      <c r="H358" s="6"/>
      <c r="I358" s="9" t="str">
        <f t="shared" si="11"/>
        <v/>
      </c>
    </row>
    <row r="359" spans="1:9" x14ac:dyDescent="0.45">
      <c r="A359">
        <v>356</v>
      </c>
      <c r="B359" s="8"/>
      <c r="C359" s="5"/>
      <c r="D359" s="5"/>
      <c r="E359" s="5"/>
      <c r="F359" s="6"/>
      <c r="G359" s="9" t="str">
        <f t="shared" si="10"/>
        <v/>
      </c>
      <c r="H359" s="6"/>
      <c r="I359" s="9" t="str">
        <f t="shared" si="11"/>
        <v/>
      </c>
    </row>
    <row r="360" spans="1:9" x14ac:dyDescent="0.45">
      <c r="A360">
        <v>357</v>
      </c>
      <c r="B360" s="8"/>
      <c r="C360" s="5"/>
      <c r="D360" s="5"/>
      <c r="E360" s="5"/>
      <c r="F360" s="6"/>
      <c r="G360" s="9" t="str">
        <f t="shared" si="10"/>
        <v/>
      </c>
      <c r="H360" s="6"/>
      <c r="I360" s="9" t="str">
        <f t="shared" si="11"/>
        <v/>
      </c>
    </row>
    <row r="361" spans="1:9" x14ac:dyDescent="0.45">
      <c r="A361">
        <v>358</v>
      </c>
      <c r="B361" s="8"/>
      <c r="C361" s="5"/>
      <c r="D361" s="5"/>
      <c r="E361" s="5"/>
      <c r="F361" s="6"/>
      <c r="G361" s="9" t="str">
        <f t="shared" si="10"/>
        <v/>
      </c>
      <c r="H361" s="6"/>
      <c r="I361" s="9" t="str">
        <f t="shared" si="11"/>
        <v/>
      </c>
    </row>
    <row r="362" spans="1:9" x14ac:dyDescent="0.45">
      <c r="A362">
        <v>359</v>
      </c>
      <c r="B362" s="8"/>
      <c r="C362" s="5"/>
      <c r="D362" s="5"/>
      <c r="E362" s="5"/>
      <c r="F362" s="6"/>
      <c r="G362" s="9" t="str">
        <f t="shared" si="10"/>
        <v/>
      </c>
      <c r="H362" s="6"/>
      <c r="I362" s="9" t="str">
        <f t="shared" si="11"/>
        <v/>
      </c>
    </row>
    <row r="363" spans="1:9" x14ac:dyDescent="0.45">
      <c r="A363">
        <v>360</v>
      </c>
      <c r="B363" s="8"/>
      <c r="C363" s="5"/>
      <c r="D363" s="5"/>
      <c r="E363" s="5"/>
      <c r="F363" s="6"/>
      <c r="G363" s="9" t="str">
        <f t="shared" si="10"/>
        <v/>
      </c>
      <c r="H363" s="6"/>
      <c r="I363" s="9" t="str">
        <f t="shared" si="11"/>
        <v/>
      </c>
    </row>
    <row r="364" spans="1:9" x14ac:dyDescent="0.45">
      <c r="A364">
        <v>361</v>
      </c>
      <c r="B364" s="8"/>
      <c r="C364" s="5"/>
      <c r="D364" s="5"/>
      <c r="E364" s="5"/>
      <c r="F364" s="6"/>
      <c r="G364" s="9" t="str">
        <f t="shared" si="10"/>
        <v/>
      </c>
      <c r="H364" s="6"/>
      <c r="I364" s="9" t="str">
        <f t="shared" si="11"/>
        <v/>
      </c>
    </row>
    <row r="365" spans="1:9" x14ac:dyDescent="0.45">
      <c r="A365">
        <v>362</v>
      </c>
      <c r="B365" s="8"/>
      <c r="C365" s="5"/>
      <c r="D365" s="5"/>
      <c r="E365" s="5"/>
      <c r="F365" s="6"/>
      <c r="G365" s="9" t="str">
        <f t="shared" si="10"/>
        <v/>
      </c>
      <c r="H365" s="6"/>
      <c r="I365" s="9" t="str">
        <f t="shared" si="11"/>
        <v/>
      </c>
    </row>
    <row r="366" spans="1:9" x14ac:dyDescent="0.45">
      <c r="A366">
        <v>363</v>
      </c>
      <c r="B366" s="8"/>
      <c r="C366" s="5"/>
      <c r="D366" s="5"/>
      <c r="E366" s="5"/>
      <c r="F366" s="6"/>
      <c r="G366" s="9" t="str">
        <f t="shared" si="10"/>
        <v/>
      </c>
      <c r="H366" s="6"/>
      <c r="I366" s="9" t="str">
        <f t="shared" si="11"/>
        <v/>
      </c>
    </row>
    <row r="367" spans="1:9" x14ac:dyDescent="0.45">
      <c r="A367">
        <v>364</v>
      </c>
      <c r="B367" s="8"/>
      <c r="C367" s="5"/>
      <c r="D367" s="5"/>
      <c r="E367" s="5"/>
      <c r="F367" s="6"/>
      <c r="G367" s="9" t="str">
        <f t="shared" si="10"/>
        <v/>
      </c>
      <c r="H367" s="6"/>
      <c r="I367" s="9" t="str">
        <f t="shared" si="11"/>
        <v/>
      </c>
    </row>
    <row r="368" spans="1:9" x14ac:dyDescent="0.45">
      <c r="A368">
        <v>365</v>
      </c>
      <c r="B368" s="8"/>
      <c r="C368" s="5"/>
      <c r="D368" s="5"/>
      <c r="E368" s="5"/>
      <c r="F368" s="6"/>
      <c r="G368" s="9" t="str">
        <f t="shared" si="10"/>
        <v/>
      </c>
      <c r="H368" s="6"/>
      <c r="I368" s="9" t="str">
        <f t="shared" si="11"/>
        <v/>
      </c>
    </row>
    <row r="369" spans="1:9" x14ac:dyDescent="0.45">
      <c r="A369">
        <v>366</v>
      </c>
      <c r="B369" s="8"/>
      <c r="C369" s="5"/>
      <c r="D369" s="5"/>
      <c r="E369" s="5"/>
      <c r="F369" s="6"/>
      <c r="G369" s="9" t="str">
        <f t="shared" si="10"/>
        <v/>
      </c>
      <c r="H369" s="6"/>
      <c r="I369" s="9" t="str">
        <f t="shared" si="11"/>
        <v/>
      </c>
    </row>
    <row r="370" spans="1:9" x14ac:dyDescent="0.45">
      <c r="A370">
        <v>367</v>
      </c>
      <c r="B370" s="8"/>
      <c r="C370" s="5"/>
      <c r="D370" s="5"/>
      <c r="E370" s="5"/>
      <c r="F370" s="6"/>
      <c r="G370" s="9" t="str">
        <f t="shared" si="10"/>
        <v/>
      </c>
      <c r="H370" s="6"/>
      <c r="I370" s="9" t="str">
        <f t="shared" si="11"/>
        <v/>
      </c>
    </row>
    <row r="371" spans="1:9" x14ac:dyDescent="0.45">
      <c r="A371">
        <v>368</v>
      </c>
      <c r="B371" s="8"/>
      <c r="C371" s="5"/>
      <c r="D371" s="5"/>
      <c r="E371" s="5"/>
      <c r="F371" s="6"/>
      <c r="G371" s="9" t="str">
        <f t="shared" si="10"/>
        <v/>
      </c>
      <c r="H371" s="6"/>
      <c r="I371" s="9" t="str">
        <f t="shared" si="11"/>
        <v/>
      </c>
    </row>
    <row r="372" spans="1:9" x14ac:dyDescent="0.45">
      <c r="A372">
        <v>369</v>
      </c>
      <c r="B372" s="8"/>
      <c r="C372" s="5"/>
      <c r="D372" s="5"/>
      <c r="E372" s="5"/>
      <c r="F372" s="6"/>
      <c r="G372" s="9" t="str">
        <f t="shared" si="10"/>
        <v/>
      </c>
      <c r="H372" s="6"/>
      <c r="I372" s="9" t="str">
        <f t="shared" si="11"/>
        <v/>
      </c>
    </row>
    <row r="373" spans="1:9" x14ac:dyDescent="0.45">
      <c r="A373">
        <v>370</v>
      </c>
      <c r="B373" s="8"/>
      <c r="C373" s="5"/>
      <c r="D373" s="5"/>
      <c r="E373" s="5"/>
      <c r="F373" s="6"/>
      <c r="G373" s="9" t="str">
        <f t="shared" si="10"/>
        <v/>
      </c>
      <c r="H373" s="6"/>
      <c r="I373" s="9" t="str">
        <f t="shared" si="11"/>
        <v/>
      </c>
    </row>
    <row r="374" spans="1:9" x14ac:dyDescent="0.45">
      <c r="A374">
        <v>371</v>
      </c>
      <c r="B374" s="8"/>
      <c r="C374" s="5"/>
      <c r="D374" s="5"/>
      <c r="E374" s="5"/>
      <c r="F374" s="6"/>
      <c r="G374" s="9" t="str">
        <f t="shared" si="10"/>
        <v/>
      </c>
      <c r="H374" s="6"/>
      <c r="I374" s="9" t="str">
        <f t="shared" si="11"/>
        <v/>
      </c>
    </row>
    <row r="375" spans="1:9" x14ac:dyDescent="0.45">
      <c r="A375">
        <v>372</v>
      </c>
      <c r="B375" s="8"/>
      <c r="C375" s="5"/>
      <c r="D375" s="5"/>
      <c r="E375" s="5"/>
      <c r="F375" s="6"/>
      <c r="G375" s="9" t="str">
        <f t="shared" si="10"/>
        <v/>
      </c>
      <c r="H375" s="6"/>
      <c r="I375" s="9" t="str">
        <f t="shared" si="11"/>
        <v/>
      </c>
    </row>
    <row r="376" spans="1:9" x14ac:dyDescent="0.45">
      <c r="A376">
        <v>373</v>
      </c>
      <c r="B376" s="8"/>
      <c r="C376" s="5"/>
      <c r="D376" s="5"/>
      <c r="E376" s="5"/>
      <c r="F376" s="6"/>
      <c r="G376" s="9" t="str">
        <f t="shared" si="10"/>
        <v/>
      </c>
      <c r="H376" s="6"/>
      <c r="I376" s="9" t="str">
        <f t="shared" si="11"/>
        <v/>
      </c>
    </row>
    <row r="377" spans="1:9" x14ac:dyDescent="0.45">
      <c r="A377">
        <v>374</v>
      </c>
      <c r="B377" s="8"/>
      <c r="C377" s="5"/>
      <c r="D377" s="5"/>
      <c r="E377" s="5"/>
      <c r="F377" s="6"/>
      <c r="G377" s="9" t="str">
        <f t="shared" si="10"/>
        <v/>
      </c>
      <c r="H377" s="6"/>
      <c r="I377" s="9" t="str">
        <f t="shared" si="11"/>
        <v/>
      </c>
    </row>
    <row r="378" spans="1:9" x14ac:dyDescent="0.45">
      <c r="A378">
        <v>375</v>
      </c>
      <c r="B378" s="8"/>
      <c r="C378" s="5"/>
      <c r="D378" s="5"/>
      <c r="E378" s="5"/>
      <c r="F378" s="6"/>
      <c r="G378" s="9" t="str">
        <f t="shared" si="10"/>
        <v/>
      </c>
      <c r="H378" s="6"/>
      <c r="I378" s="9" t="str">
        <f t="shared" si="11"/>
        <v/>
      </c>
    </row>
    <row r="379" spans="1:9" x14ac:dyDescent="0.45">
      <c r="A379">
        <v>376</v>
      </c>
      <c r="B379" s="8"/>
      <c r="C379" s="5"/>
      <c r="D379" s="5"/>
      <c r="E379" s="5"/>
      <c r="F379" s="6"/>
      <c r="G379" s="9" t="str">
        <f t="shared" si="10"/>
        <v/>
      </c>
      <c r="H379" s="6"/>
      <c r="I379" s="9" t="str">
        <f t="shared" si="11"/>
        <v/>
      </c>
    </row>
    <row r="380" spans="1:9" x14ac:dyDescent="0.45">
      <c r="A380">
        <v>377</v>
      </c>
      <c r="B380" s="8"/>
      <c r="C380" s="5"/>
      <c r="D380" s="5"/>
      <c r="E380" s="5"/>
      <c r="F380" s="6"/>
      <c r="G380" s="9" t="str">
        <f t="shared" si="10"/>
        <v/>
      </c>
      <c r="H380" s="6"/>
      <c r="I380" s="9" t="str">
        <f t="shared" si="11"/>
        <v/>
      </c>
    </row>
    <row r="381" spans="1:9" x14ac:dyDescent="0.45">
      <c r="A381">
        <v>378</v>
      </c>
      <c r="B381" s="8"/>
      <c r="C381" s="5"/>
      <c r="D381" s="5"/>
      <c r="E381" s="5"/>
      <c r="F381" s="6"/>
      <c r="G381" s="9" t="str">
        <f t="shared" si="10"/>
        <v/>
      </c>
      <c r="H381" s="6"/>
      <c r="I381" s="9" t="str">
        <f t="shared" si="11"/>
        <v/>
      </c>
    </row>
    <row r="382" spans="1:9" x14ac:dyDescent="0.45">
      <c r="A382">
        <v>379</v>
      </c>
      <c r="B382" s="8"/>
      <c r="C382" s="5"/>
      <c r="D382" s="5"/>
      <c r="E382" s="5"/>
      <c r="F382" s="6"/>
      <c r="G382" s="9" t="str">
        <f t="shared" si="10"/>
        <v/>
      </c>
      <c r="H382" s="6"/>
      <c r="I382" s="9" t="str">
        <f t="shared" si="11"/>
        <v/>
      </c>
    </row>
    <row r="383" spans="1:9" x14ac:dyDescent="0.45">
      <c r="A383">
        <v>380</v>
      </c>
      <c r="B383" s="8"/>
      <c r="C383" s="5"/>
      <c r="D383" s="5"/>
      <c r="E383" s="5"/>
      <c r="F383" s="6"/>
      <c r="G383" s="9" t="str">
        <f t="shared" si="10"/>
        <v/>
      </c>
      <c r="H383" s="6"/>
      <c r="I383" s="9" t="str">
        <f t="shared" si="11"/>
        <v/>
      </c>
    </row>
    <row r="384" spans="1:9" x14ac:dyDescent="0.45">
      <c r="A384">
        <v>381</v>
      </c>
      <c r="B384" s="8"/>
      <c r="C384" s="5"/>
      <c r="D384" s="5"/>
      <c r="E384" s="5"/>
      <c r="F384" s="6"/>
      <c r="G384" s="9" t="str">
        <f t="shared" si="10"/>
        <v/>
      </c>
      <c r="H384" s="6"/>
      <c r="I384" s="9" t="str">
        <f t="shared" si="11"/>
        <v/>
      </c>
    </row>
    <row r="385" spans="1:9" x14ac:dyDescent="0.45">
      <c r="A385">
        <v>382</v>
      </c>
      <c r="B385" s="8"/>
      <c r="C385" s="5"/>
      <c r="D385" s="5"/>
      <c r="E385" s="5"/>
      <c r="F385" s="6"/>
      <c r="G385" s="9" t="str">
        <f t="shared" si="10"/>
        <v/>
      </c>
      <c r="H385" s="6"/>
      <c r="I385" s="9" t="str">
        <f t="shared" si="11"/>
        <v/>
      </c>
    </row>
    <row r="386" spans="1:9" x14ac:dyDescent="0.45">
      <c r="A386">
        <v>383</v>
      </c>
      <c r="B386" s="8"/>
      <c r="C386" s="5"/>
      <c r="D386" s="5"/>
      <c r="E386" s="5"/>
      <c r="F386" s="6"/>
      <c r="G386" s="9" t="str">
        <f t="shared" si="10"/>
        <v/>
      </c>
      <c r="H386" s="6"/>
      <c r="I386" s="9" t="str">
        <f t="shared" si="11"/>
        <v/>
      </c>
    </row>
    <row r="387" spans="1:9" x14ac:dyDescent="0.45">
      <c r="A387">
        <v>384</v>
      </c>
      <c r="B387" s="8"/>
      <c r="C387" s="5"/>
      <c r="D387" s="5"/>
      <c r="E387" s="5"/>
      <c r="F387" s="6"/>
      <c r="G387" s="9" t="str">
        <f t="shared" si="10"/>
        <v/>
      </c>
      <c r="H387" s="6"/>
      <c r="I387" s="9" t="str">
        <f t="shared" si="11"/>
        <v/>
      </c>
    </row>
    <row r="388" spans="1:9" x14ac:dyDescent="0.45">
      <c r="A388">
        <v>385</v>
      </c>
      <c r="B388" s="8"/>
      <c r="C388" s="5"/>
      <c r="D388" s="5"/>
      <c r="E388" s="5"/>
      <c r="F388" s="6"/>
      <c r="G388" s="9" t="str">
        <f t="shared" ref="G388:G451" si="12">IF(E388="","",E388*F388)</f>
        <v/>
      </c>
      <c r="H388" s="6"/>
      <c r="I388" s="9" t="str">
        <f t="shared" ref="I388:I451" si="13">IF(G388="","",G388-IF(H388="",0,H388))</f>
        <v/>
      </c>
    </row>
    <row r="389" spans="1:9" x14ac:dyDescent="0.45">
      <c r="A389">
        <v>386</v>
      </c>
      <c r="B389" s="8"/>
      <c r="C389" s="5"/>
      <c r="D389" s="5"/>
      <c r="E389" s="5"/>
      <c r="F389" s="6"/>
      <c r="G389" s="9" t="str">
        <f t="shared" si="12"/>
        <v/>
      </c>
      <c r="H389" s="6"/>
      <c r="I389" s="9" t="str">
        <f t="shared" si="13"/>
        <v/>
      </c>
    </row>
    <row r="390" spans="1:9" x14ac:dyDescent="0.45">
      <c r="A390">
        <v>387</v>
      </c>
      <c r="B390" s="8"/>
      <c r="C390" s="5"/>
      <c r="D390" s="5"/>
      <c r="E390" s="5"/>
      <c r="F390" s="6"/>
      <c r="G390" s="9" t="str">
        <f t="shared" si="12"/>
        <v/>
      </c>
      <c r="H390" s="6"/>
      <c r="I390" s="9" t="str">
        <f t="shared" si="13"/>
        <v/>
      </c>
    </row>
    <row r="391" spans="1:9" x14ac:dyDescent="0.45">
      <c r="A391">
        <v>388</v>
      </c>
      <c r="B391" s="8"/>
      <c r="C391" s="5"/>
      <c r="D391" s="5"/>
      <c r="E391" s="5"/>
      <c r="F391" s="6"/>
      <c r="G391" s="9" t="str">
        <f t="shared" si="12"/>
        <v/>
      </c>
      <c r="H391" s="6"/>
      <c r="I391" s="9" t="str">
        <f t="shared" si="13"/>
        <v/>
      </c>
    </row>
    <row r="392" spans="1:9" x14ac:dyDescent="0.45">
      <c r="A392">
        <v>389</v>
      </c>
      <c r="B392" s="8"/>
      <c r="C392" s="5"/>
      <c r="D392" s="5"/>
      <c r="E392" s="5"/>
      <c r="F392" s="6"/>
      <c r="G392" s="9" t="str">
        <f t="shared" si="12"/>
        <v/>
      </c>
      <c r="H392" s="6"/>
      <c r="I392" s="9" t="str">
        <f t="shared" si="13"/>
        <v/>
      </c>
    </row>
    <row r="393" spans="1:9" x14ac:dyDescent="0.45">
      <c r="A393">
        <v>390</v>
      </c>
      <c r="B393" s="8"/>
      <c r="C393" s="5"/>
      <c r="D393" s="5"/>
      <c r="E393" s="5"/>
      <c r="F393" s="6"/>
      <c r="G393" s="9" t="str">
        <f t="shared" si="12"/>
        <v/>
      </c>
      <c r="H393" s="6"/>
      <c r="I393" s="9" t="str">
        <f t="shared" si="13"/>
        <v/>
      </c>
    </row>
    <row r="394" spans="1:9" x14ac:dyDescent="0.45">
      <c r="A394">
        <v>391</v>
      </c>
      <c r="B394" s="8"/>
      <c r="C394" s="5"/>
      <c r="D394" s="5"/>
      <c r="E394" s="5"/>
      <c r="F394" s="6"/>
      <c r="G394" s="9" t="str">
        <f t="shared" si="12"/>
        <v/>
      </c>
      <c r="H394" s="6"/>
      <c r="I394" s="9" t="str">
        <f t="shared" si="13"/>
        <v/>
      </c>
    </row>
    <row r="395" spans="1:9" x14ac:dyDescent="0.45">
      <c r="A395">
        <v>392</v>
      </c>
      <c r="B395" s="8"/>
      <c r="C395" s="5"/>
      <c r="D395" s="5"/>
      <c r="E395" s="5"/>
      <c r="F395" s="6"/>
      <c r="G395" s="9" t="str">
        <f t="shared" si="12"/>
        <v/>
      </c>
      <c r="H395" s="6"/>
      <c r="I395" s="9" t="str">
        <f t="shared" si="13"/>
        <v/>
      </c>
    </row>
    <row r="396" spans="1:9" x14ac:dyDescent="0.45">
      <c r="A396">
        <v>393</v>
      </c>
      <c r="B396" s="8"/>
      <c r="C396" s="5"/>
      <c r="D396" s="5"/>
      <c r="E396" s="5"/>
      <c r="F396" s="6"/>
      <c r="G396" s="9" t="str">
        <f t="shared" si="12"/>
        <v/>
      </c>
      <c r="H396" s="6"/>
      <c r="I396" s="9" t="str">
        <f t="shared" si="13"/>
        <v/>
      </c>
    </row>
    <row r="397" spans="1:9" x14ac:dyDescent="0.45">
      <c r="A397">
        <v>394</v>
      </c>
      <c r="B397" s="8"/>
      <c r="C397" s="5"/>
      <c r="D397" s="5"/>
      <c r="E397" s="5"/>
      <c r="F397" s="6"/>
      <c r="G397" s="9" t="str">
        <f t="shared" si="12"/>
        <v/>
      </c>
      <c r="H397" s="6"/>
      <c r="I397" s="9" t="str">
        <f t="shared" si="13"/>
        <v/>
      </c>
    </row>
    <row r="398" spans="1:9" x14ac:dyDescent="0.45">
      <c r="A398">
        <v>395</v>
      </c>
      <c r="B398" s="8"/>
      <c r="C398" s="5"/>
      <c r="D398" s="5"/>
      <c r="E398" s="5"/>
      <c r="F398" s="6"/>
      <c r="G398" s="9" t="str">
        <f t="shared" si="12"/>
        <v/>
      </c>
      <c r="H398" s="6"/>
      <c r="I398" s="9" t="str">
        <f t="shared" si="13"/>
        <v/>
      </c>
    </row>
    <row r="399" spans="1:9" x14ac:dyDescent="0.45">
      <c r="A399">
        <v>396</v>
      </c>
      <c r="B399" s="8"/>
      <c r="C399" s="5"/>
      <c r="D399" s="5"/>
      <c r="E399" s="5"/>
      <c r="F399" s="6"/>
      <c r="G399" s="9" t="str">
        <f t="shared" si="12"/>
        <v/>
      </c>
      <c r="H399" s="6"/>
      <c r="I399" s="9" t="str">
        <f t="shared" si="13"/>
        <v/>
      </c>
    </row>
    <row r="400" spans="1:9" x14ac:dyDescent="0.45">
      <c r="A400">
        <v>397</v>
      </c>
      <c r="B400" s="8"/>
      <c r="C400" s="5"/>
      <c r="D400" s="5"/>
      <c r="E400" s="5"/>
      <c r="F400" s="6"/>
      <c r="G400" s="9" t="str">
        <f t="shared" si="12"/>
        <v/>
      </c>
      <c r="H400" s="6"/>
      <c r="I400" s="9" t="str">
        <f t="shared" si="13"/>
        <v/>
      </c>
    </row>
    <row r="401" spans="1:9" x14ac:dyDescent="0.45">
      <c r="A401">
        <v>398</v>
      </c>
      <c r="B401" s="8"/>
      <c r="C401" s="5"/>
      <c r="D401" s="5"/>
      <c r="E401" s="5"/>
      <c r="F401" s="6"/>
      <c r="G401" s="9" t="str">
        <f t="shared" si="12"/>
        <v/>
      </c>
      <c r="H401" s="6"/>
      <c r="I401" s="9" t="str">
        <f t="shared" si="13"/>
        <v/>
      </c>
    </row>
    <row r="402" spans="1:9" x14ac:dyDescent="0.45">
      <c r="A402">
        <v>399</v>
      </c>
      <c r="B402" s="8"/>
      <c r="C402" s="5"/>
      <c r="D402" s="5"/>
      <c r="E402" s="5"/>
      <c r="F402" s="6"/>
      <c r="G402" s="9" t="str">
        <f t="shared" si="12"/>
        <v/>
      </c>
      <c r="H402" s="6"/>
      <c r="I402" s="9" t="str">
        <f t="shared" si="13"/>
        <v/>
      </c>
    </row>
    <row r="403" spans="1:9" x14ac:dyDescent="0.45">
      <c r="A403">
        <v>400</v>
      </c>
      <c r="B403" s="8"/>
      <c r="C403" s="5"/>
      <c r="D403" s="5"/>
      <c r="E403" s="5"/>
      <c r="F403" s="6"/>
      <c r="G403" s="9" t="str">
        <f t="shared" si="12"/>
        <v/>
      </c>
      <c r="H403" s="6"/>
      <c r="I403" s="9" t="str">
        <f t="shared" si="13"/>
        <v/>
      </c>
    </row>
    <row r="404" spans="1:9" x14ac:dyDescent="0.45">
      <c r="A404">
        <v>401</v>
      </c>
      <c r="B404" s="8"/>
      <c r="C404" s="5"/>
      <c r="D404" s="5"/>
      <c r="E404" s="5"/>
      <c r="F404" s="6"/>
      <c r="G404" s="9" t="str">
        <f t="shared" si="12"/>
        <v/>
      </c>
      <c r="H404" s="6"/>
      <c r="I404" s="9" t="str">
        <f t="shared" si="13"/>
        <v/>
      </c>
    </row>
    <row r="405" spans="1:9" x14ac:dyDescent="0.45">
      <c r="A405">
        <v>402</v>
      </c>
      <c r="B405" s="8"/>
      <c r="C405" s="5"/>
      <c r="D405" s="5"/>
      <c r="E405" s="5"/>
      <c r="F405" s="6"/>
      <c r="G405" s="9" t="str">
        <f t="shared" si="12"/>
        <v/>
      </c>
      <c r="H405" s="6"/>
      <c r="I405" s="9" t="str">
        <f t="shared" si="13"/>
        <v/>
      </c>
    </row>
    <row r="406" spans="1:9" x14ac:dyDescent="0.45">
      <c r="A406">
        <v>403</v>
      </c>
      <c r="B406" s="8"/>
      <c r="C406" s="5"/>
      <c r="D406" s="5"/>
      <c r="E406" s="5"/>
      <c r="F406" s="6"/>
      <c r="G406" s="9" t="str">
        <f t="shared" si="12"/>
        <v/>
      </c>
      <c r="H406" s="6"/>
      <c r="I406" s="9" t="str">
        <f t="shared" si="13"/>
        <v/>
      </c>
    </row>
    <row r="407" spans="1:9" x14ac:dyDescent="0.45">
      <c r="A407">
        <v>404</v>
      </c>
      <c r="B407" s="8"/>
      <c r="C407" s="5"/>
      <c r="D407" s="5"/>
      <c r="E407" s="5"/>
      <c r="F407" s="6"/>
      <c r="G407" s="9" t="str">
        <f t="shared" si="12"/>
        <v/>
      </c>
      <c r="H407" s="6"/>
      <c r="I407" s="9" t="str">
        <f t="shared" si="13"/>
        <v/>
      </c>
    </row>
    <row r="408" spans="1:9" x14ac:dyDescent="0.45">
      <c r="A408">
        <v>405</v>
      </c>
      <c r="B408" s="8"/>
      <c r="C408" s="5"/>
      <c r="D408" s="5"/>
      <c r="E408" s="5"/>
      <c r="F408" s="6"/>
      <c r="G408" s="9" t="str">
        <f t="shared" si="12"/>
        <v/>
      </c>
      <c r="H408" s="6"/>
      <c r="I408" s="9" t="str">
        <f t="shared" si="13"/>
        <v/>
      </c>
    </row>
    <row r="409" spans="1:9" x14ac:dyDescent="0.45">
      <c r="A409">
        <v>406</v>
      </c>
      <c r="B409" s="8"/>
      <c r="C409" s="5"/>
      <c r="D409" s="5"/>
      <c r="E409" s="5"/>
      <c r="F409" s="6"/>
      <c r="G409" s="9" t="str">
        <f t="shared" si="12"/>
        <v/>
      </c>
      <c r="H409" s="6"/>
      <c r="I409" s="9" t="str">
        <f t="shared" si="13"/>
        <v/>
      </c>
    </row>
    <row r="410" spans="1:9" x14ac:dyDescent="0.45">
      <c r="A410">
        <v>407</v>
      </c>
      <c r="B410" s="8"/>
      <c r="C410" s="5"/>
      <c r="D410" s="5"/>
      <c r="E410" s="5"/>
      <c r="F410" s="6"/>
      <c r="G410" s="9" t="str">
        <f t="shared" si="12"/>
        <v/>
      </c>
      <c r="H410" s="6"/>
      <c r="I410" s="9" t="str">
        <f t="shared" si="13"/>
        <v/>
      </c>
    </row>
    <row r="411" spans="1:9" x14ac:dyDescent="0.45">
      <c r="A411">
        <v>408</v>
      </c>
      <c r="B411" s="8"/>
      <c r="C411" s="5"/>
      <c r="D411" s="5"/>
      <c r="E411" s="5"/>
      <c r="F411" s="6"/>
      <c r="G411" s="9" t="str">
        <f t="shared" si="12"/>
        <v/>
      </c>
      <c r="H411" s="6"/>
      <c r="I411" s="9" t="str">
        <f t="shared" si="13"/>
        <v/>
      </c>
    </row>
    <row r="412" spans="1:9" x14ac:dyDescent="0.45">
      <c r="A412">
        <v>409</v>
      </c>
      <c r="B412" s="8"/>
      <c r="C412" s="5"/>
      <c r="D412" s="5"/>
      <c r="E412" s="5"/>
      <c r="F412" s="6"/>
      <c r="G412" s="9" t="str">
        <f t="shared" si="12"/>
        <v/>
      </c>
      <c r="H412" s="6"/>
      <c r="I412" s="9" t="str">
        <f t="shared" si="13"/>
        <v/>
      </c>
    </row>
    <row r="413" spans="1:9" x14ac:dyDescent="0.45">
      <c r="A413">
        <v>410</v>
      </c>
      <c r="B413" s="8"/>
      <c r="C413" s="5"/>
      <c r="D413" s="5"/>
      <c r="E413" s="5"/>
      <c r="F413" s="6"/>
      <c r="G413" s="9" t="str">
        <f t="shared" si="12"/>
        <v/>
      </c>
      <c r="H413" s="6"/>
      <c r="I413" s="9" t="str">
        <f t="shared" si="13"/>
        <v/>
      </c>
    </row>
    <row r="414" spans="1:9" x14ac:dyDescent="0.45">
      <c r="A414">
        <v>411</v>
      </c>
      <c r="B414" s="8"/>
      <c r="C414" s="5"/>
      <c r="D414" s="5"/>
      <c r="E414" s="5"/>
      <c r="F414" s="6"/>
      <c r="G414" s="9" t="str">
        <f t="shared" si="12"/>
        <v/>
      </c>
      <c r="H414" s="6"/>
      <c r="I414" s="9" t="str">
        <f t="shared" si="13"/>
        <v/>
      </c>
    </row>
    <row r="415" spans="1:9" x14ac:dyDescent="0.45">
      <c r="A415">
        <v>412</v>
      </c>
      <c r="B415" s="8"/>
      <c r="C415" s="5"/>
      <c r="D415" s="5"/>
      <c r="E415" s="5"/>
      <c r="F415" s="6"/>
      <c r="G415" s="9" t="str">
        <f t="shared" si="12"/>
        <v/>
      </c>
      <c r="H415" s="6"/>
      <c r="I415" s="9" t="str">
        <f t="shared" si="13"/>
        <v/>
      </c>
    </row>
    <row r="416" spans="1:9" x14ac:dyDescent="0.45">
      <c r="A416">
        <v>413</v>
      </c>
      <c r="B416" s="8"/>
      <c r="C416" s="5"/>
      <c r="D416" s="5"/>
      <c r="E416" s="5"/>
      <c r="F416" s="6"/>
      <c r="G416" s="9" t="str">
        <f t="shared" si="12"/>
        <v/>
      </c>
      <c r="H416" s="6"/>
      <c r="I416" s="9" t="str">
        <f t="shared" si="13"/>
        <v/>
      </c>
    </row>
    <row r="417" spans="1:9" x14ac:dyDescent="0.45">
      <c r="A417">
        <v>414</v>
      </c>
      <c r="B417" s="8"/>
      <c r="C417" s="5"/>
      <c r="D417" s="5"/>
      <c r="E417" s="5"/>
      <c r="F417" s="6"/>
      <c r="G417" s="9" t="str">
        <f t="shared" si="12"/>
        <v/>
      </c>
      <c r="H417" s="6"/>
      <c r="I417" s="9" t="str">
        <f t="shared" si="13"/>
        <v/>
      </c>
    </row>
    <row r="418" spans="1:9" x14ac:dyDescent="0.45">
      <c r="A418">
        <v>415</v>
      </c>
      <c r="B418" s="8"/>
      <c r="C418" s="5"/>
      <c r="D418" s="5"/>
      <c r="E418" s="5"/>
      <c r="F418" s="6"/>
      <c r="G418" s="9" t="str">
        <f t="shared" si="12"/>
        <v/>
      </c>
      <c r="H418" s="6"/>
      <c r="I418" s="9" t="str">
        <f t="shared" si="13"/>
        <v/>
      </c>
    </row>
    <row r="419" spans="1:9" x14ac:dyDescent="0.45">
      <c r="A419">
        <v>416</v>
      </c>
      <c r="B419" s="8"/>
      <c r="C419" s="5"/>
      <c r="D419" s="5"/>
      <c r="E419" s="5"/>
      <c r="F419" s="6"/>
      <c r="G419" s="9" t="str">
        <f t="shared" si="12"/>
        <v/>
      </c>
      <c r="H419" s="6"/>
      <c r="I419" s="9" t="str">
        <f t="shared" si="13"/>
        <v/>
      </c>
    </row>
    <row r="420" spans="1:9" x14ac:dyDescent="0.45">
      <c r="A420">
        <v>417</v>
      </c>
      <c r="B420" s="8"/>
      <c r="C420" s="5"/>
      <c r="D420" s="5"/>
      <c r="E420" s="5"/>
      <c r="F420" s="6"/>
      <c r="G420" s="9" t="str">
        <f t="shared" si="12"/>
        <v/>
      </c>
      <c r="H420" s="6"/>
      <c r="I420" s="9" t="str">
        <f t="shared" si="13"/>
        <v/>
      </c>
    </row>
    <row r="421" spans="1:9" x14ac:dyDescent="0.45">
      <c r="A421">
        <v>418</v>
      </c>
      <c r="B421" s="8"/>
      <c r="C421" s="5"/>
      <c r="D421" s="5"/>
      <c r="E421" s="5"/>
      <c r="F421" s="6"/>
      <c r="G421" s="9" t="str">
        <f t="shared" si="12"/>
        <v/>
      </c>
      <c r="H421" s="6"/>
      <c r="I421" s="9" t="str">
        <f t="shared" si="13"/>
        <v/>
      </c>
    </row>
    <row r="422" spans="1:9" x14ac:dyDescent="0.45">
      <c r="A422">
        <v>419</v>
      </c>
      <c r="B422" s="8"/>
      <c r="C422" s="5"/>
      <c r="D422" s="5"/>
      <c r="E422" s="5"/>
      <c r="F422" s="6"/>
      <c r="G422" s="9" t="str">
        <f t="shared" si="12"/>
        <v/>
      </c>
      <c r="H422" s="6"/>
      <c r="I422" s="9" t="str">
        <f t="shared" si="13"/>
        <v/>
      </c>
    </row>
    <row r="423" spans="1:9" x14ac:dyDescent="0.45">
      <c r="A423">
        <v>420</v>
      </c>
      <c r="B423" s="8"/>
      <c r="C423" s="5"/>
      <c r="D423" s="5"/>
      <c r="E423" s="5"/>
      <c r="F423" s="6"/>
      <c r="G423" s="9" t="str">
        <f t="shared" si="12"/>
        <v/>
      </c>
      <c r="H423" s="6"/>
      <c r="I423" s="9" t="str">
        <f t="shared" si="13"/>
        <v/>
      </c>
    </row>
    <row r="424" spans="1:9" x14ac:dyDescent="0.45">
      <c r="A424">
        <v>421</v>
      </c>
      <c r="B424" s="8"/>
      <c r="C424" s="5"/>
      <c r="D424" s="5"/>
      <c r="E424" s="5"/>
      <c r="F424" s="6"/>
      <c r="G424" s="9" t="str">
        <f t="shared" si="12"/>
        <v/>
      </c>
      <c r="H424" s="6"/>
      <c r="I424" s="9" t="str">
        <f t="shared" si="13"/>
        <v/>
      </c>
    </row>
    <row r="425" spans="1:9" x14ac:dyDescent="0.45">
      <c r="A425">
        <v>422</v>
      </c>
      <c r="B425" s="8"/>
      <c r="C425" s="5"/>
      <c r="D425" s="5"/>
      <c r="E425" s="5"/>
      <c r="F425" s="6"/>
      <c r="G425" s="9" t="str">
        <f t="shared" si="12"/>
        <v/>
      </c>
      <c r="H425" s="6"/>
      <c r="I425" s="9" t="str">
        <f t="shared" si="13"/>
        <v/>
      </c>
    </row>
    <row r="426" spans="1:9" x14ac:dyDescent="0.45">
      <c r="A426">
        <v>423</v>
      </c>
      <c r="B426" s="8"/>
      <c r="C426" s="5"/>
      <c r="D426" s="5"/>
      <c r="E426" s="5"/>
      <c r="F426" s="6"/>
      <c r="G426" s="9" t="str">
        <f t="shared" si="12"/>
        <v/>
      </c>
      <c r="H426" s="6"/>
      <c r="I426" s="9" t="str">
        <f t="shared" si="13"/>
        <v/>
      </c>
    </row>
    <row r="427" spans="1:9" x14ac:dyDescent="0.45">
      <c r="A427">
        <v>424</v>
      </c>
      <c r="B427" s="8"/>
      <c r="C427" s="5"/>
      <c r="D427" s="5"/>
      <c r="E427" s="5"/>
      <c r="F427" s="6"/>
      <c r="G427" s="9" t="str">
        <f t="shared" si="12"/>
        <v/>
      </c>
      <c r="H427" s="6"/>
      <c r="I427" s="9" t="str">
        <f t="shared" si="13"/>
        <v/>
      </c>
    </row>
    <row r="428" spans="1:9" x14ac:dyDescent="0.45">
      <c r="A428">
        <v>425</v>
      </c>
      <c r="B428" s="8"/>
      <c r="C428" s="5"/>
      <c r="D428" s="5"/>
      <c r="E428" s="5"/>
      <c r="F428" s="6"/>
      <c r="G428" s="9" t="str">
        <f t="shared" si="12"/>
        <v/>
      </c>
      <c r="H428" s="6"/>
      <c r="I428" s="9" t="str">
        <f t="shared" si="13"/>
        <v/>
      </c>
    </row>
    <row r="429" spans="1:9" x14ac:dyDescent="0.45">
      <c r="A429">
        <v>426</v>
      </c>
      <c r="B429" s="8"/>
      <c r="C429" s="5"/>
      <c r="D429" s="5"/>
      <c r="E429" s="5"/>
      <c r="F429" s="6"/>
      <c r="G429" s="9" t="str">
        <f t="shared" si="12"/>
        <v/>
      </c>
      <c r="H429" s="6"/>
      <c r="I429" s="9" t="str">
        <f t="shared" si="13"/>
        <v/>
      </c>
    </row>
    <row r="430" spans="1:9" x14ac:dyDescent="0.45">
      <c r="A430">
        <v>427</v>
      </c>
      <c r="B430" s="8"/>
      <c r="C430" s="5"/>
      <c r="D430" s="5"/>
      <c r="E430" s="5"/>
      <c r="F430" s="6"/>
      <c r="G430" s="9" t="str">
        <f t="shared" si="12"/>
        <v/>
      </c>
      <c r="H430" s="6"/>
      <c r="I430" s="9" t="str">
        <f t="shared" si="13"/>
        <v/>
      </c>
    </row>
    <row r="431" spans="1:9" x14ac:dyDescent="0.45">
      <c r="A431">
        <v>428</v>
      </c>
      <c r="B431" s="8"/>
      <c r="C431" s="5"/>
      <c r="D431" s="5"/>
      <c r="E431" s="5"/>
      <c r="F431" s="6"/>
      <c r="G431" s="9" t="str">
        <f t="shared" si="12"/>
        <v/>
      </c>
      <c r="H431" s="6"/>
      <c r="I431" s="9" t="str">
        <f t="shared" si="13"/>
        <v/>
      </c>
    </row>
    <row r="432" spans="1:9" x14ac:dyDescent="0.45">
      <c r="A432">
        <v>429</v>
      </c>
      <c r="B432" s="8"/>
      <c r="C432" s="5"/>
      <c r="D432" s="5"/>
      <c r="E432" s="5"/>
      <c r="F432" s="6"/>
      <c r="G432" s="9" t="str">
        <f t="shared" si="12"/>
        <v/>
      </c>
      <c r="H432" s="6"/>
      <c r="I432" s="9" t="str">
        <f t="shared" si="13"/>
        <v/>
      </c>
    </row>
    <row r="433" spans="1:9" x14ac:dyDescent="0.45">
      <c r="A433">
        <v>430</v>
      </c>
      <c r="B433" s="8"/>
      <c r="C433" s="5"/>
      <c r="D433" s="5"/>
      <c r="E433" s="5"/>
      <c r="F433" s="6"/>
      <c r="G433" s="9" t="str">
        <f t="shared" si="12"/>
        <v/>
      </c>
      <c r="H433" s="6"/>
      <c r="I433" s="9" t="str">
        <f t="shared" si="13"/>
        <v/>
      </c>
    </row>
    <row r="434" spans="1:9" x14ac:dyDescent="0.45">
      <c r="A434">
        <v>431</v>
      </c>
      <c r="B434" s="8"/>
      <c r="C434" s="5"/>
      <c r="D434" s="5"/>
      <c r="E434" s="5"/>
      <c r="F434" s="6"/>
      <c r="G434" s="9" t="str">
        <f t="shared" si="12"/>
        <v/>
      </c>
      <c r="H434" s="6"/>
      <c r="I434" s="9" t="str">
        <f t="shared" si="13"/>
        <v/>
      </c>
    </row>
    <row r="435" spans="1:9" x14ac:dyDescent="0.45">
      <c r="A435">
        <v>432</v>
      </c>
      <c r="B435" s="8"/>
      <c r="C435" s="5"/>
      <c r="D435" s="5"/>
      <c r="E435" s="5"/>
      <c r="F435" s="6"/>
      <c r="G435" s="9" t="str">
        <f t="shared" si="12"/>
        <v/>
      </c>
      <c r="H435" s="6"/>
      <c r="I435" s="9" t="str">
        <f t="shared" si="13"/>
        <v/>
      </c>
    </row>
    <row r="436" spans="1:9" x14ac:dyDescent="0.45">
      <c r="A436">
        <v>433</v>
      </c>
      <c r="B436" s="8"/>
      <c r="C436" s="5"/>
      <c r="D436" s="5"/>
      <c r="E436" s="5"/>
      <c r="F436" s="6"/>
      <c r="G436" s="9" t="str">
        <f t="shared" si="12"/>
        <v/>
      </c>
      <c r="H436" s="6"/>
      <c r="I436" s="9" t="str">
        <f t="shared" si="13"/>
        <v/>
      </c>
    </row>
    <row r="437" spans="1:9" x14ac:dyDescent="0.45">
      <c r="A437">
        <v>434</v>
      </c>
      <c r="B437" s="8"/>
      <c r="C437" s="5"/>
      <c r="D437" s="5"/>
      <c r="E437" s="5"/>
      <c r="F437" s="6"/>
      <c r="G437" s="9" t="str">
        <f t="shared" si="12"/>
        <v/>
      </c>
      <c r="H437" s="6"/>
      <c r="I437" s="9" t="str">
        <f t="shared" si="13"/>
        <v/>
      </c>
    </row>
    <row r="438" spans="1:9" x14ac:dyDescent="0.45">
      <c r="A438">
        <v>435</v>
      </c>
      <c r="B438" s="8"/>
      <c r="C438" s="5"/>
      <c r="D438" s="5"/>
      <c r="E438" s="5"/>
      <c r="F438" s="6"/>
      <c r="G438" s="9" t="str">
        <f t="shared" si="12"/>
        <v/>
      </c>
      <c r="H438" s="6"/>
      <c r="I438" s="9" t="str">
        <f t="shared" si="13"/>
        <v/>
      </c>
    </row>
    <row r="439" spans="1:9" x14ac:dyDescent="0.45">
      <c r="A439">
        <v>436</v>
      </c>
      <c r="B439" s="8"/>
      <c r="C439" s="5"/>
      <c r="D439" s="5"/>
      <c r="E439" s="5"/>
      <c r="F439" s="6"/>
      <c r="G439" s="9" t="str">
        <f t="shared" si="12"/>
        <v/>
      </c>
      <c r="H439" s="6"/>
      <c r="I439" s="9" t="str">
        <f t="shared" si="13"/>
        <v/>
      </c>
    </row>
    <row r="440" spans="1:9" x14ac:dyDescent="0.45">
      <c r="A440">
        <v>437</v>
      </c>
      <c r="B440" s="8"/>
      <c r="C440" s="5"/>
      <c r="D440" s="5"/>
      <c r="E440" s="5"/>
      <c r="F440" s="6"/>
      <c r="G440" s="9" t="str">
        <f t="shared" si="12"/>
        <v/>
      </c>
      <c r="H440" s="6"/>
      <c r="I440" s="9" t="str">
        <f t="shared" si="13"/>
        <v/>
      </c>
    </row>
    <row r="441" spans="1:9" x14ac:dyDescent="0.45">
      <c r="A441">
        <v>438</v>
      </c>
      <c r="B441" s="8"/>
      <c r="C441" s="5"/>
      <c r="D441" s="5"/>
      <c r="E441" s="5"/>
      <c r="F441" s="6"/>
      <c r="G441" s="9" t="str">
        <f t="shared" si="12"/>
        <v/>
      </c>
      <c r="H441" s="6"/>
      <c r="I441" s="9" t="str">
        <f t="shared" si="13"/>
        <v/>
      </c>
    </row>
    <row r="442" spans="1:9" x14ac:dyDescent="0.45">
      <c r="A442">
        <v>439</v>
      </c>
      <c r="B442" s="8"/>
      <c r="C442" s="5"/>
      <c r="D442" s="5"/>
      <c r="E442" s="5"/>
      <c r="F442" s="6"/>
      <c r="G442" s="9" t="str">
        <f t="shared" si="12"/>
        <v/>
      </c>
      <c r="H442" s="6"/>
      <c r="I442" s="9" t="str">
        <f t="shared" si="13"/>
        <v/>
      </c>
    </row>
    <row r="443" spans="1:9" x14ac:dyDescent="0.45">
      <c r="A443">
        <v>440</v>
      </c>
      <c r="B443" s="8"/>
      <c r="C443" s="5"/>
      <c r="D443" s="5"/>
      <c r="E443" s="5"/>
      <c r="F443" s="6"/>
      <c r="G443" s="9" t="str">
        <f t="shared" si="12"/>
        <v/>
      </c>
      <c r="H443" s="6"/>
      <c r="I443" s="9" t="str">
        <f t="shared" si="13"/>
        <v/>
      </c>
    </row>
    <row r="444" spans="1:9" x14ac:dyDescent="0.45">
      <c r="A444">
        <v>441</v>
      </c>
      <c r="B444" s="8"/>
      <c r="C444" s="5"/>
      <c r="D444" s="5"/>
      <c r="E444" s="5"/>
      <c r="F444" s="6"/>
      <c r="G444" s="9" t="str">
        <f t="shared" si="12"/>
        <v/>
      </c>
      <c r="H444" s="6"/>
      <c r="I444" s="9" t="str">
        <f t="shared" si="13"/>
        <v/>
      </c>
    </row>
    <row r="445" spans="1:9" x14ac:dyDescent="0.45">
      <c r="A445">
        <v>442</v>
      </c>
      <c r="B445" s="8"/>
      <c r="C445" s="5"/>
      <c r="D445" s="5"/>
      <c r="E445" s="5"/>
      <c r="F445" s="6"/>
      <c r="G445" s="9" t="str">
        <f t="shared" si="12"/>
        <v/>
      </c>
      <c r="H445" s="6"/>
      <c r="I445" s="9" t="str">
        <f t="shared" si="13"/>
        <v/>
      </c>
    </row>
    <row r="446" spans="1:9" x14ac:dyDescent="0.45">
      <c r="A446">
        <v>443</v>
      </c>
      <c r="B446" s="8"/>
      <c r="C446" s="5"/>
      <c r="D446" s="5"/>
      <c r="E446" s="5"/>
      <c r="F446" s="6"/>
      <c r="G446" s="9" t="str">
        <f t="shared" si="12"/>
        <v/>
      </c>
      <c r="H446" s="6"/>
      <c r="I446" s="9" t="str">
        <f t="shared" si="13"/>
        <v/>
      </c>
    </row>
    <row r="447" spans="1:9" x14ac:dyDescent="0.45">
      <c r="A447">
        <v>444</v>
      </c>
      <c r="B447" s="8"/>
      <c r="C447" s="5"/>
      <c r="D447" s="5"/>
      <c r="E447" s="5"/>
      <c r="F447" s="6"/>
      <c r="G447" s="9" t="str">
        <f t="shared" si="12"/>
        <v/>
      </c>
      <c r="H447" s="6"/>
      <c r="I447" s="9" t="str">
        <f t="shared" si="13"/>
        <v/>
      </c>
    </row>
    <row r="448" spans="1:9" x14ac:dyDescent="0.45">
      <c r="A448">
        <v>445</v>
      </c>
      <c r="B448" s="8"/>
      <c r="C448" s="5"/>
      <c r="D448" s="5"/>
      <c r="E448" s="5"/>
      <c r="F448" s="6"/>
      <c r="G448" s="9" t="str">
        <f t="shared" si="12"/>
        <v/>
      </c>
      <c r="H448" s="6"/>
      <c r="I448" s="9" t="str">
        <f t="shared" si="13"/>
        <v/>
      </c>
    </row>
    <row r="449" spans="1:9" x14ac:dyDescent="0.45">
      <c r="A449">
        <v>446</v>
      </c>
      <c r="B449" s="8"/>
      <c r="C449" s="5"/>
      <c r="D449" s="5"/>
      <c r="E449" s="5"/>
      <c r="F449" s="6"/>
      <c r="G449" s="9" t="str">
        <f t="shared" si="12"/>
        <v/>
      </c>
      <c r="H449" s="6"/>
      <c r="I449" s="9" t="str">
        <f t="shared" si="13"/>
        <v/>
      </c>
    </row>
    <row r="450" spans="1:9" x14ac:dyDescent="0.45">
      <c r="A450">
        <v>447</v>
      </c>
      <c r="B450" s="8"/>
      <c r="C450" s="5"/>
      <c r="D450" s="5"/>
      <c r="E450" s="5"/>
      <c r="F450" s="6"/>
      <c r="G450" s="9" t="str">
        <f t="shared" si="12"/>
        <v/>
      </c>
      <c r="H450" s="6"/>
      <c r="I450" s="9" t="str">
        <f t="shared" si="13"/>
        <v/>
      </c>
    </row>
    <row r="451" spans="1:9" x14ac:dyDescent="0.45">
      <c r="A451">
        <v>448</v>
      </c>
      <c r="B451" s="8"/>
      <c r="C451" s="5"/>
      <c r="D451" s="5"/>
      <c r="E451" s="5"/>
      <c r="F451" s="6"/>
      <c r="G451" s="9" t="str">
        <f t="shared" si="12"/>
        <v/>
      </c>
      <c r="H451" s="6"/>
      <c r="I451" s="9" t="str">
        <f t="shared" si="13"/>
        <v/>
      </c>
    </row>
    <row r="452" spans="1:9" x14ac:dyDescent="0.45">
      <c r="A452">
        <v>449</v>
      </c>
      <c r="B452" s="8"/>
      <c r="C452" s="5"/>
      <c r="D452" s="5"/>
      <c r="E452" s="5"/>
      <c r="F452" s="6"/>
      <c r="G452" s="9" t="str">
        <f t="shared" ref="G452:G503" si="14">IF(E452="","",E452*F452)</f>
        <v/>
      </c>
      <c r="H452" s="6"/>
      <c r="I452" s="9" t="str">
        <f t="shared" ref="I452:I503" si="15">IF(G452="","",G452-IF(H452="",0,H452))</f>
        <v/>
      </c>
    </row>
    <row r="453" spans="1:9" x14ac:dyDescent="0.45">
      <c r="A453">
        <v>450</v>
      </c>
      <c r="B453" s="8"/>
      <c r="C453" s="5"/>
      <c r="D453" s="5"/>
      <c r="E453" s="5"/>
      <c r="F453" s="6"/>
      <c r="G453" s="9" t="str">
        <f t="shared" si="14"/>
        <v/>
      </c>
      <c r="H453" s="6"/>
      <c r="I453" s="9" t="str">
        <f t="shared" si="15"/>
        <v/>
      </c>
    </row>
    <row r="454" spans="1:9" x14ac:dyDescent="0.45">
      <c r="A454">
        <v>451</v>
      </c>
      <c r="B454" s="8"/>
      <c r="C454" s="5"/>
      <c r="D454" s="5"/>
      <c r="E454" s="5"/>
      <c r="F454" s="6"/>
      <c r="G454" s="9" t="str">
        <f t="shared" si="14"/>
        <v/>
      </c>
      <c r="H454" s="6"/>
      <c r="I454" s="9" t="str">
        <f t="shared" si="15"/>
        <v/>
      </c>
    </row>
    <row r="455" spans="1:9" x14ac:dyDescent="0.45">
      <c r="A455">
        <v>452</v>
      </c>
      <c r="B455" s="8"/>
      <c r="C455" s="5"/>
      <c r="D455" s="5"/>
      <c r="E455" s="5"/>
      <c r="F455" s="6"/>
      <c r="G455" s="9" t="str">
        <f t="shared" si="14"/>
        <v/>
      </c>
      <c r="H455" s="6"/>
      <c r="I455" s="9" t="str">
        <f t="shared" si="15"/>
        <v/>
      </c>
    </row>
    <row r="456" spans="1:9" x14ac:dyDescent="0.45">
      <c r="A456">
        <v>453</v>
      </c>
      <c r="B456" s="8"/>
      <c r="C456" s="5"/>
      <c r="D456" s="5"/>
      <c r="E456" s="5"/>
      <c r="F456" s="6"/>
      <c r="G456" s="9" t="str">
        <f t="shared" si="14"/>
        <v/>
      </c>
      <c r="H456" s="6"/>
      <c r="I456" s="9" t="str">
        <f t="shared" si="15"/>
        <v/>
      </c>
    </row>
    <row r="457" spans="1:9" x14ac:dyDescent="0.45">
      <c r="A457">
        <v>454</v>
      </c>
      <c r="B457" s="8"/>
      <c r="C457" s="5"/>
      <c r="D457" s="5"/>
      <c r="E457" s="5"/>
      <c r="F457" s="6"/>
      <c r="G457" s="9" t="str">
        <f t="shared" si="14"/>
        <v/>
      </c>
      <c r="H457" s="6"/>
      <c r="I457" s="9" t="str">
        <f t="shared" si="15"/>
        <v/>
      </c>
    </row>
    <row r="458" spans="1:9" x14ac:dyDescent="0.45">
      <c r="A458">
        <v>455</v>
      </c>
      <c r="B458" s="8"/>
      <c r="C458" s="5"/>
      <c r="D458" s="5"/>
      <c r="E458" s="5"/>
      <c r="F458" s="6"/>
      <c r="G458" s="9" t="str">
        <f t="shared" si="14"/>
        <v/>
      </c>
      <c r="H458" s="6"/>
      <c r="I458" s="9" t="str">
        <f t="shared" si="15"/>
        <v/>
      </c>
    </row>
    <row r="459" spans="1:9" x14ac:dyDescent="0.45">
      <c r="A459">
        <v>456</v>
      </c>
      <c r="B459" s="8"/>
      <c r="C459" s="5"/>
      <c r="D459" s="5"/>
      <c r="E459" s="5"/>
      <c r="F459" s="6"/>
      <c r="G459" s="9" t="str">
        <f t="shared" si="14"/>
        <v/>
      </c>
      <c r="H459" s="6"/>
      <c r="I459" s="9" t="str">
        <f t="shared" si="15"/>
        <v/>
      </c>
    </row>
    <row r="460" spans="1:9" x14ac:dyDescent="0.45">
      <c r="A460">
        <v>457</v>
      </c>
      <c r="B460" s="8"/>
      <c r="C460" s="5"/>
      <c r="D460" s="5"/>
      <c r="E460" s="5"/>
      <c r="F460" s="6"/>
      <c r="G460" s="9" t="str">
        <f t="shared" si="14"/>
        <v/>
      </c>
      <c r="H460" s="6"/>
      <c r="I460" s="9" t="str">
        <f t="shared" si="15"/>
        <v/>
      </c>
    </row>
    <row r="461" spans="1:9" x14ac:dyDescent="0.45">
      <c r="A461">
        <v>458</v>
      </c>
      <c r="B461" s="8"/>
      <c r="C461" s="5"/>
      <c r="D461" s="5"/>
      <c r="E461" s="5"/>
      <c r="F461" s="6"/>
      <c r="G461" s="9" t="str">
        <f t="shared" si="14"/>
        <v/>
      </c>
      <c r="H461" s="6"/>
      <c r="I461" s="9" t="str">
        <f t="shared" si="15"/>
        <v/>
      </c>
    </row>
    <row r="462" spans="1:9" x14ac:dyDescent="0.45">
      <c r="A462">
        <v>459</v>
      </c>
      <c r="B462" s="8"/>
      <c r="C462" s="5"/>
      <c r="D462" s="5"/>
      <c r="E462" s="5"/>
      <c r="F462" s="6"/>
      <c r="G462" s="9" t="str">
        <f t="shared" si="14"/>
        <v/>
      </c>
      <c r="H462" s="6"/>
      <c r="I462" s="9" t="str">
        <f t="shared" si="15"/>
        <v/>
      </c>
    </row>
    <row r="463" spans="1:9" x14ac:dyDescent="0.45">
      <c r="A463">
        <v>460</v>
      </c>
      <c r="B463" s="8"/>
      <c r="C463" s="5"/>
      <c r="D463" s="5"/>
      <c r="E463" s="5"/>
      <c r="F463" s="6"/>
      <c r="G463" s="9" t="str">
        <f t="shared" si="14"/>
        <v/>
      </c>
      <c r="H463" s="6"/>
      <c r="I463" s="9" t="str">
        <f t="shared" si="15"/>
        <v/>
      </c>
    </row>
    <row r="464" spans="1:9" x14ac:dyDescent="0.45">
      <c r="A464">
        <v>461</v>
      </c>
      <c r="B464" s="8"/>
      <c r="C464" s="5"/>
      <c r="D464" s="5"/>
      <c r="E464" s="5"/>
      <c r="F464" s="6"/>
      <c r="G464" s="9" t="str">
        <f t="shared" si="14"/>
        <v/>
      </c>
      <c r="H464" s="6"/>
      <c r="I464" s="9" t="str">
        <f t="shared" si="15"/>
        <v/>
      </c>
    </row>
    <row r="465" spans="1:9" x14ac:dyDescent="0.45">
      <c r="A465">
        <v>462</v>
      </c>
      <c r="B465" s="8"/>
      <c r="C465" s="5"/>
      <c r="D465" s="5"/>
      <c r="E465" s="5"/>
      <c r="F465" s="6"/>
      <c r="G465" s="9" t="str">
        <f t="shared" si="14"/>
        <v/>
      </c>
      <c r="H465" s="6"/>
      <c r="I465" s="9" t="str">
        <f t="shared" si="15"/>
        <v/>
      </c>
    </row>
    <row r="466" spans="1:9" x14ac:dyDescent="0.45">
      <c r="A466">
        <v>463</v>
      </c>
      <c r="B466" s="8"/>
      <c r="C466" s="5"/>
      <c r="D466" s="5"/>
      <c r="E466" s="5"/>
      <c r="F466" s="6"/>
      <c r="G466" s="9" t="str">
        <f t="shared" si="14"/>
        <v/>
      </c>
      <c r="H466" s="6"/>
      <c r="I466" s="9" t="str">
        <f t="shared" si="15"/>
        <v/>
      </c>
    </row>
    <row r="467" spans="1:9" x14ac:dyDescent="0.45">
      <c r="A467">
        <v>464</v>
      </c>
      <c r="B467" s="8"/>
      <c r="C467" s="5"/>
      <c r="D467" s="5"/>
      <c r="E467" s="5"/>
      <c r="F467" s="6"/>
      <c r="G467" s="9" t="str">
        <f t="shared" si="14"/>
        <v/>
      </c>
      <c r="H467" s="6"/>
      <c r="I467" s="9" t="str">
        <f t="shared" si="15"/>
        <v/>
      </c>
    </row>
    <row r="468" spans="1:9" x14ac:dyDescent="0.45">
      <c r="A468">
        <v>465</v>
      </c>
      <c r="B468" s="8"/>
      <c r="C468" s="5"/>
      <c r="D468" s="5"/>
      <c r="E468" s="5"/>
      <c r="F468" s="6"/>
      <c r="G468" s="9" t="str">
        <f t="shared" si="14"/>
        <v/>
      </c>
      <c r="H468" s="6"/>
      <c r="I468" s="9" t="str">
        <f t="shared" si="15"/>
        <v/>
      </c>
    </row>
    <row r="469" spans="1:9" x14ac:dyDescent="0.45">
      <c r="A469">
        <v>466</v>
      </c>
      <c r="B469" s="8"/>
      <c r="C469" s="5"/>
      <c r="D469" s="5"/>
      <c r="E469" s="5"/>
      <c r="F469" s="6"/>
      <c r="G469" s="9" t="str">
        <f t="shared" si="14"/>
        <v/>
      </c>
      <c r="H469" s="6"/>
      <c r="I469" s="9" t="str">
        <f t="shared" si="15"/>
        <v/>
      </c>
    </row>
    <row r="470" spans="1:9" x14ac:dyDescent="0.45">
      <c r="A470">
        <v>467</v>
      </c>
      <c r="B470" s="8"/>
      <c r="C470" s="5"/>
      <c r="D470" s="5"/>
      <c r="E470" s="5"/>
      <c r="F470" s="6"/>
      <c r="G470" s="9" t="str">
        <f t="shared" si="14"/>
        <v/>
      </c>
      <c r="H470" s="6"/>
      <c r="I470" s="9" t="str">
        <f t="shared" si="15"/>
        <v/>
      </c>
    </row>
    <row r="471" spans="1:9" x14ac:dyDescent="0.45">
      <c r="A471">
        <v>468</v>
      </c>
      <c r="B471" s="8"/>
      <c r="C471" s="5"/>
      <c r="D471" s="5"/>
      <c r="E471" s="5"/>
      <c r="F471" s="6"/>
      <c r="G471" s="9" t="str">
        <f t="shared" si="14"/>
        <v/>
      </c>
      <c r="H471" s="6"/>
      <c r="I471" s="9" t="str">
        <f t="shared" si="15"/>
        <v/>
      </c>
    </row>
    <row r="472" spans="1:9" x14ac:dyDescent="0.45">
      <c r="A472">
        <v>469</v>
      </c>
      <c r="B472" s="8"/>
      <c r="C472" s="5"/>
      <c r="D472" s="5"/>
      <c r="E472" s="5"/>
      <c r="F472" s="6"/>
      <c r="G472" s="9" t="str">
        <f t="shared" si="14"/>
        <v/>
      </c>
      <c r="H472" s="6"/>
      <c r="I472" s="9" t="str">
        <f t="shared" si="15"/>
        <v/>
      </c>
    </row>
    <row r="473" spans="1:9" x14ac:dyDescent="0.45">
      <c r="A473">
        <v>470</v>
      </c>
      <c r="B473" s="8"/>
      <c r="C473" s="5"/>
      <c r="D473" s="5"/>
      <c r="E473" s="5"/>
      <c r="F473" s="6"/>
      <c r="G473" s="9" t="str">
        <f t="shared" si="14"/>
        <v/>
      </c>
      <c r="H473" s="6"/>
      <c r="I473" s="9" t="str">
        <f t="shared" si="15"/>
        <v/>
      </c>
    </row>
    <row r="474" spans="1:9" x14ac:dyDescent="0.45">
      <c r="A474">
        <v>471</v>
      </c>
      <c r="B474" s="8"/>
      <c r="C474" s="5"/>
      <c r="D474" s="5"/>
      <c r="E474" s="5"/>
      <c r="F474" s="6"/>
      <c r="G474" s="9" t="str">
        <f t="shared" si="14"/>
        <v/>
      </c>
      <c r="H474" s="6"/>
      <c r="I474" s="9" t="str">
        <f t="shared" si="15"/>
        <v/>
      </c>
    </row>
    <row r="475" spans="1:9" x14ac:dyDescent="0.45">
      <c r="A475">
        <v>472</v>
      </c>
      <c r="B475" s="8"/>
      <c r="C475" s="5"/>
      <c r="D475" s="5"/>
      <c r="E475" s="5"/>
      <c r="F475" s="6"/>
      <c r="G475" s="9" t="str">
        <f t="shared" si="14"/>
        <v/>
      </c>
      <c r="H475" s="6"/>
      <c r="I475" s="9" t="str">
        <f t="shared" si="15"/>
        <v/>
      </c>
    </row>
    <row r="476" spans="1:9" x14ac:dyDescent="0.45">
      <c r="A476">
        <v>473</v>
      </c>
      <c r="B476" s="8"/>
      <c r="C476" s="5"/>
      <c r="D476" s="5"/>
      <c r="E476" s="5"/>
      <c r="F476" s="6"/>
      <c r="G476" s="9" t="str">
        <f t="shared" si="14"/>
        <v/>
      </c>
      <c r="H476" s="6"/>
      <c r="I476" s="9" t="str">
        <f t="shared" si="15"/>
        <v/>
      </c>
    </row>
    <row r="477" spans="1:9" x14ac:dyDescent="0.45">
      <c r="A477">
        <v>474</v>
      </c>
      <c r="B477" s="8"/>
      <c r="C477" s="5"/>
      <c r="D477" s="5"/>
      <c r="E477" s="5"/>
      <c r="F477" s="6"/>
      <c r="G477" s="9" t="str">
        <f t="shared" si="14"/>
        <v/>
      </c>
      <c r="H477" s="6"/>
      <c r="I477" s="9" t="str">
        <f t="shared" si="15"/>
        <v/>
      </c>
    </row>
    <row r="478" spans="1:9" x14ac:dyDescent="0.45">
      <c r="A478">
        <v>475</v>
      </c>
      <c r="B478" s="8"/>
      <c r="C478" s="5"/>
      <c r="D478" s="5"/>
      <c r="E478" s="5"/>
      <c r="F478" s="6"/>
      <c r="G478" s="9" t="str">
        <f t="shared" si="14"/>
        <v/>
      </c>
      <c r="H478" s="6"/>
      <c r="I478" s="9" t="str">
        <f t="shared" si="15"/>
        <v/>
      </c>
    </row>
    <row r="479" spans="1:9" x14ac:dyDescent="0.45">
      <c r="A479">
        <v>476</v>
      </c>
      <c r="B479" s="8"/>
      <c r="C479" s="5"/>
      <c r="D479" s="5"/>
      <c r="E479" s="5"/>
      <c r="F479" s="6"/>
      <c r="G479" s="9" t="str">
        <f t="shared" si="14"/>
        <v/>
      </c>
      <c r="H479" s="6"/>
      <c r="I479" s="9" t="str">
        <f t="shared" si="15"/>
        <v/>
      </c>
    </row>
    <row r="480" spans="1:9" x14ac:dyDescent="0.45">
      <c r="A480">
        <v>477</v>
      </c>
      <c r="B480" s="8"/>
      <c r="C480" s="5"/>
      <c r="D480" s="5"/>
      <c r="E480" s="5"/>
      <c r="F480" s="6"/>
      <c r="G480" s="9" t="str">
        <f t="shared" si="14"/>
        <v/>
      </c>
      <c r="H480" s="6"/>
      <c r="I480" s="9" t="str">
        <f t="shared" si="15"/>
        <v/>
      </c>
    </row>
    <row r="481" spans="1:9" x14ac:dyDescent="0.45">
      <c r="A481">
        <v>478</v>
      </c>
      <c r="B481" s="8"/>
      <c r="C481" s="5"/>
      <c r="D481" s="5"/>
      <c r="E481" s="5"/>
      <c r="F481" s="6"/>
      <c r="G481" s="9" t="str">
        <f t="shared" si="14"/>
        <v/>
      </c>
      <c r="H481" s="6"/>
      <c r="I481" s="9" t="str">
        <f t="shared" si="15"/>
        <v/>
      </c>
    </row>
    <row r="482" spans="1:9" x14ac:dyDescent="0.45">
      <c r="A482">
        <v>479</v>
      </c>
      <c r="B482" s="8"/>
      <c r="C482" s="5"/>
      <c r="D482" s="5"/>
      <c r="E482" s="5"/>
      <c r="F482" s="6"/>
      <c r="G482" s="9" t="str">
        <f t="shared" si="14"/>
        <v/>
      </c>
      <c r="H482" s="6"/>
      <c r="I482" s="9" t="str">
        <f t="shared" si="15"/>
        <v/>
      </c>
    </row>
    <row r="483" spans="1:9" x14ac:dyDescent="0.45">
      <c r="A483">
        <v>480</v>
      </c>
      <c r="B483" s="8"/>
      <c r="C483" s="5"/>
      <c r="D483" s="5"/>
      <c r="E483" s="5"/>
      <c r="F483" s="6"/>
      <c r="G483" s="9" t="str">
        <f t="shared" si="14"/>
        <v/>
      </c>
      <c r="H483" s="6"/>
      <c r="I483" s="9" t="str">
        <f t="shared" si="15"/>
        <v/>
      </c>
    </row>
    <row r="484" spans="1:9" x14ac:dyDescent="0.45">
      <c r="A484">
        <v>481</v>
      </c>
      <c r="B484" s="8"/>
      <c r="C484" s="5"/>
      <c r="D484" s="5"/>
      <c r="E484" s="5"/>
      <c r="F484" s="6"/>
      <c r="G484" s="9" t="str">
        <f t="shared" si="14"/>
        <v/>
      </c>
      <c r="H484" s="6"/>
      <c r="I484" s="9" t="str">
        <f t="shared" si="15"/>
        <v/>
      </c>
    </row>
    <row r="485" spans="1:9" x14ac:dyDescent="0.45">
      <c r="A485">
        <v>482</v>
      </c>
      <c r="B485" s="8"/>
      <c r="C485" s="5"/>
      <c r="D485" s="5"/>
      <c r="E485" s="5"/>
      <c r="F485" s="6"/>
      <c r="G485" s="9" t="str">
        <f t="shared" si="14"/>
        <v/>
      </c>
      <c r="H485" s="6"/>
      <c r="I485" s="9" t="str">
        <f t="shared" si="15"/>
        <v/>
      </c>
    </row>
    <row r="486" spans="1:9" x14ac:dyDescent="0.45">
      <c r="A486">
        <v>483</v>
      </c>
      <c r="B486" s="8"/>
      <c r="C486" s="5"/>
      <c r="D486" s="5"/>
      <c r="E486" s="5"/>
      <c r="F486" s="6"/>
      <c r="G486" s="9" t="str">
        <f t="shared" si="14"/>
        <v/>
      </c>
      <c r="H486" s="6"/>
      <c r="I486" s="9" t="str">
        <f t="shared" si="15"/>
        <v/>
      </c>
    </row>
    <row r="487" spans="1:9" x14ac:dyDescent="0.45">
      <c r="A487">
        <v>484</v>
      </c>
      <c r="B487" s="8"/>
      <c r="C487" s="5"/>
      <c r="D487" s="5"/>
      <c r="E487" s="5"/>
      <c r="F487" s="6"/>
      <c r="G487" s="9" t="str">
        <f t="shared" si="14"/>
        <v/>
      </c>
      <c r="H487" s="6"/>
      <c r="I487" s="9" t="str">
        <f t="shared" si="15"/>
        <v/>
      </c>
    </row>
    <row r="488" spans="1:9" x14ac:dyDescent="0.45">
      <c r="A488">
        <v>485</v>
      </c>
      <c r="B488" s="8"/>
      <c r="C488" s="5"/>
      <c r="D488" s="5"/>
      <c r="E488" s="5"/>
      <c r="F488" s="6"/>
      <c r="G488" s="9" t="str">
        <f t="shared" si="14"/>
        <v/>
      </c>
      <c r="H488" s="6"/>
      <c r="I488" s="9" t="str">
        <f t="shared" si="15"/>
        <v/>
      </c>
    </row>
    <row r="489" spans="1:9" x14ac:dyDescent="0.45">
      <c r="A489">
        <v>486</v>
      </c>
      <c r="B489" s="8"/>
      <c r="C489" s="5"/>
      <c r="D489" s="5"/>
      <c r="E489" s="5"/>
      <c r="F489" s="6"/>
      <c r="G489" s="9" t="str">
        <f t="shared" si="14"/>
        <v/>
      </c>
      <c r="H489" s="6"/>
      <c r="I489" s="9" t="str">
        <f t="shared" si="15"/>
        <v/>
      </c>
    </row>
    <row r="490" spans="1:9" x14ac:dyDescent="0.45">
      <c r="A490">
        <v>487</v>
      </c>
      <c r="B490" s="8"/>
      <c r="C490" s="5"/>
      <c r="D490" s="5"/>
      <c r="E490" s="5"/>
      <c r="F490" s="6"/>
      <c r="G490" s="9" t="str">
        <f t="shared" si="14"/>
        <v/>
      </c>
      <c r="H490" s="6"/>
      <c r="I490" s="9" t="str">
        <f t="shared" si="15"/>
        <v/>
      </c>
    </row>
    <row r="491" spans="1:9" x14ac:dyDescent="0.45">
      <c r="A491">
        <v>488</v>
      </c>
      <c r="B491" s="8"/>
      <c r="C491" s="5"/>
      <c r="D491" s="5"/>
      <c r="E491" s="5"/>
      <c r="F491" s="6"/>
      <c r="G491" s="9" t="str">
        <f t="shared" si="14"/>
        <v/>
      </c>
      <c r="H491" s="6"/>
      <c r="I491" s="9" t="str">
        <f t="shared" si="15"/>
        <v/>
      </c>
    </row>
    <row r="492" spans="1:9" x14ac:dyDescent="0.45">
      <c r="A492">
        <v>489</v>
      </c>
      <c r="B492" s="8"/>
      <c r="C492" s="5"/>
      <c r="D492" s="5"/>
      <c r="E492" s="5"/>
      <c r="F492" s="6"/>
      <c r="G492" s="9" t="str">
        <f t="shared" si="14"/>
        <v/>
      </c>
      <c r="H492" s="6"/>
      <c r="I492" s="9" t="str">
        <f t="shared" si="15"/>
        <v/>
      </c>
    </row>
    <row r="493" spans="1:9" x14ac:dyDescent="0.45">
      <c r="A493">
        <v>490</v>
      </c>
      <c r="B493" s="8"/>
      <c r="C493" s="5"/>
      <c r="D493" s="5"/>
      <c r="E493" s="5"/>
      <c r="F493" s="6"/>
      <c r="G493" s="9" t="str">
        <f t="shared" si="14"/>
        <v/>
      </c>
      <c r="H493" s="6"/>
      <c r="I493" s="9" t="str">
        <f t="shared" si="15"/>
        <v/>
      </c>
    </row>
    <row r="494" spans="1:9" x14ac:dyDescent="0.45">
      <c r="A494">
        <v>491</v>
      </c>
      <c r="B494" s="8"/>
      <c r="C494" s="5"/>
      <c r="D494" s="5"/>
      <c r="E494" s="5"/>
      <c r="F494" s="6"/>
      <c r="G494" s="9" t="str">
        <f t="shared" si="14"/>
        <v/>
      </c>
      <c r="H494" s="6"/>
      <c r="I494" s="9" t="str">
        <f t="shared" si="15"/>
        <v/>
      </c>
    </row>
    <row r="495" spans="1:9" x14ac:dyDescent="0.45">
      <c r="A495">
        <v>492</v>
      </c>
      <c r="B495" s="8"/>
      <c r="C495" s="5"/>
      <c r="D495" s="5"/>
      <c r="E495" s="5"/>
      <c r="F495" s="6"/>
      <c r="G495" s="9" t="str">
        <f t="shared" si="14"/>
        <v/>
      </c>
      <c r="H495" s="6"/>
      <c r="I495" s="9" t="str">
        <f t="shared" si="15"/>
        <v/>
      </c>
    </row>
    <row r="496" spans="1:9" x14ac:dyDescent="0.45">
      <c r="A496">
        <v>493</v>
      </c>
      <c r="B496" s="8"/>
      <c r="C496" s="5"/>
      <c r="D496" s="5"/>
      <c r="E496" s="5"/>
      <c r="F496" s="6"/>
      <c r="G496" s="9" t="str">
        <f t="shared" si="14"/>
        <v/>
      </c>
      <c r="H496" s="6"/>
      <c r="I496" s="9" t="str">
        <f t="shared" si="15"/>
        <v/>
      </c>
    </row>
    <row r="497" spans="1:9" x14ac:dyDescent="0.45">
      <c r="A497">
        <v>494</v>
      </c>
      <c r="B497" s="8"/>
      <c r="C497" s="5"/>
      <c r="D497" s="5"/>
      <c r="E497" s="5"/>
      <c r="F497" s="6"/>
      <c r="G497" s="9" t="str">
        <f t="shared" si="14"/>
        <v/>
      </c>
      <c r="H497" s="6"/>
      <c r="I497" s="9" t="str">
        <f t="shared" si="15"/>
        <v/>
      </c>
    </row>
    <row r="498" spans="1:9" x14ac:dyDescent="0.45">
      <c r="A498">
        <v>495</v>
      </c>
      <c r="B498" s="8"/>
      <c r="C498" s="5"/>
      <c r="D498" s="5"/>
      <c r="E498" s="5"/>
      <c r="F498" s="6"/>
      <c r="G498" s="9" t="str">
        <f t="shared" si="14"/>
        <v/>
      </c>
      <c r="H498" s="6"/>
      <c r="I498" s="9" t="str">
        <f t="shared" si="15"/>
        <v/>
      </c>
    </row>
    <row r="499" spans="1:9" x14ac:dyDescent="0.45">
      <c r="A499">
        <v>496</v>
      </c>
      <c r="B499" s="8"/>
      <c r="C499" s="5"/>
      <c r="D499" s="5"/>
      <c r="E499" s="5"/>
      <c r="F499" s="6"/>
      <c r="G499" s="9" t="str">
        <f t="shared" si="14"/>
        <v/>
      </c>
      <c r="H499" s="6"/>
      <c r="I499" s="9" t="str">
        <f t="shared" si="15"/>
        <v/>
      </c>
    </row>
    <row r="500" spans="1:9" x14ac:dyDescent="0.45">
      <c r="A500">
        <v>497</v>
      </c>
      <c r="B500" s="8"/>
      <c r="C500" s="5"/>
      <c r="D500" s="5"/>
      <c r="E500" s="5"/>
      <c r="F500" s="6"/>
      <c r="G500" s="9" t="str">
        <f t="shared" si="14"/>
        <v/>
      </c>
      <c r="H500" s="6"/>
      <c r="I500" s="9" t="str">
        <f t="shared" si="15"/>
        <v/>
      </c>
    </row>
    <row r="501" spans="1:9" x14ac:dyDescent="0.45">
      <c r="A501">
        <v>498</v>
      </c>
      <c r="B501" s="8"/>
      <c r="C501" s="5"/>
      <c r="D501" s="5"/>
      <c r="E501" s="5"/>
      <c r="F501" s="6"/>
      <c r="G501" s="9" t="str">
        <f t="shared" si="14"/>
        <v/>
      </c>
      <c r="H501" s="6"/>
      <c r="I501" s="9" t="str">
        <f t="shared" si="15"/>
        <v/>
      </c>
    </row>
    <row r="502" spans="1:9" x14ac:dyDescent="0.45">
      <c r="A502">
        <v>499</v>
      </c>
      <c r="B502" s="8"/>
      <c r="C502" s="5"/>
      <c r="D502" s="5"/>
      <c r="E502" s="5"/>
      <c r="F502" s="6"/>
      <c r="G502" s="9" t="str">
        <f t="shared" si="14"/>
        <v/>
      </c>
      <c r="H502" s="6"/>
      <c r="I502" s="9" t="str">
        <f t="shared" si="15"/>
        <v/>
      </c>
    </row>
    <row r="503" spans="1:9" x14ac:dyDescent="0.45">
      <c r="A503">
        <v>500</v>
      </c>
      <c r="B503" s="8"/>
      <c r="C503" s="5"/>
      <c r="D503" s="5"/>
      <c r="E503" s="5"/>
      <c r="F503" s="6"/>
      <c r="G503" s="9" t="str">
        <f t="shared" si="14"/>
        <v/>
      </c>
      <c r="H503" s="6"/>
      <c r="I503" s="9" t="str">
        <f t="shared" si="15"/>
        <v/>
      </c>
    </row>
  </sheetData>
  <dataValidations count="2">
    <dataValidation type="list" allowBlank="1" sqref="C4:C503" xr:uid="{00000000-0002-0000-0100-000000000000}">
      <formula1>BEPAARI</formula1>
    </dataValidation>
    <dataValidation type="list" allowBlank="1" sqref="D4:D503" xr:uid="{00000000-0002-0000-0100-000001000000}">
      <formula1>DUKANDAR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722"/>
  </sheetPr>
  <dimension ref="A1:J1008"/>
  <sheetViews>
    <sheetView tabSelected="1" topLeftCell="A187" workbookViewId="0">
      <selection activeCell="E204" sqref="E204"/>
    </sheetView>
  </sheetViews>
  <sheetFormatPr defaultRowHeight="14.25" x14ac:dyDescent="0.45"/>
  <cols>
    <col min="1" max="1" width="4" customWidth="1"/>
    <col min="2" max="2" width="15.53125" customWidth="1"/>
    <col min="3" max="3" width="12" customWidth="1"/>
    <col min="4" max="4" width="16" customWidth="1"/>
    <col min="5" max="5" width="24" customWidth="1"/>
    <col min="6" max="6" width="31" customWidth="1"/>
    <col min="7" max="7" width="12" customWidth="1"/>
    <col min="8" max="8" width="10" customWidth="1"/>
    <col min="9" max="9" width="14.73046875" customWidth="1"/>
    <col min="10" max="11" width="14" customWidth="1"/>
  </cols>
  <sheetData>
    <row r="1" spans="1:10" ht="18" x14ac:dyDescent="0.55000000000000004">
      <c r="A1" s="1" t="s">
        <v>104</v>
      </c>
      <c r="J1" s="10" t="s">
        <v>105</v>
      </c>
    </row>
    <row r="2" spans="1:10" x14ac:dyDescent="0.45">
      <c r="A2" s="11" t="s">
        <v>106</v>
      </c>
      <c r="I2" t="s">
        <v>30</v>
      </c>
      <c r="J2" s="12">
        <f>Masters!$Y$6</f>
        <v>394666</v>
      </c>
    </row>
    <row r="3" spans="1:10" x14ac:dyDescent="0.45">
      <c r="A3" s="2" t="s">
        <v>5</v>
      </c>
      <c r="B3" s="2" t="s">
        <v>96</v>
      </c>
      <c r="C3" s="2" t="s">
        <v>14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t="s">
        <v>33</v>
      </c>
      <c r="J3" s="12">
        <f>Masters!$Y$7</f>
        <v>724604</v>
      </c>
    </row>
    <row r="4" spans="1:10" x14ac:dyDescent="0.45">
      <c r="A4">
        <v>1</v>
      </c>
      <c r="B4" s="8">
        <v>46107</v>
      </c>
      <c r="C4" s="5" t="s">
        <v>239</v>
      </c>
      <c r="D4" s="5" t="s">
        <v>240</v>
      </c>
      <c r="E4" s="5" t="s">
        <v>27</v>
      </c>
      <c r="F4" s="5"/>
      <c r="G4" s="6">
        <v>15000</v>
      </c>
      <c r="H4" s="5" t="s">
        <v>241</v>
      </c>
    </row>
    <row r="5" spans="1:10" x14ac:dyDescent="0.45">
      <c r="A5">
        <v>2</v>
      </c>
      <c r="B5" s="8">
        <v>46107</v>
      </c>
      <c r="C5" s="5" t="s">
        <v>239</v>
      </c>
      <c r="D5" s="5" t="s">
        <v>240</v>
      </c>
      <c r="E5" s="5" t="s">
        <v>27</v>
      </c>
      <c r="F5" s="5" t="s">
        <v>272</v>
      </c>
      <c r="G5" s="6">
        <v>50990</v>
      </c>
      <c r="H5" s="5" t="s">
        <v>242</v>
      </c>
      <c r="I5" t="s">
        <v>112</v>
      </c>
      <c r="J5" s="12">
        <f>SUMIFS($G$4:$G$1008,$H$4:$H$1008,"CASH",$D$4:$D$1008,"PAYMENT")+SUMIFS($G$4:$G$1008,$H$4:$H$1008,"CASH",$D$4:$D$1008,"MOTOR")+SUMIFS($G$4:$G$1008,$H$4:$H$1008,"CASH",$D$4:$D$1008,"BHUSSA")+SUMIFS($G$4:$G$1008,$H$4:$H$1008,"CASH",$D$4:$D$1008,"GAWALI")+SUMIFS($G$4:$G$1008,$H$4:$H$1008,"CASH",$D$4:$D$1008,"CASH_ADV")+SUMIFS($G$4:$G$1008,$H$4:$H$1008,"CASH",$D$4:$D$1008,"DISCOUNT")+SUMIFS($G$4:$G$1008,$H$4:$H$1008,"CASH",$D$4:$D$1008,"WITHDRAWN")+SUMIFS($G$4:$G$1008,$H$4:$H$1008,"CASH",$D$4:$D$1008,"REPAID")+SUMIFS($G$4:$G$1008,$H$4:$H$1008,"CASH",$D$4:$D$1008,"GIVEN")+SUMIFS($G$4:$G$1008,$H$4:$H$1008,"CASH",$D$4:$D$1008,"MANDI")+SUMIFS($G$4:$G$1008,$H$4:$H$1008,"CASH",$D$4:$D$1008,"TRAVEL")+SUMIFS($G$4:$G$1008,$H$4:$H$1008,"CASH",$D$4:$D$1008,"FOOD")+SUMIFS($G$4:$G$1008,$H$4:$H$1008,"CASH",$D$4:$D$1008,"SALARY")+SUMIFS($G$4:$G$1008,$H$4:$H$1008,"CASH",$D$4:$D$1008,"BF_DISC")+SUMIFS($G$4:$G$1008,$H$4:$H$1008,"CASH",$D$4:$D$1008,"JB_PAID")+SUMIFS($G$4:$G$1008,$H$4:$H$1008,"CASH",$D$4:$D$1008,"MHN_PERSONAL")+SUMIFS($G$4:$G$1008,$H$4:$H$1008,"CASH",$D$4:$D$1008,"PAID")+SUMIFS($G$4:$G$1008,$H$4:$H$1008,"CASH",$D$4:$D$1008,"MISC")+SUMIFS($G$4:$G$1008,$H$4:$H$1008,"CASH",$D$4:$D$1008,"OTHER")</f>
        <v>2841919</v>
      </c>
    </row>
    <row r="6" spans="1:10" x14ac:dyDescent="0.45">
      <c r="A6">
        <v>3</v>
      </c>
      <c r="B6" s="8">
        <v>46107</v>
      </c>
      <c r="C6" s="5" t="s">
        <v>239</v>
      </c>
      <c r="D6" s="5" t="s">
        <v>240</v>
      </c>
      <c r="E6" s="5" t="s">
        <v>72</v>
      </c>
      <c r="F6" s="5"/>
      <c r="G6" s="6">
        <v>79687</v>
      </c>
      <c r="H6" s="5" t="s">
        <v>242</v>
      </c>
      <c r="I6" t="s">
        <v>113</v>
      </c>
      <c r="J6" s="12">
        <f>SUMIFS($G$4:$G$1008,$H$4:$H$1008,"BANK",$D$4:$D$1008,"PAYMENT")+SUMIFS($G$4:$G$1008,$H$4:$H$1008,"BANK",$D$4:$D$1008,"MOTOR")+SUMIFS($G$4:$G$1008,$H$4:$H$1008,"BANK",$D$4:$D$1008,"BHUSSA")+SUMIFS($G$4:$G$1008,$H$4:$H$1008,"BANK",$D$4:$D$1008,"GAWALI")+SUMIFS($G$4:$G$1008,$H$4:$H$1008,"BANK",$D$4:$D$1008,"CASH_ADV")+SUMIFS($G$4:$G$1008,$H$4:$H$1008,"BANK",$D$4:$D$1008,"DISCOUNT")+SUMIFS($G$4:$G$1008,$H$4:$H$1008,"BANK",$D$4:$D$1008,"WITHDRAWN")+SUMIFS($G$4:$G$1008,$H$4:$H$1008,"BANK",$D$4:$D$1008,"REPAID")+SUMIFS($G$4:$G$1008,$H$4:$H$1008,"BANK",$D$4:$D$1008,"GIVEN")+SUMIFS($G$4:$G$1008,$H$4:$H$1008,"BANK",$D$4:$D$1008,"MANDI")+SUMIFS($G$4:$G$1008,$H$4:$H$1008,"BANK",$D$4:$D$1008,"TRAVEL")+SUMIFS($G$4:$G$1008,$H$4:$H$1008,"BANK",$D$4:$D$1008,"FOOD")+SUMIFS($G$4:$G$1008,$H$4:$H$1008,"BANK",$D$4:$D$1008,"SALARY")+SUMIFS($G$4:$G$1008,$H$4:$H$1008,"BANK",$D$4:$D$1008,"BF_DISC")+SUMIFS($G$4:$G$1008,$H$4:$H$1008,"BANK",$D$4:$D$1008,"JB_PAID")+SUMIFS($G$4:$G$1008,$H$4:$H$1008,"BANK",$D$4:$D$1008,"MHN_PERSONAL")+SUMIFS($G$4:$G$1008,$H$4:$H$1008,"BANK",$D$4:$D$1008,"PAID")+SUMIFS($G$4:$G$1008,$H$4:$H$1008,"BANK",$D$4:$D$1008,"MISC")+SUMIFS($G$4:$G$1008,$H$4:$H$1008,"BANK",$D$4:$D$1008,"OTHER")+SUMIFS($G$4:$G$1008,$H$4:$H$1008,"UPI",$D$4:$D$1008,"PAYMENT")+SUMIFS($G$4:$G$1008,$H$4:$H$1008,"UPI",$D$4:$D$1008,"MOTOR")+SUMIFS($G$4:$G$1008,$H$4:$H$1008,"UPI",$D$4:$D$1008,"BHUSSA")+SUMIFS($G$4:$G$1008,$H$4:$H$1008,"UPI",$D$4:$D$1008,"GAWALI")+SUMIFS($G$4:$G$1008,$H$4:$H$1008,"UPI",$D$4:$D$1008,"CASH_ADV")+SUMIFS($G$4:$G$1008,$H$4:$H$1008,"UPI",$D$4:$D$1008,"DISCOUNT")+SUMIFS($G$4:$G$1008,$H$4:$H$1008,"UPI",$D$4:$D$1008,"WITHDRAWN")+SUMIFS($G$4:$G$1008,$H$4:$H$1008,"UPI",$D$4:$D$1008,"REPAID")+SUMIFS($G$4:$G$1008,$H$4:$H$1008,"UPI",$D$4:$D$1008,"GIVEN")+SUMIFS($G$4:$G$1008,$H$4:$H$1008,"UPI",$D$4:$D$1008,"MANDI")+SUMIFS($G$4:$G$1008,$H$4:$H$1008,"UPI",$D$4:$D$1008,"TRAVEL")+SUMIFS($G$4:$G$1008,$H$4:$H$1008,"UPI",$D$4:$D$1008,"FOOD")+SUMIFS($G$4:$G$1008,$H$4:$H$1008,"UPI",$D$4:$D$1008,"SALARY")+SUMIFS($G$4:$G$1008,$H$4:$H$1008,"UPI",$D$4:$D$1008,"BF_DISC")+SUMIFS($G$4:$G$1008,$H$4:$H$1008,"UPI",$D$4:$D$1008,"JB_PAID")+SUMIFS($G$4:$G$1008,$H$4:$H$1008,"UPI",$D$4:$D$1008,"MHN_PERSONAL")+SUMIFS($G$4:$G$1008,$H$4:$H$1008,"UPI",$D$4:$D$1008,"PAID")+SUMIFS($G$4:$G$1008,$H$4:$H$1008,"UPI",$D$4:$D$1008,"MISC")+SUMIFS($G$4:$G$1008,$H$4:$H$1008,"UPI",$D$4:$D$1008,"OTHER")+SUMIFS($G$4:$G$1008,$H$4:$H$1008,"TRANSFER",$D$4:$D$1008,"PAYMENT")+SUMIFS($G$4:$G$1008,$H$4:$H$1008,"TRANSFER",$D$4:$D$1008,"MOTOR")+SUMIFS($G$4:$G$1008,$H$4:$H$1008,"TRANSFER",$D$4:$D$1008,"BHUSSA")+SUMIFS($G$4:$G$1008,$H$4:$H$1008,"TRANSFER",$D$4:$D$1008,"GAWALI")+SUMIFS($G$4:$G$1008,$H$4:$H$1008,"TRANSFER",$D$4:$D$1008,"CASH_ADV")+SUMIFS($G$4:$G$1008,$H$4:$H$1008,"TRANSFER",$D$4:$D$1008,"DISCOUNT")+SUMIFS($G$4:$G$1008,$H$4:$H$1008,"TRANSFER",$D$4:$D$1008,"WITHDRAWN")+SUMIFS($G$4:$G$1008,$H$4:$H$1008,"TRANSFER",$D$4:$D$1008,"REPAID")+SUMIFS($G$4:$G$1008,$H$4:$H$1008,"TRANSFER",$D$4:$D$1008,"GIVEN")+SUMIFS($G$4:$G$1008,$H$4:$H$1008,"TRANSFER",$D$4:$D$1008,"MANDI")+SUMIFS($G$4:$G$1008,$H$4:$H$1008,"TRANSFER",$D$4:$D$1008,"TRAVEL")+SUMIFS($G$4:$G$1008,$H$4:$H$1008,"TRANSFER",$D$4:$D$1008,"FOOD")+SUMIFS($G$4:$G$1008,$H$4:$H$1008,"TRANSFER",$D$4:$D$1008,"SALARY")+SUMIFS($G$4:$G$1008,$H$4:$H$1008,"TRANSFER",$D$4:$D$1008,"BF_DISC")+SUMIFS($G$4:$G$1008,$H$4:$H$1008,"TRANSFER",$D$4:$D$1008,"JB_PAID")+SUMIFS($G$4:$G$1008,$H$4:$H$1008,"TRANSFER",$D$4:$D$1008,"MHN_PERSONAL")+SUMIFS($G$4:$G$1008,$H$4:$H$1008,"TRANSFER",$D$4:$D$1008,"PAID")+SUMIFS($G$4:$G$1008,$H$4:$H$1008,"TRANSFER",$D$4:$D$1008,"MISC")+SUMIFS($G$4:$G$1008,$H$4:$H$1008,"TRANSFER",$D$4:$D$1008,"OTHER")</f>
        <v>1507354</v>
      </c>
    </row>
    <row r="7" spans="1:10" x14ac:dyDescent="0.45">
      <c r="A7">
        <v>4</v>
      </c>
      <c r="B7" s="8">
        <v>46107</v>
      </c>
      <c r="C7" s="5" t="s">
        <v>239</v>
      </c>
      <c r="D7" s="5" t="s">
        <v>240</v>
      </c>
      <c r="E7" s="5" t="s">
        <v>89</v>
      </c>
      <c r="F7" s="5"/>
      <c r="G7" s="6">
        <v>50000</v>
      </c>
      <c r="H7" s="5" t="s">
        <v>241</v>
      </c>
      <c r="I7" t="s">
        <v>114</v>
      </c>
      <c r="J7" s="12">
        <f>SUMIFS($G$4:$G$1008,$H$4:$H$1008,"CASH",$D$4:$D$1008,"RECEIPT")+SUMIFS($G$4:$G$1008,$H$4:$H$1008,"CASH",$D$4:$D$1008,"TAKEN")+SUMIFS($G$4:$G$1008,$H$4:$H$1008,"CASH",$D$4:$D$1008,"RECEIVED")+SUMIFS($G$4:$G$1008,$H$4:$H$1008,"CASH",$D$4:$D$1008,"PROVISION")</f>
        <v>2833988</v>
      </c>
    </row>
    <row r="8" spans="1:10" x14ac:dyDescent="0.45">
      <c r="A8">
        <v>5</v>
      </c>
      <c r="B8" s="8">
        <v>46107</v>
      </c>
      <c r="C8" s="5" t="s">
        <v>239</v>
      </c>
      <c r="D8" s="5" t="s">
        <v>240</v>
      </c>
      <c r="E8" s="5" t="s">
        <v>89</v>
      </c>
      <c r="F8" s="5"/>
      <c r="G8" s="6">
        <v>15000</v>
      </c>
      <c r="H8" s="5" t="s">
        <v>242</v>
      </c>
      <c r="I8" t="s">
        <v>115</v>
      </c>
      <c r="J8" s="12">
        <f>SUMIFS($G$4:$G$1008,$H$4:$H$1008,"BANK",$D$4:$D$1008,"RECEIPT")+SUMIFS($G$4:$G$1008,$H$4:$H$1008,"BANK",$D$4:$D$1008,"TAKEN")+SUMIFS($G$4:$G$1008,$H$4:$H$1008,"BANK",$D$4:$D$1008,"RECEIVED")+SUMIFS($G$4:$G$1008,$H$4:$H$1008,"BANK",$D$4:$D$1008,"PROVISION")+SUMIFS($G$4:$G$1008,$H$4:$H$1008,"UPI",$D$4:$D$1008,"RECEIPT")+SUMIFS($G$4:$G$1008,$H$4:$H$1008,"UPI",$D$4:$D$1008,"TAKEN")+SUMIFS($G$4:$G$1008,$H$4:$H$1008,"UPI",$D$4:$D$1008,"RECEIVED")+SUMIFS($G$4:$G$1008,$H$4:$H$1008,"UPI",$D$4:$D$1008,"PROVISION")+SUMIFS($G$4:$G$1008,$H$4:$H$1008,"TRANSFER",$D$4:$D$1008,"RECEIPT")+SUMIFS($G$4:$G$1008,$H$4:$H$1008,"TRANSFER",$D$4:$D$1008,"TAKEN")+SUMIFS($G$4:$G$1008,$H$4:$H$1008,"TRANSFER",$D$4:$D$1008,"RECEIVED")+SUMIFS($G$4:$G$1008,$H$4:$H$1008,"TRANSFER",$D$4:$D$1008,"PROVISION")</f>
        <v>1319978</v>
      </c>
    </row>
    <row r="9" spans="1:10" x14ac:dyDescent="0.45">
      <c r="A9">
        <v>6</v>
      </c>
      <c r="B9" s="8">
        <v>46107</v>
      </c>
      <c r="C9" s="5" t="s">
        <v>239</v>
      </c>
      <c r="D9" s="5" t="s">
        <v>240</v>
      </c>
      <c r="E9" s="5" t="s">
        <v>37</v>
      </c>
      <c r="F9" s="5"/>
      <c r="G9" s="6">
        <v>50000</v>
      </c>
      <c r="H9" s="5" t="s">
        <v>242</v>
      </c>
    </row>
    <row r="10" spans="1:10" x14ac:dyDescent="0.45">
      <c r="A10">
        <v>7</v>
      </c>
      <c r="B10" s="8">
        <v>46107</v>
      </c>
      <c r="C10" s="5" t="s">
        <v>239</v>
      </c>
      <c r="D10" s="5" t="s">
        <v>240</v>
      </c>
      <c r="E10" s="5" t="s">
        <v>37</v>
      </c>
      <c r="F10" s="5"/>
      <c r="G10" s="6">
        <v>50000</v>
      </c>
      <c r="H10" s="5" t="s">
        <v>242</v>
      </c>
      <c r="I10" s="3" t="s">
        <v>116</v>
      </c>
      <c r="J10" s="13">
        <f>J2-J5+J7</f>
        <v>386735</v>
      </c>
    </row>
    <row r="11" spans="1:10" x14ac:dyDescent="0.45">
      <c r="A11">
        <v>8</v>
      </c>
      <c r="B11" s="8">
        <v>46107</v>
      </c>
      <c r="C11" s="5" t="s">
        <v>239</v>
      </c>
      <c r="D11" s="5" t="s">
        <v>240</v>
      </c>
      <c r="E11" s="5" t="s">
        <v>32</v>
      </c>
      <c r="F11" s="5"/>
      <c r="G11" s="6">
        <v>100000</v>
      </c>
      <c r="H11" s="5" t="s">
        <v>242</v>
      </c>
      <c r="I11" s="3" t="s">
        <v>117</v>
      </c>
      <c r="J11" s="13">
        <f>J3-J6+J8</f>
        <v>537228</v>
      </c>
    </row>
    <row r="12" spans="1:10" x14ac:dyDescent="0.45">
      <c r="A12">
        <v>9</v>
      </c>
      <c r="B12" s="8">
        <v>46107</v>
      </c>
      <c r="C12" s="5" t="s">
        <v>239</v>
      </c>
      <c r="D12" s="5" t="s">
        <v>240</v>
      </c>
      <c r="E12" s="5" t="s">
        <v>17</v>
      </c>
      <c r="F12" s="5"/>
      <c r="G12" s="6">
        <v>50000</v>
      </c>
      <c r="H12" s="5" t="s">
        <v>242</v>
      </c>
    </row>
    <row r="13" spans="1:10" x14ac:dyDescent="0.45">
      <c r="A13">
        <v>10</v>
      </c>
      <c r="B13" s="8">
        <v>46107</v>
      </c>
      <c r="C13" s="5" t="s">
        <v>239</v>
      </c>
      <c r="D13" s="5" t="s">
        <v>240</v>
      </c>
      <c r="E13" s="5" t="s">
        <v>86</v>
      </c>
      <c r="F13" s="5"/>
      <c r="G13" s="6">
        <v>100</v>
      </c>
      <c r="H13" s="5" t="s">
        <v>242</v>
      </c>
    </row>
    <row r="14" spans="1:10" x14ac:dyDescent="0.45">
      <c r="A14">
        <v>11</v>
      </c>
      <c r="B14" s="8">
        <v>46107</v>
      </c>
      <c r="C14" s="5" t="s">
        <v>239</v>
      </c>
      <c r="D14" s="5" t="s">
        <v>240</v>
      </c>
      <c r="E14" s="5" t="s">
        <v>86</v>
      </c>
      <c r="F14" s="5"/>
      <c r="G14" s="6">
        <v>100</v>
      </c>
      <c r="H14" s="5" t="s">
        <v>242</v>
      </c>
    </row>
    <row r="15" spans="1:10" x14ac:dyDescent="0.45">
      <c r="A15">
        <v>12</v>
      </c>
      <c r="B15" s="8">
        <v>46107</v>
      </c>
      <c r="C15" s="5" t="s">
        <v>239</v>
      </c>
      <c r="D15" s="5" t="s">
        <v>240</v>
      </c>
      <c r="E15" s="5" t="s">
        <v>86</v>
      </c>
      <c r="F15" s="5"/>
      <c r="G15" s="6">
        <v>49800</v>
      </c>
      <c r="H15" s="5" t="s">
        <v>242</v>
      </c>
    </row>
    <row r="16" spans="1:10" x14ac:dyDescent="0.45">
      <c r="A16">
        <v>13</v>
      </c>
      <c r="B16" s="8">
        <v>46107</v>
      </c>
      <c r="C16" s="5" t="s">
        <v>239</v>
      </c>
      <c r="D16" s="5" t="s">
        <v>240</v>
      </c>
      <c r="E16" s="5" t="s">
        <v>86</v>
      </c>
      <c r="F16" s="5"/>
      <c r="G16" s="6">
        <v>100</v>
      </c>
      <c r="H16" s="5" t="s">
        <v>242</v>
      </c>
    </row>
    <row r="17" spans="1:8" x14ac:dyDescent="0.45">
      <c r="A17">
        <v>14</v>
      </c>
      <c r="B17" s="8">
        <v>46107</v>
      </c>
      <c r="C17" s="5" t="s">
        <v>239</v>
      </c>
      <c r="D17" s="5" t="s">
        <v>240</v>
      </c>
      <c r="E17" s="5" t="s">
        <v>86</v>
      </c>
      <c r="F17" s="5"/>
      <c r="G17" s="6">
        <v>49900</v>
      </c>
      <c r="H17" s="5" t="s">
        <v>242</v>
      </c>
    </row>
    <row r="18" spans="1:8" x14ac:dyDescent="0.45">
      <c r="A18">
        <v>15</v>
      </c>
      <c r="B18" s="8">
        <v>46107</v>
      </c>
      <c r="C18" s="5" t="s">
        <v>239</v>
      </c>
      <c r="D18" s="5" t="s">
        <v>240</v>
      </c>
      <c r="E18" s="5" t="s">
        <v>86</v>
      </c>
      <c r="F18" s="5" t="s">
        <v>243</v>
      </c>
      <c r="G18" s="6">
        <v>50000</v>
      </c>
      <c r="H18" s="5" t="s">
        <v>241</v>
      </c>
    </row>
    <row r="19" spans="1:8" x14ac:dyDescent="0.45">
      <c r="A19">
        <v>16</v>
      </c>
      <c r="B19" s="8">
        <v>46107</v>
      </c>
      <c r="C19" s="5" t="s">
        <v>239</v>
      </c>
      <c r="D19" s="5" t="s">
        <v>240</v>
      </c>
      <c r="E19" s="5" t="s">
        <v>86</v>
      </c>
      <c r="F19" s="5" t="s">
        <v>244</v>
      </c>
      <c r="G19" s="6">
        <v>50000</v>
      </c>
      <c r="H19" s="5" t="s">
        <v>241</v>
      </c>
    </row>
    <row r="20" spans="1:8" x14ac:dyDescent="0.45">
      <c r="A20">
        <v>17</v>
      </c>
      <c r="B20" s="8">
        <v>46107</v>
      </c>
      <c r="C20" s="28" t="s">
        <v>250</v>
      </c>
      <c r="D20" s="5" t="s">
        <v>246</v>
      </c>
      <c r="E20" s="5" t="s">
        <v>247</v>
      </c>
      <c r="F20" s="5" t="s">
        <v>248</v>
      </c>
      <c r="G20" s="6">
        <v>50000</v>
      </c>
      <c r="H20" s="5" t="s">
        <v>241</v>
      </c>
    </row>
    <row r="21" spans="1:8" x14ac:dyDescent="0.45">
      <c r="A21">
        <v>18</v>
      </c>
      <c r="B21" s="8">
        <v>46107</v>
      </c>
      <c r="C21" s="28" t="s">
        <v>250</v>
      </c>
      <c r="D21" s="5" t="s">
        <v>246</v>
      </c>
      <c r="E21" s="5" t="s">
        <v>228</v>
      </c>
      <c r="F21" s="5" t="s">
        <v>248</v>
      </c>
      <c r="G21" s="6">
        <v>50000</v>
      </c>
      <c r="H21" s="5" t="s">
        <v>241</v>
      </c>
    </row>
    <row r="22" spans="1:8" x14ac:dyDescent="0.45">
      <c r="A22">
        <v>19</v>
      </c>
      <c r="B22" s="8">
        <v>46107</v>
      </c>
      <c r="C22" s="5" t="s">
        <v>239</v>
      </c>
      <c r="D22" s="5" t="s">
        <v>240</v>
      </c>
      <c r="E22" s="5" t="s">
        <v>60</v>
      </c>
      <c r="F22" s="5"/>
      <c r="G22" s="6">
        <v>50000</v>
      </c>
      <c r="H22" s="5" t="s">
        <v>241</v>
      </c>
    </row>
    <row r="23" spans="1:8" x14ac:dyDescent="0.45">
      <c r="A23">
        <v>20</v>
      </c>
      <c r="B23" s="8">
        <v>46107</v>
      </c>
      <c r="C23" s="5" t="s">
        <v>239</v>
      </c>
      <c r="D23" s="5" t="s">
        <v>240</v>
      </c>
      <c r="E23" s="5" t="s">
        <v>93</v>
      </c>
      <c r="F23" s="5"/>
      <c r="G23" s="6">
        <v>148800</v>
      </c>
      <c r="H23" s="5" t="s">
        <v>241</v>
      </c>
    </row>
    <row r="24" spans="1:8" x14ac:dyDescent="0.45">
      <c r="A24">
        <v>21</v>
      </c>
      <c r="B24" s="8">
        <v>46107</v>
      </c>
      <c r="C24" s="5" t="s">
        <v>239</v>
      </c>
      <c r="D24" s="5" t="s">
        <v>240</v>
      </c>
      <c r="E24" s="5" t="s">
        <v>236</v>
      </c>
      <c r="F24" s="5"/>
      <c r="G24" s="6">
        <v>85000</v>
      </c>
      <c r="H24" s="5" t="s">
        <v>241</v>
      </c>
    </row>
    <row r="25" spans="1:8" x14ac:dyDescent="0.45">
      <c r="A25">
        <v>22</v>
      </c>
      <c r="B25" s="8">
        <v>46107</v>
      </c>
      <c r="C25" s="5" t="s">
        <v>239</v>
      </c>
      <c r="D25" s="5" t="s">
        <v>249</v>
      </c>
      <c r="E25" s="5" t="s">
        <v>236</v>
      </c>
      <c r="F25" s="5"/>
      <c r="G25" s="6">
        <v>200</v>
      </c>
      <c r="H25" s="5" t="s">
        <v>241</v>
      </c>
    </row>
    <row r="26" spans="1:8" x14ac:dyDescent="0.45">
      <c r="A26">
        <v>23</v>
      </c>
      <c r="B26" s="8">
        <v>46107</v>
      </c>
      <c r="C26" s="28" t="s">
        <v>250</v>
      </c>
      <c r="D26" s="5" t="s">
        <v>253</v>
      </c>
      <c r="E26" s="5" t="s">
        <v>252</v>
      </c>
      <c r="F26" s="5"/>
      <c r="G26" s="6">
        <v>100000</v>
      </c>
      <c r="H26" s="5" t="s">
        <v>241</v>
      </c>
    </row>
    <row r="27" spans="1:8" x14ac:dyDescent="0.45">
      <c r="A27">
        <v>24</v>
      </c>
      <c r="B27" s="8">
        <v>46107</v>
      </c>
      <c r="C27" s="5" t="s">
        <v>239</v>
      </c>
      <c r="D27" s="5" t="s">
        <v>240</v>
      </c>
      <c r="E27" s="5" t="s">
        <v>40</v>
      </c>
      <c r="F27" s="5"/>
      <c r="G27" s="6">
        <v>20000</v>
      </c>
      <c r="H27" s="5" t="s">
        <v>241</v>
      </c>
    </row>
    <row r="28" spans="1:8" x14ac:dyDescent="0.45">
      <c r="A28">
        <v>25</v>
      </c>
      <c r="B28" s="8">
        <v>46107</v>
      </c>
      <c r="C28" s="5" t="s">
        <v>239</v>
      </c>
      <c r="D28" s="5" t="s">
        <v>240</v>
      </c>
      <c r="E28" s="5" t="s">
        <v>22</v>
      </c>
      <c r="F28" s="5"/>
      <c r="G28" s="6">
        <v>150000</v>
      </c>
      <c r="H28" s="5" t="s">
        <v>241</v>
      </c>
    </row>
    <row r="29" spans="1:8" x14ac:dyDescent="0.45">
      <c r="A29">
        <v>26</v>
      </c>
      <c r="B29" s="8">
        <v>46107</v>
      </c>
      <c r="C29" s="28" t="s">
        <v>250</v>
      </c>
      <c r="D29" s="5" t="s">
        <v>253</v>
      </c>
      <c r="E29" s="5" t="s">
        <v>228</v>
      </c>
      <c r="F29" s="5" t="s">
        <v>267</v>
      </c>
      <c r="G29" s="6">
        <v>100000</v>
      </c>
      <c r="H29" s="5" t="s">
        <v>241</v>
      </c>
    </row>
    <row r="30" spans="1:8" x14ac:dyDescent="0.45">
      <c r="A30">
        <v>27</v>
      </c>
      <c r="B30" s="8">
        <v>46107</v>
      </c>
      <c r="C30" s="28" t="s">
        <v>250</v>
      </c>
      <c r="D30" s="5" t="s">
        <v>253</v>
      </c>
      <c r="E30" s="5" t="s">
        <v>228</v>
      </c>
      <c r="F30" s="5"/>
      <c r="G30" s="6">
        <v>100000</v>
      </c>
      <c r="H30" s="5" t="s">
        <v>241</v>
      </c>
    </row>
    <row r="31" spans="1:8" x14ac:dyDescent="0.45">
      <c r="A31">
        <v>28</v>
      </c>
      <c r="B31" s="8">
        <v>46106</v>
      </c>
      <c r="C31" s="5" t="s">
        <v>254</v>
      </c>
      <c r="D31" s="5" t="s">
        <v>255</v>
      </c>
      <c r="E31" s="5" t="s">
        <v>16</v>
      </c>
      <c r="F31" s="5"/>
      <c r="G31" s="6">
        <v>7550</v>
      </c>
      <c r="H31" s="5" t="s">
        <v>242</v>
      </c>
    </row>
    <row r="32" spans="1:8" x14ac:dyDescent="0.45">
      <c r="A32">
        <v>29</v>
      </c>
      <c r="B32" s="8">
        <v>46107</v>
      </c>
      <c r="C32" s="5" t="s">
        <v>256</v>
      </c>
      <c r="D32" s="5" t="s">
        <v>257</v>
      </c>
      <c r="E32" s="5"/>
      <c r="F32" s="5" t="s">
        <v>258</v>
      </c>
      <c r="G32" s="6">
        <v>750</v>
      </c>
      <c r="H32" s="5" t="s">
        <v>242</v>
      </c>
    </row>
    <row r="33" spans="1:8" x14ac:dyDescent="0.45">
      <c r="A33">
        <v>30</v>
      </c>
      <c r="B33" s="8">
        <v>46107</v>
      </c>
      <c r="C33" s="5" t="s">
        <v>254</v>
      </c>
      <c r="D33" s="5" t="s">
        <v>255</v>
      </c>
      <c r="E33" s="5" t="s">
        <v>67</v>
      </c>
      <c r="F33" s="5"/>
      <c r="G33" s="6">
        <v>40000</v>
      </c>
      <c r="H33" s="5" t="s">
        <v>242</v>
      </c>
    </row>
    <row r="34" spans="1:8" x14ac:dyDescent="0.45">
      <c r="A34">
        <v>31</v>
      </c>
      <c r="B34" s="8">
        <v>46107</v>
      </c>
      <c r="C34" s="5" t="s">
        <v>254</v>
      </c>
      <c r="D34" s="5" t="s">
        <v>259</v>
      </c>
      <c r="E34" s="5" t="s">
        <v>42</v>
      </c>
      <c r="F34" s="5"/>
      <c r="G34" s="6">
        <v>7920</v>
      </c>
      <c r="H34" s="5" t="s">
        <v>242</v>
      </c>
    </row>
    <row r="35" spans="1:8" x14ac:dyDescent="0.45">
      <c r="A35">
        <v>32</v>
      </c>
      <c r="B35" s="8">
        <v>46107</v>
      </c>
      <c r="C35" s="5" t="s">
        <v>254</v>
      </c>
      <c r="D35" s="5" t="s">
        <v>259</v>
      </c>
      <c r="E35" s="5" t="s">
        <v>237</v>
      </c>
      <c r="F35" s="5"/>
      <c r="G35" s="6">
        <v>2640</v>
      </c>
      <c r="H35" s="5" t="s">
        <v>242</v>
      </c>
    </row>
    <row r="36" spans="1:8" x14ac:dyDescent="0.45">
      <c r="A36">
        <v>33</v>
      </c>
      <c r="B36" s="8">
        <v>46107</v>
      </c>
      <c r="C36" s="5" t="s">
        <v>254</v>
      </c>
      <c r="D36" s="5" t="s">
        <v>259</v>
      </c>
      <c r="E36" s="5" t="s">
        <v>26</v>
      </c>
      <c r="F36" s="5"/>
      <c r="G36" s="6">
        <v>5520</v>
      </c>
      <c r="H36" s="5" t="s">
        <v>242</v>
      </c>
    </row>
    <row r="37" spans="1:8" x14ac:dyDescent="0.45">
      <c r="A37">
        <v>34</v>
      </c>
      <c r="B37" s="8">
        <v>46107</v>
      </c>
      <c r="C37" s="5" t="s">
        <v>254</v>
      </c>
      <c r="D37" s="5" t="s">
        <v>259</v>
      </c>
      <c r="E37" s="5" t="s">
        <v>51</v>
      </c>
      <c r="F37" s="5"/>
      <c r="G37" s="6">
        <v>7200</v>
      </c>
      <c r="H37" s="5" t="s">
        <v>242</v>
      </c>
    </row>
    <row r="38" spans="1:8" x14ac:dyDescent="0.45">
      <c r="A38">
        <v>35</v>
      </c>
      <c r="B38" s="8">
        <v>46107</v>
      </c>
      <c r="C38" s="5" t="s">
        <v>254</v>
      </c>
      <c r="D38" s="5" t="s">
        <v>255</v>
      </c>
      <c r="E38" s="5" t="s">
        <v>16</v>
      </c>
      <c r="F38" s="5"/>
      <c r="G38" s="6">
        <v>100000</v>
      </c>
      <c r="H38" s="5" t="s">
        <v>242</v>
      </c>
    </row>
    <row r="39" spans="1:8" x14ac:dyDescent="0.45">
      <c r="A39">
        <v>36</v>
      </c>
      <c r="B39" s="8">
        <v>46107</v>
      </c>
      <c r="C39" s="5" t="s">
        <v>256</v>
      </c>
      <c r="D39" s="5" t="s">
        <v>257</v>
      </c>
      <c r="E39" s="5"/>
      <c r="F39" s="5" t="s">
        <v>258</v>
      </c>
      <c r="G39" s="6">
        <v>693</v>
      </c>
      <c r="H39" s="5" t="s">
        <v>242</v>
      </c>
    </row>
    <row r="40" spans="1:8" x14ac:dyDescent="0.45">
      <c r="A40">
        <v>37</v>
      </c>
      <c r="B40" s="8">
        <v>46107</v>
      </c>
      <c r="C40" s="5" t="s">
        <v>254</v>
      </c>
      <c r="D40" s="5" t="s">
        <v>255</v>
      </c>
      <c r="E40" s="5" t="s">
        <v>26</v>
      </c>
      <c r="F40" s="5"/>
      <c r="G40" s="6">
        <v>50000</v>
      </c>
      <c r="H40" s="5" t="s">
        <v>241</v>
      </c>
    </row>
    <row r="41" spans="1:8" x14ac:dyDescent="0.45">
      <c r="A41">
        <v>38</v>
      </c>
      <c r="B41" s="8">
        <v>46107</v>
      </c>
      <c r="C41" s="5" t="s">
        <v>256</v>
      </c>
      <c r="D41" s="5" t="s">
        <v>260</v>
      </c>
      <c r="E41" s="5"/>
      <c r="F41" s="5" t="s">
        <v>261</v>
      </c>
      <c r="G41" s="6">
        <v>500</v>
      </c>
      <c r="H41" s="5" t="s">
        <v>241</v>
      </c>
    </row>
    <row r="42" spans="1:8" x14ac:dyDescent="0.45">
      <c r="A42">
        <v>39</v>
      </c>
      <c r="B42" s="8">
        <v>46107</v>
      </c>
      <c r="C42" s="5" t="s">
        <v>254</v>
      </c>
      <c r="D42" s="5" t="s">
        <v>245</v>
      </c>
      <c r="E42" s="5" t="s">
        <v>42</v>
      </c>
      <c r="F42" s="5"/>
      <c r="G42" s="6">
        <v>1980</v>
      </c>
      <c r="H42" s="5" t="s">
        <v>241</v>
      </c>
    </row>
    <row r="43" spans="1:8" x14ac:dyDescent="0.45">
      <c r="A43">
        <v>40</v>
      </c>
      <c r="B43" s="8">
        <v>46107</v>
      </c>
      <c r="C43" s="5" t="s">
        <v>254</v>
      </c>
      <c r="D43" s="5" t="s">
        <v>262</v>
      </c>
      <c r="E43" s="5" t="s">
        <v>42</v>
      </c>
      <c r="F43" s="5"/>
      <c r="G43" s="6">
        <v>200</v>
      </c>
      <c r="H43" s="5" t="s">
        <v>241</v>
      </c>
    </row>
    <row r="44" spans="1:8" x14ac:dyDescent="0.45">
      <c r="A44">
        <v>41</v>
      </c>
      <c r="B44" s="8">
        <v>46107</v>
      </c>
      <c r="C44" s="5" t="s">
        <v>254</v>
      </c>
      <c r="D44" s="5" t="s">
        <v>245</v>
      </c>
      <c r="E44" s="5" t="s">
        <v>237</v>
      </c>
      <c r="F44" s="5"/>
      <c r="G44" s="6">
        <v>660</v>
      </c>
      <c r="H44" s="5" t="s">
        <v>241</v>
      </c>
    </row>
    <row r="45" spans="1:8" x14ac:dyDescent="0.45">
      <c r="A45">
        <v>42</v>
      </c>
      <c r="B45" s="8">
        <v>46107</v>
      </c>
      <c r="C45" s="5" t="s">
        <v>254</v>
      </c>
      <c r="D45" s="5" t="s">
        <v>262</v>
      </c>
      <c r="E45" s="5" t="s">
        <v>237</v>
      </c>
      <c r="F45" s="5"/>
      <c r="G45" s="6">
        <v>100</v>
      </c>
      <c r="H45" s="5" t="s">
        <v>241</v>
      </c>
    </row>
    <row r="46" spans="1:8" x14ac:dyDescent="0.45">
      <c r="A46">
        <v>43</v>
      </c>
      <c r="B46" s="8">
        <v>46107</v>
      </c>
      <c r="C46" s="5" t="s">
        <v>254</v>
      </c>
      <c r="D46" s="5" t="s">
        <v>245</v>
      </c>
      <c r="E46" s="5" t="s">
        <v>51</v>
      </c>
      <c r="F46" s="5"/>
      <c r="G46" s="6">
        <v>1440</v>
      </c>
      <c r="H46" s="5" t="s">
        <v>241</v>
      </c>
    </row>
    <row r="47" spans="1:8" x14ac:dyDescent="0.45">
      <c r="A47">
        <v>44</v>
      </c>
      <c r="B47" s="8">
        <v>46107</v>
      </c>
      <c r="C47" s="5" t="s">
        <v>254</v>
      </c>
      <c r="D47" s="5" t="s">
        <v>262</v>
      </c>
      <c r="E47" s="5" t="s">
        <v>51</v>
      </c>
      <c r="F47" s="5"/>
      <c r="G47" s="6">
        <v>200</v>
      </c>
      <c r="H47" s="5" t="s">
        <v>241</v>
      </c>
    </row>
    <row r="48" spans="1:8" x14ac:dyDescent="0.45">
      <c r="A48">
        <v>45</v>
      </c>
      <c r="B48" s="8">
        <v>46107</v>
      </c>
      <c r="C48" s="5" t="s">
        <v>254</v>
      </c>
      <c r="D48" s="5" t="s">
        <v>245</v>
      </c>
      <c r="E48" s="5" t="s">
        <v>26</v>
      </c>
      <c r="F48" s="5"/>
      <c r="G48" s="6">
        <v>1380</v>
      </c>
      <c r="H48" s="5" t="s">
        <v>241</v>
      </c>
    </row>
    <row r="49" spans="1:8" x14ac:dyDescent="0.45">
      <c r="A49">
        <v>46</v>
      </c>
      <c r="B49" s="8">
        <v>46107</v>
      </c>
      <c r="C49" s="5" t="s">
        <v>254</v>
      </c>
      <c r="D49" s="5" t="s">
        <v>262</v>
      </c>
      <c r="E49" s="5" t="s">
        <v>26</v>
      </c>
      <c r="F49" s="5"/>
      <c r="G49" s="6">
        <v>150</v>
      </c>
      <c r="H49" s="5" t="s">
        <v>241</v>
      </c>
    </row>
    <row r="50" spans="1:8" x14ac:dyDescent="0.45">
      <c r="A50">
        <v>47</v>
      </c>
      <c r="B50" s="8">
        <v>46107</v>
      </c>
      <c r="C50" s="5" t="s">
        <v>256</v>
      </c>
      <c r="D50" s="5" t="s">
        <v>263</v>
      </c>
      <c r="E50" s="5"/>
      <c r="F50" s="5" t="s">
        <v>264</v>
      </c>
      <c r="G50" s="6">
        <v>1000</v>
      </c>
      <c r="H50" s="5" t="s">
        <v>241</v>
      </c>
    </row>
    <row r="51" spans="1:8" x14ac:dyDescent="0.45">
      <c r="A51">
        <v>48</v>
      </c>
      <c r="B51" s="8">
        <v>46107</v>
      </c>
      <c r="C51" s="5" t="s">
        <v>254</v>
      </c>
      <c r="D51" s="5" t="s">
        <v>255</v>
      </c>
      <c r="E51" s="5" t="s">
        <v>42</v>
      </c>
      <c r="F51" s="5" t="s">
        <v>265</v>
      </c>
      <c r="G51" s="6">
        <v>200000</v>
      </c>
      <c r="H51" s="5" t="s">
        <v>241</v>
      </c>
    </row>
    <row r="52" spans="1:8" x14ac:dyDescent="0.45">
      <c r="A52">
        <v>49</v>
      </c>
      <c r="B52" s="8">
        <v>46107</v>
      </c>
      <c r="C52" s="5" t="s">
        <v>254</v>
      </c>
      <c r="D52" s="5" t="s">
        <v>255</v>
      </c>
      <c r="E52" s="5" t="s">
        <v>42</v>
      </c>
      <c r="F52" s="5"/>
      <c r="G52" s="6">
        <v>110686</v>
      </c>
      <c r="H52" s="5" t="s">
        <v>242</v>
      </c>
    </row>
    <row r="53" spans="1:8" x14ac:dyDescent="0.45">
      <c r="A53">
        <v>50</v>
      </c>
      <c r="B53" s="8">
        <v>46107</v>
      </c>
      <c r="C53" s="5" t="s">
        <v>254</v>
      </c>
      <c r="D53" s="5" t="s">
        <v>255</v>
      </c>
      <c r="E53" s="5" t="s">
        <v>51</v>
      </c>
      <c r="F53" s="5" t="s">
        <v>265</v>
      </c>
      <c r="G53" s="6">
        <v>100000</v>
      </c>
      <c r="H53" s="5" t="s">
        <v>241</v>
      </c>
    </row>
    <row r="54" spans="1:8" x14ac:dyDescent="0.45">
      <c r="A54">
        <v>51</v>
      </c>
      <c r="B54" s="8">
        <v>46107</v>
      </c>
      <c r="C54" s="5" t="s">
        <v>254</v>
      </c>
      <c r="D54" s="5" t="s">
        <v>255</v>
      </c>
      <c r="E54" s="5" t="s">
        <v>26</v>
      </c>
      <c r="F54" s="5" t="s">
        <v>266</v>
      </c>
      <c r="G54" s="6">
        <v>100000</v>
      </c>
      <c r="H54" s="5" t="s">
        <v>241</v>
      </c>
    </row>
    <row r="55" spans="1:8" x14ac:dyDescent="0.45">
      <c r="A55">
        <v>52</v>
      </c>
      <c r="B55" s="8">
        <v>46107</v>
      </c>
      <c r="C55" s="5" t="s">
        <v>254</v>
      </c>
      <c r="D55" s="5" t="s">
        <v>255</v>
      </c>
      <c r="E55" s="5" t="s">
        <v>51</v>
      </c>
      <c r="F55" s="5"/>
      <c r="G55" s="6">
        <v>100000</v>
      </c>
      <c r="H55" s="5" t="s">
        <v>242</v>
      </c>
    </row>
    <row r="56" spans="1:8" x14ac:dyDescent="0.45">
      <c r="A56">
        <v>53</v>
      </c>
      <c r="B56" s="8">
        <v>46107</v>
      </c>
      <c r="C56" s="5" t="s">
        <v>254</v>
      </c>
      <c r="D56" s="5" t="s">
        <v>255</v>
      </c>
      <c r="E56" s="5" t="s">
        <v>26</v>
      </c>
      <c r="F56" s="5"/>
      <c r="G56" s="6">
        <v>50000</v>
      </c>
      <c r="H56" s="5" t="s">
        <v>242</v>
      </c>
    </row>
    <row r="57" spans="1:8" x14ac:dyDescent="0.45">
      <c r="A57">
        <v>54</v>
      </c>
      <c r="B57" s="8">
        <v>46107</v>
      </c>
      <c r="C57" s="5" t="s">
        <v>254</v>
      </c>
      <c r="D57" s="5" t="s">
        <v>255</v>
      </c>
      <c r="E57" s="5" t="s">
        <v>237</v>
      </c>
      <c r="F57" s="5" t="s">
        <v>268</v>
      </c>
      <c r="G57" s="6">
        <v>54630</v>
      </c>
      <c r="H57" s="5" t="s">
        <v>242</v>
      </c>
    </row>
    <row r="58" spans="1:8" x14ac:dyDescent="0.45">
      <c r="A58">
        <v>55</v>
      </c>
      <c r="B58" s="8">
        <v>46107</v>
      </c>
      <c r="C58" s="5" t="s">
        <v>254</v>
      </c>
      <c r="D58" s="5" t="s">
        <v>255</v>
      </c>
      <c r="E58" s="5" t="s">
        <v>237</v>
      </c>
      <c r="F58" s="5" t="s">
        <v>269</v>
      </c>
      <c r="G58" s="6">
        <v>50000</v>
      </c>
      <c r="H58" s="5" t="s">
        <v>242</v>
      </c>
    </row>
    <row r="59" spans="1:8" x14ac:dyDescent="0.45">
      <c r="A59">
        <v>56</v>
      </c>
      <c r="B59" s="8">
        <v>46107</v>
      </c>
      <c r="C59" s="5" t="s">
        <v>254</v>
      </c>
      <c r="D59" s="5" t="s">
        <v>255</v>
      </c>
      <c r="E59" s="5" t="s">
        <v>31</v>
      </c>
      <c r="F59" s="5"/>
      <c r="G59" s="6">
        <v>142530</v>
      </c>
      <c r="H59" s="5" t="s">
        <v>242</v>
      </c>
    </row>
    <row r="60" spans="1:8" x14ac:dyDescent="0.45">
      <c r="A60">
        <v>57</v>
      </c>
      <c r="B60" s="8">
        <v>46107</v>
      </c>
      <c r="C60" s="5" t="s">
        <v>256</v>
      </c>
      <c r="D60" s="5" t="s">
        <v>270</v>
      </c>
      <c r="E60" s="5"/>
      <c r="F60" s="5" t="s">
        <v>271</v>
      </c>
      <c r="G60" s="6">
        <v>3900</v>
      </c>
      <c r="H60" s="5" t="s">
        <v>241</v>
      </c>
    </row>
    <row r="61" spans="1:8" x14ac:dyDescent="0.45">
      <c r="A61">
        <v>58</v>
      </c>
      <c r="B61" s="8">
        <v>46108</v>
      </c>
      <c r="C61" s="5" t="s">
        <v>239</v>
      </c>
      <c r="D61" s="5" t="s">
        <v>240</v>
      </c>
      <c r="E61" s="5" t="s">
        <v>89</v>
      </c>
      <c r="F61" s="5"/>
      <c r="G61" s="6">
        <v>21000</v>
      </c>
      <c r="H61" s="5" t="s">
        <v>241</v>
      </c>
    </row>
    <row r="62" spans="1:8" x14ac:dyDescent="0.45">
      <c r="A62">
        <v>59</v>
      </c>
      <c r="B62" s="8">
        <v>46109</v>
      </c>
      <c r="C62" s="5" t="s">
        <v>239</v>
      </c>
      <c r="D62" s="5" t="s">
        <v>240</v>
      </c>
      <c r="E62" s="5" t="s">
        <v>27</v>
      </c>
      <c r="F62" s="5"/>
      <c r="G62" s="6">
        <v>16500</v>
      </c>
      <c r="H62" s="5" t="s">
        <v>241</v>
      </c>
    </row>
    <row r="63" spans="1:8" x14ac:dyDescent="0.45">
      <c r="A63">
        <v>60</v>
      </c>
      <c r="B63" s="8">
        <v>46109</v>
      </c>
      <c r="C63" s="5" t="s">
        <v>239</v>
      </c>
      <c r="D63" s="5" t="s">
        <v>240</v>
      </c>
      <c r="E63" s="5" t="s">
        <v>27</v>
      </c>
      <c r="F63" s="5"/>
      <c r="G63" s="6">
        <v>11961</v>
      </c>
      <c r="H63" s="5" t="s">
        <v>242</v>
      </c>
    </row>
    <row r="64" spans="1:8" x14ac:dyDescent="0.45">
      <c r="A64">
        <v>61</v>
      </c>
      <c r="B64" s="8">
        <v>46109</v>
      </c>
      <c r="C64" s="5" t="s">
        <v>239</v>
      </c>
      <c r="D64" s="5" t="s">
        <v>240</v>
      </c>
      <c r="E64" s="5" t="s">
        <v>85</v>
      </c>
      <c r="F64" s="5"/>
      <c r="G64" s="6">
        <v>30000</v>
      </c>
      <c r="H64" s="5" t="s">
        <v>242</v>
      </c>
    </row>
    <row r="65" spans="1:8" x14ac:dyDescent="0.45">
      <c r="A65">
        <v>62</v>
      </c>
      <c r="B65" s="8">
        <v>46109</v>
      </c>
      <c r="C65" s="5" t="s">
        <v>239</v>
      </c>
      <c r="D65" s="5" t="s">
        <v>240</v>
      </c>
      <c r="E65" s="5" t="s">
        <v>52</v>
      </c>
      <c r="F65" s="5"/>
      <c r="G65" s="6">
        <v>40000</v>
      </c>
      <c r="H65" s="5" t="s">
        <v>242</v>
      </c>
    </row>
    <row r="66" spans="1:8" x14ac:dyDescent="0.45">
      <c r="A66">
        <v>63</v>
      </c>
      <c r="B66" s="8">
        <v>46109</v>
      </c>
      <c r="C66" s="5" t="s">
        <v>250</v>
      </c>
      <c r="D66" s="5" t="s">
        <v>253</v>
      </c>
      <c r="E66" s="5" t="s">
        <v>247</v>
      </c>
      <c r="F66" s="5"/>
      <c r="G66" s="6">
        <v>50000</v>
      </c>
      <c r="H66" s="5" t="s">
        <v>242</v>
      </c>
    </row>
    <row r="67" spans="1:8" x14ac:dyDescent="0.45">
      <c r="A67">
        <v>64</v>
      </c>
      <c r="B67" s="8">
        <v>46109</v>
      </c>
      <c r="C67" s="5" t="s">
        <v>239</v>
      </c>
      <c r="D67" s="5" t="s">
        <v>240</v>
      </c>
      <c r="E67" s="5" t="s">
        <v>86</v>
      </c>
      <c r="F67" s="5"/>
      <c r="G67" s="6">
        <v>100000</v>
      </c>
      <c r="H67" s="5" t="s">
        <v>242</v>
      </c>
    </row>
    <row r="68" spans="1:8" x14ac:dyDescent="0.45">
      <c r="A68">
        <v>65</v>
      </c>
      <c r="B68" s="8">
        <v>46109</v>
      </c>
      <c r="C68" s="5" t="s">
        <v>239</v>
      </c>
      <c r="D68" s="5" t="s">
        <v>240</v>
      </c>
      <c r="E68" s="5" t="s">
        <v>46</v>
      </c>
      <c r="F68" s="5"/>
      <c r="G68" s="6">
        <v>50000</v>
      </c>
      <c r="H68" s="5" t="s">
        <v>242</v>
      </c>
    </row>
    <row r="69" spans="1:8" x14ac:dyDescent="0.45">
      <c r="A69">
        <v>66</v>
      </c>
      <c r="B69" s="8">
        <v>46109</v>
      </c>
      <c r="C69" s="5" t="s">
        <v>239</v>
      </c>
      <c r="D69" s="5" t="s">
        <v>240</v>
      </c>
      <c r="E69" s="5" t="s">
        <v>76</v>
      </c>
      <c r="F69" s="5"/>
      <c r="G69" s="6">
        <v>34000</v>
      </c>
      <c r="H69" s="5" t="s">
        <v>242</v>
      </c>
    </row>
    <row r="70" spans="1:8" x14ac:dyDescent="0.45">
      <c r="A70">
        <v>67</v>
      </c>
      <c r="B70" s="8">
        <v>46109</v>
      </c>
      <c r="C70" s="5" t="s">
        <v>239</v>
      </c>
      <c r="D70" s="5" t="s">
        <v>240</v>
      </c>
      <c r="E70" s="5" t="s">
        <v>89</v>
      </c>
      <c r="F70" s="5"/>
      <c r="G70" s="6">
        <v>5000</v>
      </c>
      <c r="H70" s="5" t="s">
        <v>242</v>
      </c>
    </row>
    <row r="71" spans="1:8" x14ac:dyDescent="0.45">
      <c r="A71">
        <v>68</v>
      </c>
      <c r="B71" s="8">
        <v>46109</v>
      </c>
      <c r="C71" s="5" t="s">
        <v>239</v>
      </c>
      <c r="D71" s="5" t="s">
        <v>240</v>
      </c>
      <c r="E71" s="5" t="s">
        <v>89</v>
      </c>
      <c r="F71" s="5"/>
      <c r="G71" s="6">
        <v>7500</v>
      </c>
      <c r="H71" s="5" t="s">
        <v>241</v>
      </c>
    </row>
    <row r="72" spans="1:8" x14ac:dyDescent="0.45">
      <c r="A72">
        <v>69</v>
      </c>
      <c r="B72" s="8">
        <v>46109</v>
      </c>
      <c r="C72" s="5" t="s">
        <v>256</v>
      </c>
      <c r="D72" s="5" t="s">
        <v>249</v>
      </c>
      <c r="E72" s="5"/>
      <c r="F72" s="5" t="s">
        <v>278</v>
      </c>
      <c r="G72" s="6">
        <v>7500</v>
      </c>
      <c r="H72" s="5" t="s">
        <v>241</v>
      </c>
    </row>
    <row r="73" spans="1:8" x14ac:dyDescent="0.45">
      <c r="A73">
        <v>70</v>
      </c>
      <c r="B73" s="8">
        <v>46109</v>
      </c>
      <c r="C73" s="5" t="s">
        <v>24</v>
      </c>
      <c r="D73" s="5" t="s">
        <v>290</v>
      </c>
      <c r="E73" s="5" t="s">
        <v>279</v>
      </c>
      <c r="F73" s="5"/>
      <c r="G73" s="6">
        <v>5000</v>
      </c>
      <c r="H73" s="5" t="s">
        <v>242</v>
      </c>
    </row>
    <row r="74" spans="1:8" x14ac:dyDescent="0.45">
      <c r="A74">
        <v>71</v>
      </c>
      <c r="B74" s="8">
        <v>46109</v>
      </c>
      <c r="C74" s="5" t="s">
        <v>24</v>
      </c>
      <c r="D74" s="5" t="s">
        <v>280</v>
      </c>
      <c r="E74" s="5" t="s">
        <v>279</v>
      </c>
      <c r="F74" s="5"/>
      <c r="G74" s="6">
        <v>5000</v>
      </c>
      <c r="H74" s="5" t="s">
        <v>242</v>
      </c>
    </row>
    <row r="75" spans="1:8" x14ac:dyDescent="0.45">
      <c r="A75">
        <v>72</v>
      </c>
      <c r="B75" s="8">
        <v>46109</v>
      </c>
      <c r="C75" s="5" t="s">
        <v>239</v>
      </c>
      <c r="D75" s="5" t="s">
        <v>240</v>
      </c>
      <c r="E75" s="5" t="s">
        <v>43</v>
      </c>
      <c r="F75" s="5"/>
      <c r="G75" s="6">
        <v>32000</v>
      </c>
      <c r="H75" s="5" t="s">
        <v>242</v>
      </c>
    </row>
    <row r="76" spans="1:8" x14ac:dyDescent="0.45">
      <c r="A76">
        <v>73</v>
      </c>
      <c r="B76" s="8">
        <v>46109</v>
      </c>
      <c r="C76" s="5" t="s">
        <v>239</v>
      </c>
      <c r="D76" s="5" t="s">
        <v>240</v>
      </c>
      <c r="E76" s="5" t="s">
        <v>72</v>
      </c>
      <c r="F76" s="5"/>
      <c r="G76" s="6">
        <v>70000</v>
      </c>
      <c r="H76" s="5" t="s">
        <v>242</v>
      </c>
    </row>
    <row r="77" spans="1:8" x14ac:dyDescent="0.45">
      <c r="A77">
        <v>74</v>
      </c>
      <c r="B77" s="8">
        <v>46109</v>
      </c>
      <c r="C77" s="5" t="s">
        <v>239</v>
      </c>
      <c r="D77" s="5" t="s">
        <v>240</v>
      </c>
      <c r="E77" s="5" t="s">
        <v>32</v>
      </c>
      <c r="F77" s="5"/>
      <c r="G77" s="6">
        <v>67700</v>
      </c>
      <c r="H77" s="5" t="s">
        <v>241</v>
      </c>
    </row>
    <row r="78" spans="1:8" x14ac:dyDescent="0.45">
      <c r="A78">
        <v>75</v>
      </c>
      <c r="B78" s="8">
        <v>46109</v>
      </c>
      <c r="C78" s="5" t="s">
        <v>239</v>
      </c>
      <c r="D78" s="5" t="s">
        <v>240</v>
      </c>
      <c r="E78" s="5" t="s">
        <v>56</v>
      </c>
      <c r="F78" s="5"/>
      <c r="G78" s="6">
        <v>4000</v>
      </c>
      <c r="H78" s="5" t="s">
        <v>241</v>
      </c>
    </row>
    <row r="79" spans="1:8" x14ac:dyDescent="0.45">
      <c r="A79">
        <v>76</v>
      </c>
      <c r="B79" s="8">
        <v>46109</v>
      </c>
      <c r="C79" s="5" t="s">
        <v>239</v>
      </c>
      <c r="D79" s="5" t="s">
        <v>240</v>
      </c>
      <c r="E79" s="5" t="s">
        <v>43</v>
      </c>
      <c r="F79" s="5"/>
      <c r="G79" s="6">
        <v>174000</v>
      </c>
      <c r="H79" s="5" t="s">
        <v>241</v>
      </c>
    </row>
    <row r="80" spans="1:8" x14ac:dyDescent="0.45">
      <c r="A80">
        <v>77</v>
      </c>
      <c r="B80" s="8">
        <v>46109</v>
      </c>
      <c r="C80" s="5" t="s">
        <v>239</v>
      </c>
      <c r="D80" s="5" t="s">
        <v>240</v>
      </c>
      <c r="E80" s="5" t="s">
        <v>236</v>
      </c>
      <c r="F80" s="5"/>
      <c r="G80" s="6">
        <v>42000</v>
      </c>
      <c r="H80" s="5" t="s">
        <v>241</v>
      </c>
    </row>
    <row r="81" spans="1:8" x14ac:dyDescent="0.45">
      <c r="A81">
        <v>78</v>
      </c>
      <c r="B81" s="8">
        <v>46109</v>
      </c>
      <c r="C81" s="5" t="s">
        <v>24</v>
      </c>
      <c r="D81" s="5" t="s">
        <v>290</v>
      </c>
      <c r="E81" s="5" t="s">
        <v>281</v>
      </c>
      <c r="F81" s="5"/>
      <c r="G81" s="6">
        <v>100000</v>
      </c>
      <c r="H81" s="5" t="s">
        <v>241</v>
      </c>
    </row>
    <row r="82" spans="1:8" x14ac:dyDescent="0.45">
      <c r="A82">
        <v>79</v>
      </c>
      <c r="B82" s="8">
        <v>46109</v>
      </c>
      <c r="C82" s="5" t="s">
        <v>254</v>
      </c>
      <c r="D82" s="5" t="s">
        <v>255</v>
      </c>
      <c r="E82" s="5" t="s">
        <v>34</v>
      </c>
      <c r="F82" s="5"/>
      <c r="G82" s="6">
        <v>100000</v>
      </c>
      <c r="H82" s="5" t="s">
        <v>242</v>
      </c>
    </row>
    <row r="83" spans="1:8" x14ac:dyDescent="0.45">
      <c r="A83">
        <v>80</v>
      </c>
      <c r="B83" s="8">
        <v>46109</v>
      </c>
      <c r="C83" s="5" t="s">
        <v>254</v>
      </c>
      <c r="D83" s="5" t="s">
        <v>259</v>
      </c>
      <c r="E83" s="5" t="s">
        <v>67</v>
      </c>
      <c r="F83" s="5"/>
      <c r="G83" s="6">
        <v>4250</v>
      </c>
      <c r="H83" s="5" t="s">
        <v>242</v>
      </c>
    </row>
    <row r="84" spans="1:8" x14ac:dyDescent="0.45">
      <c r="A84">
        <v>81</v>
      </c>
      <c r="B84" s="8">
        <v>46109</v>
      </c>
      <c r="C84" s="5" t="s">
        <v>254</v>
      </c>
      <c r="D84" s="5" t="s">
        <v>259</v>
      </c>
      <c r="E84" s="5" t="s">
        <v>36</v>
      </c>
      <c r="F84" s="5"/>
      <c r="G84" s="6">
        <v>6500</v>
      </c>
      <c r="H84" s="5" t="s">
        <v>242</v>
      </c>
    </row>
    <row r="85" spans="1:8" x14ac:dyDescent="0.45">
      <c r="A85">
        <v>82</v>
      </c>
      <c r="B85" s="8">
        <v>46109</v>
      </c>
      <c r="C85" s="5" t="s">
        <v>254</v>
      </c>
      <c r="D85" s="5" t="s">
        <v>259</v>
      </c>
      <c r="E85" s="5" t="s">
        <v>237</v>
      </c>
      <c r="F85" s="5"/>
      <c r="G85" s="6">
        <v>7440</v>
      </c>
      <c r="H85" s="5" t="s">
        <v>242</v>
      </c>
    </row>
    <row r="86" spans="1:8" x14ac:dyDescent="0.45">
      <c r="A86">
        <v>83</v>
      </c>
      <c r="B86" s="8">
        <v>46109</v>
      </c>
      <c r="C86" s="5" t="s">
        <v>254</v>
      </c>
      <c r="D86" s="5" t="s">
        <v>259</v>
      </c>
      <c r="E86" s="5" t="s">
        <v>31</v>
      </c>
      <c r="F86" s="5"/>
      <c r="G86" s="6">
        <v>10320</v>
      </c>
      <c r="H86" s="5" t="s">
        <v>242</v>
      </c>
    </row>
    <row r="87" spans="1:8" x14ac:dyDescent="0.45">
      <c r="A87">
        <v>84</v>
      </c>
      <c r="B87" s="8">
        <v>46109</v>
      </c>
      <c r="C87" s="5" t="s">
        <v>254</v>
      </c>
      <c r="D87" s="5" t="s">
        <v>255</v>
      </c>
      <c r="E87" s="5" t="s">
        <v>51</v>
      </c>
      <c r="F87" s="5"/>
      <c r="G87" s="6">
        <v>50000</v>
      </c>
      <c r="H87" s="5" t="s">
        <v>242</v>
      </c>
    </row>
    <row r="88" spans="1:8" x14ac:dyDescent="0.45">
      <c r="A88">
        <v>85</v>
      </c>
      <c r="B88" s="8">
        <v>46109</v>
      </c>
      <c r="C88" s="5" t="s">
        <v>254</v>
      </c>
      <c r="D88" s="5" t="s">
        <v>255</v>
      </c>
      <c r="E88" s="5" t="s">
        <v>51</v>
      </c>
      <c r="F88" s="5"/>
      <c r="G88" s="6">
        <v>50000</v>
      </c>
      <c r="H88" s="5" t="s">
        <v>242</v>
      </c>
    </row>
    <row r="89" spans="1:8" x14ac:dyDescent="0.45">
      <c r="A89">
        <v>86</v>
      </c>
      <c r="B89" s="8">
        <v>46109</v>
      </c>
      <c r="C89" s="5" t="s">
        <v>256</v>
      </c>
      <c r="D89" s="5" t="s">
        <v>257</v>
      </c>
      <c r="E89" s="5"/>
      <c r="F89" s="5" t="s">
        <v>282</v>
      </c>
      <c r="G89" s="6">
        <v>3769</v>
      </c>
      <c r="H89" s="5" t="s">
        <v>242</v>
      </c>
    </row>
    <row r="90" spans="1:8" x14ac:dyDescent="0.45">
      <c r="A90">
        <v>87</v>
      </c>
      <c r="B90" s="8">
        <v>46109</v>
      </c>
      <c r="C90" s="5" t="s">
        <v>254</v>
      </c>
      <c r="D90" s="5" t="s">
        <v>255</v>
      </c>
      <c r="E90" s="5" t="s">
        <v>16</v>
      </c>
      <c r="F90" s="5" t="s">
        <v>265</v>
      </c>
      <c r="G90" s="6">
        <v>200000</v>
      </c>
      <c r="H90" s="5" t="s">
        <v>241</v>
      </c>
    </row>
    <row r="91" spans="1:8" x14ac:dyDescent="0.45">
      <c r="A91">
        <v>88</v>
      </c>
      <c r="B91" s="8">
        <v>46109</v>
      </c>
      <c r="C91" s="5" t="s">
        <v>254</v>
      </c>
      <c r="D91" s="5" t="s">
        <v>255</v>
      </c>
      <c r="E91" s="5" t="s">
        <v>26</v>
      </c>
      <c r="F91" s="5" t="s">
        <v>265</v>
      </c>
      <c r="G91" s="6">
        <v>200000</v>
      </c>
      <c r="H91" s="5" t="s">
        <v>241</v>
      </c>
    </row>
    <row r="92" spans="1:8" x14ac:dyDescent="0.45">
      <c r="A92">
        <v>89</v>
      </c>
      <c r="B92" s="8">
        <v>46109</v>
      </c>
      <c r="C92" s="5" t="s">
        <v>254</v>
      </c>
      <c r="D92" s="5" t="s">
        <v>255</v>
      </c>
      <c r="E92" s="5" t="s">
        <v>36</v>
      </c>
      <c r="F92" s="5"/>
      <c r="G92" s="6">
        <v>200000</v>
      </c>
      <c r="H92" s="5" t="s">
        <v>241</v>
      </c>
    </row>
    <row r="93" spans="1:8" x14ac:dyDescent="0.45">
      <c r="A93">
        <v>90</v>
      </c>
      <c r="B93" s="8">
        <v>46109</v>
      </c>
      <c r="C93" s="5" t="s">
        <v>254</v>
      </c>
      <c r="D93" s="5" t="s">
        <v>255</v>
      </c>
      <c r="E93" s="5" t="s">
        <v>67</v>
      </c>
      <c r="F93" s="5"/>
      <c r="G93" s="6">
        <v>150000</v>
      </c>
      <c r="H93" s="5" t="s">
        <v>241</v>
      </c>
    </row>
    <row r="94" spans="1:8" x14ac:dyDescent="0.45">
      <c r="A94">
        <v>91</v>
      </c>
      <c r="B94" s="8">
        <v>46109</v>
      </c>
      <c r="C94" s="5" t="s">
        <v>283</v>
      </c>
      <c r="D94" s="5" t="s">
        <v>284</v>
      </c>
      <c r="E94" s="5"/>
      <c r="F94" s="5"/>
      <c r="G94" s="6">
        <v>20000</v>
      </c>
      <c r="H94" s="5" t="s">
        <v>242</v>
      </c>
    </row>
    <row r="95" spans="1:8" x14ac:dyDescent="0.45">
      <c r="A95">
        <v>92</v>
      </c>
      <c r="B95" s="8">
        <v>46109</v>
      </c>
      <c r="C95" s="5" t="s">
        <v>256</v>
      </c>
      <c r="D95" s="5" t="s">
        <v>260</v>
      </c>
      <c r="E95" s="5"/>
      <c r="F95" s="5"/>
      <c r="G95" s="6">
        <v>1000</v>
      </c>
      <c r="H95" s="5" t="s">
        <v>241</v>
      </c>
    </row>
    <row r="96" spans="1:8" x14ac:dyDescent="0.45">
      <c r="A96">
        <v>93</v>
      </c>
      <c r="B96" s="8">
        <v>46109</v>
      </c>
      <c r="C96" s="5" t="s">
        <v>256</v>
      </c>
      <c r="D96" s="5" t="s">
        <v>285</v>
      </c>
      <c r="E96" s="5"/>
      <c r="F96" s="5"/>
      <c r="G96" s="6">
        <v>1000</v>
      </c>
      <c r="H96" s="5" t="s">
        <v>241</v>
      </c>
    </row>
    <row r="97" spans="1:8" x14ac:dyDescent="0.45">
      <c r="A97">
        <v>94</v>
      </c>
      <c r="B97" s="8">
        <v>46109</v>
      </c>
      <c r="C97" s="5" t="s">
        <v>254</v>
      </c>
      <c r="D97" s="5" t="s">
        <v>255</v>
      </c>
      <c r="E97" s="5" t="s">
        <v>34</v>
      </c>
      <c r="F97" s="5"/>
      <c r="G97" s="6">
        <v>20000</v>
      </c>
      <c r="H97" s="5" t="s">
        <v>241</v>
      </c>
    </row>
    <row r="98" spans="1:8" x14ac:dyDescent="0.45">
      <c r="A98">
        <v>95</v>
      </c>
      <c r="B98" s="8">
        <v>46109</v>
      </c>
      <c r="C98" s="5" t="s">
        <v>256</v>
      </c>
      <c r="D98" s="5" t="s">
        <v>286</v>
      </c>
      <c r="E98" s="5"/>
      <c r="F98" s="5"/>
      <c r="G98" s="6">
        <v>4000</v>
      </c>
      <c r="H98" s="5" t="s">
        <v>241</v>
      </c>
    </row>
    <row r="99" spans="1:8" x14ac:dyDescent="0.45">
      <c r="A99">
        <v>96</v>
      </c>
      <c r="B99" s="8">
        <v>46109</v>
      </c>
      <c r="C99" s="5" t="s">
        <v>254</v>
      </c>
      <c r="D99" s="5" t="s">
        <v>255</v>
      </c>
      <c r="E99" s="5" t="s">
        <v>26</v>
      </c>
      <c r="F99" s="5" t="s">
        <v>287</v>
      </c>
      <c r="G99" s="6">
        <v>500</v>
      </c>
      <c r="H99" s="5" t="s">
        <v>241</v>
      </c>
    </row>
    <row r="100" spans="1:8" x14ac:dyDescent="0.45">
      <c r="A100">
        <v>97</v>
      </c>
      <c r="B100" s="8">
        <v>46109</v>
      </c>
      <c r="C100" s="5" t="s">
        <v>254</v>
      </c>
      <c r="D100" s="5" t="s">
        <v>255</v>
      </c>
      <c r="E100" s="5" t="s">
        <v>26</v>
      </c>
      <c r="F100" s="5"/>
      <c r="G100" s="6">
        <v>10000</v>
      </c>
      <c r="H100" s="5" t="s">
        <v>241</v>
      </c>
    </row>
    <row r="101" spans="1:8" x14ac:dyDescent="0.45">
      <c r="A101">
        <v>98</v>
      </c>
      <c r="B101" s="8">
        <v>46109</v>
      </c>
      <c r="C101" s="5" t="s">
        <v>254</v>
      </c>
      <c r="D101" s="5" t="s">
        <v>245</v>
      </c>
      <c r="E101" s="5" t="s">
        <v>51</v>
      </c>
      <c r="F101" s="5"/>
      <c r="G101" s="6">
        <v>1320</v>
      </c>
      <c r="H101" s="5" t="s">
        <v>241</v>
      </c>
    </row>
    <row r="102" spans="1:8" x14ac:dyDescent="0.45">
      <c r="A102">
        <v>99</v>
      </c>
      <c r="B102" s="8">
        <v>46109</v>
      </c>
      <c r="C102" s="5" t="s">
        <v>254</v>
      </c>
      <c r="D102" s="5" t="s">
        <v>262</v>
      </c>
      <c r="E102" s="5" t="s">
        <v>51</v>
      </c>
      <c r="F102" s="5"/>
      <c r="G102" s="6">
        <v>100</v>
      </c>
      <c r="H102" s="5" t="s">
        <v>241</v>
      </c>
    </row>
    <row r="103" spans="1:8" x14ac:dyDescent="0.45">
      <c r="A103">
        <v>100</v>
      </c>
      <c r="B103" s="8">
        <v>46109</v>
      </c>
      <c r="C103" s="5" t="s">
        <v>254</v>
      </c>
      <c r="D103" s="5" t="s">
        <v>245</v>
      </c>
      <c r="E103" s="5" t="s">
        <v>237</v>
      </c>
      <c r="F103" s="5"/>
      <c r="G103" s="6">
        <v>1860</v>
      </c>
      <c r="H103" s="5" t="s">
        <v>241</v>
      </c>
    </row>
    <row r="104" spans="1:8" x14ac:dyDescent="0.45">
      <c r="A104">
        <v>101</v>
      </c>
      <c r="B104" s="8">
        <v>46109</v>
      </c>
      <c r="C104" s="5" t="s">
        <v>254</v>
      </c>
      <c r="D104" s="5" t="s">
        <v>245</v>
      </c>
      <c r="E104" s="5" t="s">
        <v>31</v>
      </c>
      <c r="F104" s="5"/>
      <c r="G104" s="6">
        <v>2580</v>
      </c>
      <c r="H104" s="5" t="s">
        <v>241</v>
      </c>
    </row>
    <row r="105" spans="1:8" x14ac:dyDescent="0.45">
      <c r="A105">
        <v>102</v>
      </c>
      <c r="B105" s="8">
        <v>46109</v>
      </c>
      <c r="C105" s="5" t="s">
        <v>254</v>
      </c>
      <c r="D105" s="5" t="s">
        <v>245</v>
      </c>
      <c r="E105" s="5" t="s">
        <v>48</v>
      </c>
      <c r="F105" s="5"/>
      <c r="G105" s="6">
        <v>1500</v>
      </c>
      <c r="H105" s="5" t="s">
        <v>241</v>
      </c>
    </row>
    <row r="106" spans="1:8" x14ac:dyDescent="0.45">
      <c r="A106">
        <v>103</v>
      </c>
      <c r="B106" s="8">
        <v>46109</v>
      </c>
      <c r="C106" s="5" t="s">
        <v>254</v>
      </c>
      <c r="D106" s="5" t="s">
        <v>245</v>
      </c>
      <c r="E106" s="5" t="s">
        <v>16</v>
      </c>
      <c r="F106" s="5"/>
      <c r="G106" s="6">
        <v>2640</v>
      </c>
      <c r="H106" s="5" t="s">
        <v>241</v>
      </c>
    </row>
    <row r="107" spans="1:8" x14ac:dyDescent="0.45">
      <c r="A107">
        <v>104</v>
      </c>
      <c r="B107" s="8">
        <v>46109</v>
      </c>
      <c r="C107" s="5" t="s">
        <v>254</v>
      </c>
      <c r="D107" s="5" t="s">
        <v>262</v>
      </c>
      <c r="E107" s="5" t="s">
        <v>16</v>
      </c>
      <c r="F107" s="5"/>
      <c r="G107" s="6">
        <v>150</v>
      </c>
      <c r="H107" s="5" t="s">
        <v>241</v>
      </c>
    </row>
    <row r="108" spans="1:8" x14ac:dyDescent="0.45">
      <c r="A108">
        <v>105</v>
      </c>
      <c r="B108" s="8">
        <v>46109</v>
      </c>
      <c r="C108" s="5" t="s">
        <v>254</v>
      </c>
      <c r="D108" s="5" t="s">
        <v>245</v>
      </c>
      <c r="E108" s="5" t="s">
        <v>34</v>
      </c>
      <c r="F108" s="5"/>
      <c r="G108" s="6">
        <v>1920</v>
      </c>
      <c r="H108" s="5" t="s">
        <v>241</v>
      </c>
    </row>
    <row r="109" spans="1:8" x14ac:dyDescent="0.45">
      <c r="A109">
        <v>106</v>
      </c>
      <c r="B109" s="8">
        <v>46109</v>
      </c>
      <c r="C109" s="5" t="s">
        <v>254</v>
      </c>
      <c r="D109" s="5" t="s">
        <v>262</v>
      </c>
      <c r="E109" s="5" t="s">
        <v>34</v>
      </c>
      <c r="F109" s="5"/>
      <c r="G109" s="6">
        <v>150</v>
      </c>
      <c r="H109" s="5" t="s">
        <v>241</v>
      </c>
    </row>
    <row r="110" spans="1:8" x14ac:dyDescent="0.45">
      <c r="A110">
        <v>107</v>
      </c>
      <c r="B110" s="8">
        <v>46109</v>
      </c>
      <c r="C110" s="5" t="s">
        <v>254</v>
      </c>
      <c r="D110" s="5" t="s">
        <v>245</v>
      </c>
      <c r="E110" s="5" t="s">
        <v>26</v>
      </c>
      <c r="F110" s="5"/>
      <c r="G110" s="6">
        <v>2700</v>
      </c>
      <c r="H110" s="5" t="s">
        <v>241</v>
      </c>
    </row>
    <row r="111" spans="1:8" x14ac:dyDescent="0.45">
      <c r="A111">
        <v>108</v>
      </c>
      <c r="B111" s="8">
        <v>46109</v>
      </c>
      <c r="C111" s="5" t="s">
        <v>254</v>
      </c>
      <c r="D111" s="5" t="s">
        <v>245</v>
      </c>
      <c r="E111" s="5" t="s">
        <v>67</v>
      </c>
      <c r="F111" s="5"/>
      <c r="G111" s="6">
        <v>1020</v>
      </c>
      <c r="H111" s="5" t="s">
        <v>241</v>
      </c>
    </row>
    <row r="112" spans="1:8" x14ac:dyDescent="0.45">
      <c r="A112">
        <v>109</v>
      </c>
      <c r="B112" s="8">
        <v>46109</v>
      </c>
      <c r="C112" s="5" t="s">
        <v>254</v>
      </c>
      <c r="D112" s="5" t="s">
        <v>245</v>
      </c>
      <c r="E112" s="5" t="s">
        <v>36</v>
      </c>
      <c r="F112" s="5"/>
      <c r="G112" s="6">
        <v>1560</v>
      </c>
      <c r="H112" s="5" t="s">
        <v>241</v>
      </c>
    </row>
    <row r="113" spans="1:8" x14ac:dyDescent="0.45">
      <c r="A113">
        <v>110</v>
      </c>
      <c r="B113" s="8">
        <v>46109</v>
      </c>
      <c r="C113" s="5" t="s">
        <v>256</v>
      </c>
      <c r="D113" s="5" t="s">
        <v>263</v>
      </c>
      <c r="E113" s="5"/>
      <c r="F113" s="5" t="s">
        <v>288</v>
      </c>
      <c r="G113" s="6">
        <v>2500</v>
      </c>
      <c r="H113" s="5" t="s">
        <v>241</v>
      </c>
    </row>
    <row r="114" spans="1:8" x14ac:dyDescent="0.45">
      <c r="A114">
        <v>111</v>
      </c>
      <c r="B114" s="8">
        <v>46109</v>
      </c>
      <c r="C114" s="5" t="s">
        <v>254</v>
      </c>
      <c r="D114" s="5" t="s">
        <v>259</v>
      </c>
      <c r="E114" s="5" t="s">
        <v>48</v>
      </c>
      <c r="F114" s="5"/>
      <c r="G114" s="6">
        <v>6000</v>
      </c>
      <c r="H114" s="5" t="s">
        <v>241</v>
      </c>
    </row>
    <row r="115" spans="1:8" x14ac:dyDescent="0.45">
      <c r="A115">
        <v>112</v>
      </c>
      <c r="B115" s="8">
        <v>46109</v>
      </c>
      <c r="C115" s="5" t="s">
        <v>254</v>
      </c>
      <c r="D115" s="5" t="s">
        <v>259</v>
      </c>
      <c r="E115" s="5" t="s">
        <v>34</v>
      </c>
      <c r="F115" s="5"/>
      <c r="G115" s="6">
        <v>7680</v>
      </c>
      <c r="H115" s="5" t="s">
        <v>241</v>
      </c>
    </row>
    <row r="116" spans="1:8" x14ac:dyDescent="0.45">
      <c r="A116">
        <v>113</v>
      </c>
      <c r="B116" s="8">
        <v>46109</v>
      </c>
      <c r="C116" s="5" t="s">
        <v>254</v>
      </c>
      <c r="D116" s="5" t="s">
        <v>259</v>
      </c>
      <c r="E116" s="5" t="s">
        <v>51</v>
      </c>
      <c r="F116" s="5"/>
      <c r="G116" s="6">
        <v>5280</v>
      </c>
      <c r="H116" s="5" t="s">
        <v>241</v>
      </c>
    </row>
    <row r="117" spans="1:8" x14ac:dyDescent="0.45">
      <c r="A117">
        <v>114</v>
      </c>
      <c r="B117" s="8">
        <v>46109</v>
      </c>
      <c r="C117" s="5" t="s">
        <v>254</v>
      </c>
      <c r="D117" s="5" t="s">
        <v>259</v>
      </c>
      <c r="E117" s="5" t="s">
        <v>16</v>
      </c>
      <c r="F117" s="5"/>
      <c r="G117" s="6">
        <v>10560</v>
      </c>
      <c r="H117" s="5" t="s">
        <v>241</v>
      </c>
    </row>
    <row r="118" spans="1:8" x14ac:dyDescent="0.45">
      <c r="A118">
        <v>115</v>
      </c>
      <c r="B118" s="8">
        <v>46109</v>
      </c>
      <c r="C118" s="5" t="s">
        <v>254</v>
      </c>
      <c r="D118" s="5" t="s">
        <v>255</v>
      </c>
      <c r="E118" s="5" t="s">
        <v>51</v>
      </c>
      <c r="F118" s="5" t="s">
        <v>289</v>
      </c>
      <c r="G118" s="6">
        <v>20000</v>
      </c>
      <c r="H118" s="5" t="s">
        <v>241</v>
      </c>
    </row>
    <row r="119" spans="1:8" x14ac:dyDescent="0.45">
      <c r="A119">
        <v>116</v>
      </c>
      <c r="B119" s="8">
        <v>46109</v>
      </c>
      <c r="C119" s="5" t="s">
        <v>254</v>
      </c>
      <c r="D119" s="5" t="s">
        <v>255</v>
      </c>
      <c r="E119" s="5" t="s">
        <v>16</v>
      </c>
      <c r="F119" s="5" t="s">
        <v>289</v>
      </c>
      <c r="G119" s="6">
        <v>50000</v>
      </c>
      <c r="H119" s="5" t="s">
        <v>241</v>
      </c>
    </row>
    <row r="120" spans="1:8" x14ac:dyDescent="0.45">
      <c r="A120">
        <v>117</v>
      </c>
      <c r="B120" s="8">
        <v>46110</v>
      </c>
      <c r="C120" s="5" t="s">
        <v>239</v>
      </c>
      <c r="D120" s="5" t="s">
        <v>240</v>
      </c>
      <c r="E120" s="5" t="s">
        <v>92</v>
      </c>
      <c r="F120" s="5"/>
      <c r="G120" s="6">
        <v>100000</v>
      </c>
      <c r="H120" s="5" t="s">
        <v>241</v>
      </c>
    </row>
    <row r="121" spans="1:8" x14ac:dyDescent="0.45">
      <c r="A121">
        <v>118</v>
      </c>
      <c r="B121" s="8">
        <v>46110</v>
      </c>
      <c r="C121" s="5" t="s">
        <v>239</v>
      </c>
      <c r="D121" s="5" t="s">
        <v>240</v>
      </c>
      <c r="E121" s="5" t="s">
        <v>27</v>
      </c>
      <c r="F121" s="5"/>
      <c r="G121" s="6">
        <v>20000</v>
      </c>
      <c r="H121" s="5" t="s">
        <v>241</v>
      </c>
    </row>
    <row r="122" spans="1:8" x14ac:dyDescent="0.45">
      <c r="A122">
        <v>119</v>
      </c>
      <c r="B122" s="8">
        <v>46111</v>
      </c>
      <c r="C122" s="5" t="s">
        <v>239</v>
      </c>
      <c r="D122" s="5" t="s">
        <v>240</v>
      </c>
      <c r="E122" s="5" t="s">
        <v>29</v>
      </c>
      <c r="F122" s="5"/>
      <c r="G122" s="6">
        <v>100000</v>
      </c>
      <c r="H122" s="5" t="s">
        <v>241</v>
      </c>
    </row>
    <row r="123" spans="1:8" x14ac:dyDescent="0.45">
      <c r="A123">
        <v>120</v>
      </c>
      <c r="B123" s="8">
        <v>46111</v>
      </c>
      <c r="C123" s="5" t="s">
        <v>239</v>
      </c>
      <c r="D123" s="5" t="s">
        <v>240</v>
      </c>
      <c r="E123" s="5" t="s">
        <v>27</v>
      </c>
      <c r="F123" s="5"/>
      <c r="G123" s="6">
        <v>21500</v>
      </c>
      <c r="H123" s="5" t="s">
        <v>241</v>
      </c>
    </row>
    <row r="124" spans="1:8" x14ac:dyDescent="0.45">
      <c r="A124">
        <v>121</v>
      </c>
      <c r="B124" s="8">
        <v>46110</v>
      </c>
      <c r="C124" s="5" t="s">
        <v>239</v>
      </c>
      <c r="D124" s="5" t="s">
        <v>240</v>
      </c>
      <c r="E124" s="5" t="s">
        <v>27</v>
      </c>
      <c r="F124" s="5"/>
      <c r="G124" s="6">
        <v>30828</v>
      </c>
      <c r="H124" s="5" t="s">
        <v>242</v>
      </c>
    </row>
    <row r="125" spans="1:8" x14ac:dyDescent="0.45">
      <c r="A125">
        <v>122</v>
      </c>
      <c r="B125" s="8">
        <v>46111</v>
      </c>
      <c r="C125" s="5" t="s">
        <v>239</v>
      </c>
      <c r="D125" s="5" t="s">
        <v>240</v>
      </c>
      <c r="E125" s="5" t="s">
        <v>72</v>
      </c>
      <c r="F125" s="5"/>
      <c r="G125" s="6">
        <v>30000</v>
      </c>
      <c r="H125" s="5" t="s">
        <v>242</v>
      </c>
    </row>
    <row r="126" spans="1:8" x14ac:dyDescent="0.45">
      <c r="A126">
        <v>123</v>
      </c>
      <c r="B126" s="8">
        <v>46111</v>
      </c>
      <c r="C126" s="5" t="s">
        <v>239</v>
      </c>
      <c r="D126" s="5" t="s">
        <v>240</v>
      </c>
      <c r="E126" s="5" t="s">
        <v>90</v>
      </c>
      <c r="F126" s="5" t="s">
        <v>300</v>
      </c>
      <c r="G126" s="6">
        <v>35000</v>
      </c>
      <c r="H126" s="5" t="s">
        <v>242</v>
      </c>
    </row>
    <row r="127" spans="1:8" x14ac:dyDescent="0.45">
      <c r="A127">
        <v>124</v>
      </c>
      <c r="B127" s="8">
        <v>46111</v>
      </c>
      <c r="C127" s="5" t="s">
        <v>239</v>
      </c>
      <c r="D127" s="5" t="s">
        <v>240</v>
      </c>
      <c r="E127" s="5" t="s">
        <v>276</v>
      </c>
      <c r="F127" s="5"/>
      <c r="G127" s="6">
        <v>23512</v>
      </c>
      <c r="H127" s="5" t="s">
        <v>242</v>
      </c>
    </row>
    <row r="128" spans="1:8" x14ac:dyDescent="0.45">
      <c r="B128" s="8">
        <v>46111</v>
      </c>
      <c r="C128" s="5" t="s">
        <v>239</v>
      </c>
      <c r="D128" s="5" t="s">
        <v>240</v>
      </c>
      <c r="E128" s="5" t="s">
        <v>276</v>
      </c>
      <c r="F128" s="5" t="s">
        <v>310</v>
      </c>
      <c r="G128" s="6">
        <v>238</v>
      </c>
      <c r="H128" s="5" t="s">
        <v>241</v>
      </c>
    </row>
    <row r="129" spans="1:8" x14ac:dyDescent="0.45">
      <c r="A129">
        <v>125</v>
      </c>
      <c r="B129" s="8">
        <v>46111</v>
      </c>
      <c r="C129" s="5" t="s">
        <v>239</v>
      </c>
      <c r="D129" s="5" t="s">
        <v>240</v>
      </c>
      <c r="E129" s="5" t="s">
        <v>275</v>
      </c>
      <c r="F129" s="5"/>
      <c r="G129" s="6">
        <v>49000</v>
      </c>
      <c r="H129" s="5" t="s">
        <v>242</v>
      </c>
    </row>
    <row r="130" spans="1:8" x14ac:dyDescent="0.45">
      <c r="A130">
        <v>126</v>
      </c>
      <c r="B130" s="8">
        <v>46111</v>
      </c>
      <c r="C130" s="5" t="s">
        <v>239</v>
      </c>
      <c r="D130" s="5" t="s">
        <v>240</v>
      </c>
      <c r="E130" s="5" t="s">
        <v>27</v>
      </c>
      <c r="F130" s="5"/>
      <c r="G130" s="6">
        <v>25000</v>
      </c>
      <c r="H130" s="5" t="s">
        <v>242</v>
      </c>
    </row>
    <row r="131" spans="1:8" x14ac:dyDescent="0.45">
      <c r="A131">
        <v>127</v>
      </c>
      <c r="B131" s="8">
        <v>46111</v>
      </c>
      <c r="C131" s="5" t="s">
        <v>239</v>
      </c>
      <c r="D131" s="5" t="s">
        <v>240</v>
      </c>
      <c r="E131" s="5" t="s">
        <v>27</v>
      </c>
      <c r="F131" s="5"/>
      <c r="G131" s="6">
        <v>17000</v>
      </c>
      <c r="H131" s="5" t="s">
        <v>242</v>
      </c>
    </row>
    <row r="132" spans="1:8" x14ac:dyDescent="0.45">
      <c r="A132">
        <v>128</v>
      </c>
      <c r="B132" s="8">
        <v>46111</v>
      </c>
      <c r="C132" s="5" t="s">
        <v>239</v>
      </c>
      <c r="D132" s="5" t="s">
        <v>240</v>
      </c>
      <c r="E132" s="5" t="s">
        <v>90</v>
      </c>
      <c r="F132" s="5" t="s">
        <v>300</v>
      </c>
      <c r="G132" s="6">
        <v>36000</v>
      </c>
      <c r="H132" s="5" t="s">
        <v>242</v>
      </c>
    </row>
    <row r="133" spans="1:8" x14ac:dyDescent="0.45">
      <c r="A133">
        <v>129</v>
      </c>
      <c r="B133" s="8">
        <v>46111</v>
      </c>
      <c r="C133" s="5" t="s">
        <v>239</v>
      </c>
      <c r="D133" s="5" t="s">
        <v>240</v>
      </c>
      <c r="E133" s="5" t="s">
        <v>60</v>
      </c>
      <c r="F133" s="5"/>
      <c r="G133" s="6">
        <v>50000</v>
      </c>
      <c r="H133" s="5" t="s">
        <v>242</v>
      </c>
    </row>
    <row r="134" spans="1:8" x14ac:dyDescent="0.45">
      <c r="A134">
        <v>130</v>
      </c>
      <c r="B134" s="8">
        <v>46111</v>
      </c>
      <c r="C134" s="5" t="s">
        <v>239</v>
      </c>
      <c r="D134" s="5" t="s">
        <v>240</v>
      </c>
      <c r="E134" s="5" t="s">
        <v>233</v>
      </c>
      <c r="F134" s="5"/>
      <c r="G134" s="6">
        <v>50000</v>
      </c>
      <c r="H134" s="5" t="s">
        <v>242</v>
      </c>
    </row>
    <row r="135" spans="1:8" x14ac:dyDescent="0.45">
      <c r="A135">
        <v>131</v>
      </c>
      <c r="B135" s="8">
        <v>46111</v>
      </c>
      <c r="C135" s="5" t="s">
        <v>239</v>
      </c>
      <c r="D135" s="5" t="s">
        <v>240</v>
      </c>
      <c r="E135" s="5" t="s">
        <v>22</v>
      </c>
      <c r="F135" s="5"/>
      <c r="G135" s="6">
        <v>50000</v>
      </c>
      <c r="H135" s="5" t="s">
        <v>242</v>
      </c>
    </row>
    <row r="136" spans="1:8" x14ac:dyDescent="0.45">
      <c r="A136">
        <v>132</v>
      </c>
      <c r="B136" s="8">
        <v>46112</v>
      </c>
      <c r="C136" s="5" t="s">
        <v>239</v>
      </c>
      <c r="D136" s="5" t="s">
        <v>240</v>
      </c>
      <c r="E136" s="5" t="s">
        <v>93</v>
      </c>
      <c r="F136" s="5"/>
      <c r="G136" s="6">
        <v>115500</v>
      </c>
      <c r="H136" s="5" t="s">
        <v>241</v>
      </c>
    </row>
    <row r="137" spans="1:8" x14ac:dyDescent="0.45">
      <c r="A137">
        <v>133</v>
      </c>
      <c r="B137" s="8">
        <v>46112</v>
      </c>
      <c r="C137" s="5" t="s">
        <v>239</v>
      </c>
      <c r="D137" s="5" t="s">
        <v>240</v>
      </c>
      <c r="E137" s="5" t="s">
        <v>236</v>
      </c>
      <c r="F137" s="5"/>
      <c r="G137" s="6">
        <v>19000</v>
      </c>
      <c r="H137" s="5" t="s">
        <v>241</v>
      </c>
    </row>
    <row r="138" spans="1:8" x14ac:dyDescent="0.45">
      <c r="A138">
        <v>134</v>
      </c>
      <c r="B138" s="8">
        <v>46112</v>
      </c>
      <c r="C138" s="5" t="s">
        <v>239</v>
      </c>
      <c r="D138" s="5" t="s">
        <v>240</v>
      </c>
      <c r="E138" s="5" t="s">
        <v>82</v>
      </c>
      <c r="F138" s="5"/>
      <c r="G138" s="6">
        <v>50000</v>
      </c>
      <c r="H138" s="5" t="s">
        <v>241</v>
      </c>
    </row>
    <row r="139" spans="1:8" x14ac:dyDescent="0.45">
      <c r="A139">
        <v>136</v>
      </c>
      <c r="B139" s="8">
        <v>46112</v>
      </c>
      <c r="C139" s="5" t="s">
        <v>239</v>
      </c>
      <c r="D139" s="5" t="s">
        <v>240</v>
      </c>
      <c r="E139" s="5" t="s">
        <v>72</v>
      </c>
      <c r="F139" s="5"/>
      <c r="G139" s="6">
        <v>50000</v>
      </c>
      <c r="H139" s="5" t="s">
        <v>241</v>
      </c>
    </row>
    <row r="140" spans="1:8" x14ac:dyDescent="0.45">
      <c r="A140">
        <v>137</v>
      </c>
      <c r="B140" s="8">
        <v>46112</v>
      </c>
      <c r="C140" s="5" t="s">
        <v>239</v>
      </c>
      <c r="D140" s="5" t="s">
        <v>240</v>
      </c>
      <c r="E140" s="5" t="s">
        <v>86</v>
      </c>
      <c r="F140" s="5"/>
      <c r="G140" s="6">
        <v>54400</v>
      </c>
      <c r="H140" s="5" t="s">
        <v>241</v>
      </c>
    </row>
    <row r="141" spans="1:8" x14ac:dyDescent="0.45">
      <c r="B141" s="8">
        <v>46112</v>
      </c>
      <c r="C141" s="5" t="s">
        <v>239</v>
      </c>
      <c r="D141" s="5" t="s">
        <v>240</v>
      </c>
      <c r="E141" s="5" t="s">
        <v>86</v>
      </c>
      <c r="F141" s="5" t="s">
        <v>311</v>
      </c>
      <c r="G141" s="6">
        <v>1850</v>
      </c>
      <c r="H141" s="5" t="s">
        <v>241</v>
      </c>
    </row>
    <row r="142" spans="1:8" x14ac:dyDescent="0.45">
      <c r="A142">
        <v>138</v>
      </c>
      <c r="B142" s="8">
        <v>46112</v>
      </c>
      <c r="C142" s="5" t="s">
        <v>239</v>
      </c>
      <c r="D142" s="5" t="s">
        <v>240</v>
      </c>
      <c r="E142" s="5" t="s">
        <v>234</v>
      </c>
      <c r="F142" s="5" t="s">
        <v>301</v>
      </c>
      <c r="G142" s="6">
        <v>140000</v>
      </c>
      <c r="H142" s="5" t="s">
        <v>241</v>
      </c>
    </row>
    <row r="143" spans="1:8" x14ac:dyDescent="0.45">
      <c r="A143">
        <v>139</v>
      </c>
      <c r="B143" s="8">
        <v>46109</v>
      </c>
      <c r="C143" s="5" t="s">
        <v>239</v>
      </c>
      <c r="D143" s="5" t="s">
        <v>240</v>
      </c>
      <c r="E143" s="5" t="s">
        <v>22</v>
      </c>
      <c r="F143" s="5" t="s">
        <v>302</v>
      </c>
      <c r="G143" s="6">
        <v>100000</v>
      </c>
      <c r="H143" s="5" t="s">
        <v>241</v>
      </c>
    </row>
    <row r="144" spans="1:8" x14ac:dyDescent="0.45">
      <c r="B144" s="8">
        <v>46111</v>
      </c>
      <c r="C144" s="5" t="s">
        <v>239</v>
      </c>
      <c r="D144" s="5" t="s">
        <v>240</v>
      </c>
      <c r="E144" s="5" t="s">
        <v>298</v>
      </c>
      <c r="F144" s="5"/>
      <c r="G144" s="6">
        <v>109800</v>
      </c>
      <c r="H144" s="5" t="s">
        <v>241</v>
      </c>
    </row>
    <row r="145" spans="1:8" x14ac:dyDescent="0.45">
      <c r="B145" s="8">
        <v>46111</v>
      </c>
      <c r="C145" s="5" t="s">
        <v>239</v>
      </c>
      <c r="D145" s="5" t="s">
        <v>240</v>
      </c>
      <c r="E145" s="5" t="s">
        <v>298</v>
      </c>
      <c r="F145" s="5" t="s">
        <v>311</v>
      </c>
      <c r="G145" s="6">
        <v>200</v>
      </c>
      <c r="H145" s="5" t="s">
        <v>241</v>
      </c>
    </row>
    <row r="146" spans="1:8" x14ac:dyDescent="0.45">
      <c r="B146" s="8">
        <v>46111</v>
      </c>
      <c r="C146" s="5" t="s">
        <v>24</v>
      </c>
      <c r="D146" s="5" t="s">
        <v>290</v>
      </c>
      <c r="E146" s="5" t="s">
        <v>23</v>
      </c>
      <c r="F146" s="5"/>
      <c r="G146" s="6">
        <v>500000</v>
      </c>
      <c r="H146" s="5" t="s">
        <v>241</v>
      </c>
    </row>
    <row r="147" spans="1:8" x14ac:dyDescent="0.45">
      <c r="A147">
        <v>140</v>
      </c>
      <c r="B147" s="8">
        <v>46110</v>
      </c>
      <c r="C147" s="5" t="s">
        <v>250</v>
      </c>
      <c r="D147" s="5" t="s">
        <v>246</v>
      </c>
      <c r="E147" s="5" t="s">
        <v>228</v>
      </c>
      <c r="F147" s="5" t="s">
        <v>303</v>
      </c>
      <c r="G147" s="6">
        <v>100000</v>
      </c>
      <c r="H147" s="5" t="s">
        <v>241</v>
      </c>
    </row>
    <row r="148" spans="1:8" x14ac:dyDescent="0.45">
      <c r="A148">
        <v>141</v>
      </c>
      <c r="B148" s="8">
        <v>46110</v>
      </c>
      <c r="C148" s="5" t="s">
        <v>250</v>
      </c>
      <c r="D148" s="5" t="s">
        <v>253</v>
      </c>
      <c r="E148" s="5" t="s">
        <v>228</v>
      </c>
      <c r="F148" s="5" t="s">
        <v>304</v>
      </c>
      <c r="G148" s="6">
        <v>100000</v>
      </c>
      <c r="H148" s="5" t="s">
        <v>241</v>
      </c>
    </row>
    <row r="149" spans="1:8" x14ac:dyDescent="0.45">
      <c r="A149">
        <v>142</v>
      </c>
      <c r="B149" s="8">
        <v>46110</v>
      </c>
      <c r="C149" s="5" t="s">
        <v>254</v>
      </c>
      <c r="D149" s="5" t="s">
        <v>255</v>
      </c>
      <c r="E149" s="5" t="s">
        <v>237</v>
      </c>
      <c r="F149" s="5" t="s">
        <v>305</v>
      </c>
      <c r="G149" s="6">
        <v>100000</v>
      </c>
      <c r="H149" s="5" t="s">
        <v>241</v>
      </c>
    </row>
    <row r="150" spans="1:8" x14ac:dyDescent="0.45">
      <c r="A150">
        <v>143</v>
      </c>
      <c r="B150" s="8">
        <v>46110</v>
      </c>
      <c r="C150" s="5" t="s">
        <v>254</v>
      </c>
      <c r="D150" s="5" t="s">
        <v>255</v>
      </c>
      <c r="E150" s="5" t="s">
        <v>34</v>
      </c>
      <c r="F150" s="5"/>
      <c r="G150" s="6">
        <v>100000</v>
      </c>
      <c r="H150" s="5" t="s">
        <v>242</v>
      </c>
    </row>
    <row r="151" spans="1:8" x14ac:dyDescent="0.45">
      <c r="A151">
        <v>144</v>
      </c>
      <c r="B151" s="8">
        <v>46110</v>
      </c>
      <c r="C151" s="5" t="s">
        <v>254</v>
      </c>
      <c r="D151" s="5" t="s">
        <v>255</v>
      </c>
      <c r="E151" s="5" t="s">
        <v>16</v>
      </c>
      <c r="F151" s="5"/>
      <c r="G151" s="6">
        <v>98974</v>
      </c>
      <c r="H151" s="5" t="s">
        <v>242</v>
      </c>
    </row>
    <row r="152" spans="1:8" x14ac:dyDescent="0.45">
      <c r="A152">
        <v>145</v>
      </c>
      <c r="B152" s="8">
        <v>46110</v>
      </c>
      <c r="C152" s="5" t="s">
        <v>254</v>
      </c>
      <c r="D152" s="5" t="s">
        <v>255</v>
      </c>
      <c r="E152" s="5" t="s">
        <v>51</v>
      </c>
      <c r="F152" s="5"/>
      <c r="G152" s="6">
        <v>40024</v>
      </c>
      <c r="H152" s="5" t="s">
        <v>242</v>
      </c>
    </row>
    <row r="153" spans="1:8" x14ac:dyDescent="0.45">
      <c r="A153">
        <v>146</v>
      </c>
      <c r="B153" s="8">
        <v>46110</v>
      </c>
      <c r="C153" s="5" t="s">
        <v>254</v>
      </c>
      <c r="D153" s="5" t="s">
        <v>255</v>
      </c>
      <c r="E153" s="5" t="s">
        <v>26</v>
      </c>
      <c r="F153" s="5"/>
      <c r="G153" s="6">
        <v>100000</v>
      </c>
      <c r="H153" s="5" t="s">
        <v>242</v>
      </c>
    </row>
    <row r="154" spans="1:8" x14ac:dyDescent="0.45">
      <c r="A154">
        <v>147</v>
      </c>
      <c r="B154" s="8">
        <v>46111</v>
      </c>
      <c r="C154" s="5" t="s">
        <v>24</v>
      </c>
      <c r="D154" s="5" t="s">
        <v>280</v>
      </c>
      <c r="E154" s="5" t="s">
        <v>281</v>
      </c>
      <c r="F154" s="5"/>
      <c r="G154" s="6">
        <v>100000</v>
      </c>
      <c r="H154" s="5" t="s">
        <v>241</v>
      </c>
    </row>
    <row r="155" spans="1:8" x14ac:dyDescent="0.45">
      <c r="A155">
        <v>148</v>
      </c>
      <c r="B155" s="8">
        <v>46111</v>
      </c>
      <c r="C155" s="5" t="s">
        <v>254</v>
      </c>
      <c r="D155" s="5" t="s">
        <v>255</v>
      </c>
      <c r="E155" s="5" t="s">
        <v>36</v>
      </c>
      <c r="F155" s="5"/>
      <c r="G155" s="6">
        <v>100000</v>
      </c>
      <c r="H155" s="5" t="s">
        <v>241</v>
      </c>
    </row>
    <row r="156" spans="1:8" x14ac:dyDescent="0.45">
      <c r="A156">
        <v>149</v>
      </c>
      <c r="B156" s="8">
        <v>46111</v>
      </c>
      <c r="C156" s="5" t="s">
        <v>254</v>
      </c>
      <c r="D156" s="5" t="s">
        <v>255</v>
      </c>
      <c r="E156" s="5" t="s">
        <v>67</v>
      </c>
      <c r="F156" s="5"/>
      <c r="G156" s="6">
        <v>50000</v>
      </c>
      <c r="H156" s="5" t="s">
        <v>241</v>
      </c>
    </row>
    <row r="157" spans="1:8" x14ac:dyDescent="0.45">
      <c r="A157">
        <v>150</v>
      </c>
      <c r="B157" s="8">
        <v>46111</v>
      </c>
      <c r="C157" s="5" t="s">
        <v>256</v>
      </c>
      <c r="D157" s="5" t="s">
        <v>286</v>
      </c>
      <c r="E157" s="5" t="s">
        <v>125</v>
      </c>
      <c r="F157" s="5"/>
      <c r="G157" s="6">
        <v>14000</v>
      </c>
      <c r="H157" s="5" t="s">
        <v>242</v>
      </c>
    </row>
    <row r="158" spans="1:8" x14ac:dyDescent="0.45">
      <c r="A158">
        <v>151</v>
      </c>
      <c r="B158" s="8">
        <v>46111</v>
      </c>
      <c r="C158" s="5" t="s">
        <v>256</v>
      </c>
      <c r="D158" s="5" t="s">
        <v>285</v>
      </c>
      <c r="E158" s="5"/>
      <c r="F158" s="5"/>
      <c r="G158" s="6">
        <v>20</v>
      </c>
      <c r="H158" s="5" t="s">
        <v>242</v>
      </c>
    </row>
    <row r="159" spans="1:8" x14ac:dyDescent="0.45">
      <c r="A159">
        <v>152</v>
      </c>
      <c r="B159" s="8">
        <v>46111</v>
      </c>
      <c r="C159" s="5" t="s">
        <v>256</v>
      </c>
      <c r="D159" s="5" t="s">
        <v>270</v>
      </c>
      <c r="E159" s="5"/>
      <c r="F159" s="5"/>
      <c r="G159" s="6">
        <v>981</v>
      </c>
      <c r="H159" s="5" t="s">
        <v>241</v>
      </c>
    </row>
    <row r="160" spans="1:8" x14ac:dyDescent="0.45">
      <c r="A160">
        <v>153</v>
      </c>
      <c r="B160" s="8">
        <v>46111</v>
      </c>
      <c r="C160" s="5" t="s">
        <v>254</v>
      </c>
      <c r="D160" s="5" t="s">
        <v>255</v>
      </c>
      <c r="E160" s="5" t="s">
        <v>34</v>
      </c>
      <c r="F160" s="5"/>
      <c r="G160" s="6">
        <v>60000</v>
      </c>
      <c r="H160" s="5" t="s">
        <v>242</v>
      </c>
    </row>
    <row r="161" spans="1:8" x14ac:dyDescent="0.45">
      <c r="A161">
        <v>154</v>
      </c>
      <c r="B161" s="8">
        <v>46111</v>
      </c>
      <c r="C161" s="5" t="s">
        <v>254</v>
      </c>
      <c r="D161" s="5" t="s">
        <v>255</v>
      </c>
      <c r="E161" s="5" t="s">
        <v>48</v>
      </c>
      <c r="F161" s="5"/>
      <c r="G161" s="6">
        <v>32670</v>
      </c>
      <c r="H161" s="5" t="s">
        <v>242</v>
      </c>
    </row>
    <row r="162" spans="1:8" x14ac:dyDescent="0.45">
      <c r="A162">
        <v>155</v>
      </c>
      <c r="B162" s="8">
        <v>46111</v>
      </c>
      <c r="C162" s="5" t="s">
        <v>254</v>
      </c>
      <c r="D162" s="5" t="s">
        <v>255</v>
      </c>
      <c r="E162" s="5" t="s">
        <v>237</v>
      </c>
      <c r="F162" s="5" t="s">
        <v>306</v>
      </c>
      <c r="G162" s="6">
        <v>100000</v>
      </c>
      <c r="H162" s="5" t="s">
        <v>242</v>
      </c>
    </row>
    <row r="163" spans="1:8" x14ac:dyDescent="0.45">
      <c r="A163">
        <v>156</v>
      </c>
      <c r="B163" s="8">
        <v>46111</v>
      </c>
      <c r="C163" s="5" t="s">
        <v>256</v>
      </c>
      <c r="D163" s="5" t="s">
        <v>257</v>
      </c>
      <c r="E163" s="5"/>
      <c r="F163" s="5" t="s">
        <v>258</v>
      </c>
      <c r="G163" s="6">
        <v>735</v>
      </c>
      <c r="H163" s="5" t="s">
        <v>242</v>
      </c>
    </row>
    <row r="164" spans="1:8" x14ac:dyDescent="0.45">
      <c r="A164">
        <v>157</v>
      </c>
      <c r="B164" s="8">
        <v>46111</v>
      </c>
      <c r="C164" s="5" t="s">
        <v>254</v>
      </c>
      <c r="D164" s="5" t="s">
        <v>259</v>
      </c>
      <c r="E164" s="5" t="s">
        <v>48</v>
      </c>
      <c r="F164" s="5"/>
      <c r="G164" s="6">
        <v>1700</v>
      </c>
      <c r="H164" s="5" t="s">
        <v>242</v>
      </c>
    </row>
    <row r="165" spans="1:8" x14ac:dyDescent="0.45">
      <c r="A165">
        <v>158</v>
      </c>
      <c r="B165" s="8">
        <v>46111</v>
      </c>
      <c r="C165" s="5" t="s">
        <v>254</v>
      </c>
      <c r="D165" s="5" t="s">
        <v>259</v>
      </c>
      <c r="E165" s="5" t="s">
        <v>48</v>
      </c>
      <c r="F165" s="5"/>
      <c r="G165" s="6">
        <v>700</v>
      </c>
      <c r="H165" s="5" t="s">
        <v>241</v>
      </c>
    </row>
    <row r="166" spans="1:8" x14ac:dyDescent="0.45">
      <c r="A166">
        <v>159</v>
      </c>
      <c r="B166" s="8">
        <v>46111</v>
      </c>
      <c r="C166" s="5" t="s">
        <v>254</v>
      </c>
      <c r="D166" s="5" t="s">
        <v>259</v>
      </c>
      <c r="E166" s="5" t="s">
        <v>16</v>
      </c>
      <c r="F166" s="5"/>
      <c r="G166" s="6">
        <v>1690</v>
      </c>
      <c r="H166" s="5" t="s">
        <v>242</v>
      </c>
    </row>
    <row r="167" spans="1:8" x14ac:dyDescent="0.45">
      <c r="A167">
        <v>160</v>
      </c>
      <c r="B167" s="8">
        <v>46111</v>
      </c>
      <c r="C167" s="5" t="s">
        <v>254</v>
      </c>
      <c r="D167" s="5" t="s">
        <v>259</v>
      </c>
      <c r="E167" s="5" t="s">
        <v>16</v>
      </c>
      <c r="F167" s="5"/>
      <c r="G167" s="6">
        <v>2870</v>
      </c>
      <c r="H167" s="5" t="s">
        <v>241</v>
      </c>
    </row>
    <row r="168" spans="1:8" x14ac:dyDescent="0.45">
      <c r="A168">
        <v>161</v>
      </c>
      <c r="B168" s="8">
        <v>46111</v>
      </c>
      <c r="C168" s="5" t="s">
        <v>254</v>
      </c>
      <c r="D168" s="5" t="s">
        <v>259</v>
      </c>
      <c r="E168" s="5" t="s">
        <v>51</v>
      </c>
      <c r="F168" s="5"/>
      <c r="G168" s="6">
        <v>1690</v>
      </c>
      <c r="H168" s="5" t="s">
        <v>242</v>
      </c>
    </row>
    <row r="169" spans="1:8" x14ac:dyDescent="0.45">
      <c r="A169">
        <v>162</v>
      </c>
      <c r="B169" s="8">
        <v>46111</v>
      </c>
      <c r="C169" s="5" t="s">
        <v>254</v>
      </c>
      <c r="D169" s="5" t="s">
        <v>259</v>
      </c>
      <c r="E169" s="5" t="s">
        <v>51</v>
      </c>
      <c r="F169" s="5"/>
      <c r="G169" s="6">
        <v>1430</v>
      </c>
      <c r="H169" s="5" t="s">
        <v>241</v>
      </c>
    </row>
    <row r="170" spans="1:8" x14ac:dyDescent="0.45">
      <c r="A170">
        <v>163</v>
      </c>
      <c r="B170" s="8">
        <v>46111</v>
      </c>
      <c r="C170" s="5" t="s">
        <v>254</v>
      </c>
      <c r="D170" s="5" t="s">
        <v>259</v>
      </c>
      <c r="E170" s="5" t="s">
        <v>39</v>
      </c>
      <c r="F170" s="5"/>
      <c r="G170" s="6">
        <v>4080</v>
      </c>
      <c r="H170" s="5" t="s">
        <v>242</v>
      </c>
    </row>
    <row r="171" spans="1:8" x14ac:dyDescent="0.45">
      <c r="A171">
        <v>164</v>
      </c>
      <c r="B171" s="8">
        <v>46111</v>
      </c>
      <c r="C171" s="5" t="s">
        <v>254</v>
      </c>
      <c r="D171" s="5" t="s">
        <v>259</v>
      </c>
      <c r="E171" s="5" t="s">
        <v>26</v>
      </c>
      <c r="F171" s="5"/>
      <c r="G171" s="6">
        <v>6240</v>
      </c>
      <c r="H171" s="5" t="s">
        <v>242</v>
      </c>
    </row>
    <row r="172" spans="1:8" x14ac:dyDescent="0.45">
      <c r="A172">
        <v>165</v>
      </c>
      <c r="B172" s="8">
        <v>46111</v>
      </c>
      <c r="C172" s="5" t="s">
        <v>256</v>
      </c>
      <c r="D172" s="5" t="s">
        <v>285</v>
      </c>
      <c r="E172" s="5"/>
      <c r="F172" s="5" t="s">
        <v>307</v>
      </c>
      <c r="G172" s="6">
        <v>700</v>
      </c>
      <c r="H172" s="5" t="s">
        <v>241</v>
      </c>
    </row>
    <row r="173" spans="1:8" x14ac:dyDescent="0.45">
      <c r="A173">
        <v>166</v>
      </c>
      <c r="B173" s="8">
        <v>46111</v>
      </c>
      <c r="C173" s="5" t="s">
        <v>256</v>
      </c>
      <c r="D173" s="5" t="s">
        <v>257</v>
      </c>
      <c r="E173" s="5"/>
      <c r="F173" s="5" t="s">
        <v>258</v>
      </c>
      <c r="G173" s="6">
        <v>693</v>
      </c>
      <c r="H173" s="5" t="s">
        <v>242</v>
      </c>
    </row>
    <row r="174" spans="1:8" x14ac:dyDescent="0.45">
      <c r="A174">
        <v>167</v>
      </c>
      <c r="B174" s="8">
        <v>46111</v>
      </c>
      <c r="C174" s="5" t="s">
        <v>254</v>
      </c>
      <c r="D174" s="5" t="s">
        <v>259</v>
      </c>
      <c r="E174" s="5" t="s">
        <v>67</v>
      </c>
      <c r="F174" s="5"/>
      <c r="G174" s="6">
        <v>3840</v>
      </c>
      <c r="H174" s="5" t="s">
        <v>242</v>
      </c>
    </row>
    <row r="175" spans="1:8" x14ac:dyDescent="0.45">
      <c r="A175">
        <v>168</v>
      </c>
      <c r="B175" s="8">
        <v>46111</v>
      </c>
      <c r="C175" s="5" t="s">
        <v>254</v>
      </c>
      <c r="D175" s="5" t="s">
        <v>259</v>
      </c>
      <c r="E175" s="5" t="s">
        <v>36</v>
      </c>
      <c r="F175" s="5"/>
      <c r="G175" s="6">
        <v>3600</v>
      </c>
      <c r="H175" s="5" t="s">
        <v>242</v>
      </c>
    </row>
    <row r="176" spans="1:8" x14ac:dyDescent="0.45">
      <c r="A176">
        <v>169</v>
      </c>
      <c r="B176" s="8">
        <v>46111</v>
      </c>
      <c r="C176" s="5" t="s">
        <v>254</v>
      </c>
      <c r="D176" s="5" t="s">
        <v>245</v>
      </c>
      <c r="E176" s="5" t="s">
        <v>36</v>
      </c>
      <c r="F176" s="5"/>
      <c r="G176" s="6">
        <v>900</v>
      </c>
      <c r="H176" s="5" t="s">
        <v>241</v>
      </c>
    </row>
    <row r="177" spans="1:8" x14ac:dyDescent="0.45">
      <c r="A177">
        <v>170</v>
      </c>
      <c r="B177" s="8">
        <v>46111</v>
      </c>
      <c r="C177" s="5" t="s">
        <v>254</v>
      </c>
      <c r="D177" s="5" t="s">
        <v>245</v>
      </c>
      <c r="E177" s="5" t="s">
        <v>48</v>
      </c>
      <c r="F177" s="5"/>
      <c r="G177" s="6">
        <v>3200</v>
      </c>
      <c r="H177" s="5" t="s">
        <v>241</v>
      </c>
    </row>
    <row r="178" spans="1:8" x14ac:dyDescent="0.45">
      <c r="A178">
        <v>171</v>
      </c>
      <c r="B178" s="8">
        <v>46111</v>
      </c>
      <c r="C178" s="5" t="s">
        <v>254</v>
      </c>
      <c r="D178" s="5" t="s">
        <v>245</v>
      </c>
      <c r="E178" s="5" t="s">
        <v>48</v>
      </c>
      <c r="F178" s="5"/>
      <c r="G178" s="6">
        <v>600</v>
      </c>
      <c r="H178" s="5" t="s">
        <v>241</v>
      </c>
    </row>
    <row r="179" spans="1:8" x14ac:dyDescent="0.45">
      <c r="B179" s="8">
        <v>46111</v>
      </c>
      <c r="C179" s="5" t="s">
        <v>254</v>
      </c>
      <c r="D179" s="5" t="s">
        <v>245</v>
      </c>
      <c r="E179" s="5" t="s">
        <v>31</v>
      </c>
      <c r="F179" s="5"/>
      <c r="G179" s="6">
        <v>6080</v>
      </c>
      <c r="H179" s="5" t="s">
        <v>241</v>
      </c>
    </row>
    <row r="180" spans="1:8" x14ac:dyDescent="0.45">
      <c r="A180">
        <v>172</v>
      </c>
      <c r="B180" s="8">
        <v>46111</v>
      </c>
      <c r="C180" s="5" t="s">
        <v>254</v>
      </c>
      <c r="D180" s="5" t="s">
        <v>245</v>
      </c>
      <c r="E180" s="5" t="s">
        <v>16</v>
      </c>
      <c r="F180" s="5"/>
      <c r="G180" s="6">
        <v>1140</v>
      </c>
      <c r="H180" s="5" t="s">
        <v>241</v>
      </c>
    </row>
    <row r="181" spans="1:8" x14ac:dyDescent="0.45">
      <c r="A181">
        <v>173</v>
      </c>
      <c r="B181" s="8">
        <v>46111</v>
      </c>
      <c r="C181" s="5" t="s">
        <v>254</v>
      </c>
      <c r="D181" s="5" t="s">
        <v>262</v>
      </c>
      <c r="E181" s="5" t="s">
        <v>16</v>
      </c>
      <c r="F181" s="5"/>
      <c r="G181" s="6">
        <v>150</v>
      </c>
      <c r="H181" s="5" t="s">
        <v>241</v>
      </c>
    </row>
    <row r="182" spans="1:8" x14ac:dyDescent="0.45">
      <c r="A182">
        <v>174</v>
      </c>
      <c r="B182" s="8">
        <v>46111</v>
      </c>
      <c r="C182" s="5" t="s">
        <v>254</v>
      </c>
      <c r="D182" s="5" t="s">
        <v>245</v>
      </c>
      <c r="E182" s="5" t="s">
        <v>26</v>
      </c>
      <c r="F182" s="5"/>
      <c r="G182" s="6">
        <v>1560</v>
      </c>
      <c r="H182" s="5" t="s">
        <v>241</v>
      </c>
    </row>
    <row r="183" spans="1:8" x14ac:dyDescent="0.45">
      <c r="A183">
        <v>175</v>
      </c>
      <c r="B183" s="8">
        <v>46111</v>
      </c>
      <c r="C183" s="5" t="s">
        <v>254</v>
      </c>
      <c r="D183" s="5" t="s">
        <v>262</v>
      </c>
      <c r="E183" s="5" t="s">
        <v>26</v>
      </c>
      <c r="F183" s="5"/>
      <c r="G183" s="6">
        <v>100</v>
      </c>
      <c r="H183" s="5" t="s">
        <v>241</v>
      </c>
    </row>
    <row r="184" spans="1:8" x14ac:dyDescent="0.45">
      <c r="A184">
        <v>176</v>
      </c>
      <c r="B184" s="8">
        <v>46111</v>
      </c>
      <c r="C184" s="5" t="s">
        <v>254</v>
      </c>
      <c r="D184" s="5" t="s">
        <v>245</v>
      </c>
      <c r="E184" s="5" t="s">
        <v>67</v>
      </c>
      <c r="F184" s="5"/>
      <c r="G184" s="6">
        <v>960</v>
      </c>
      <c r="H184" s="5" t="s">
        <v>241</v>
      </c>
    </row>
    <row r="185" spans="1:8" x14ac:dyDescent="0.45">
      <c r="A185">
        <v>177</v>
      </c>
      <c r="B185" s="8">
        <v>46111</v>
      </c>
      <c r="C185" s="5" t="s">
        <v>254</v>
      </c>
      <c r="D185" s="5" t="s">
        <v>262</v>
      </c>
      <c r="E185" s="5" t="s">
        <v>67</v>
      </c>
      <c r="F185" s="5"/>
      <c r="G185" s="6">
        <v>130</v>
      </c>
      <c r="H185" s="5" t="s">
        <v>241</v>
      </c>
    </row>
    <row r="186" spans="1:8" x14ac:dyDescent="0.45">
      <c r="A186">
        <v>178</v>
      </c>
      <c r="B186" s="8">
        <v>46111</v>
      </c>
      <c r="C186" s="5" t="s">
        <v>254</v>
      </c>
      <c r="D186" s="5" t="s">
        <v>245</v>
      </c>
      <c r="E186" s="5" t="s">
        <v>51</v>
      </c>
      <c r="F186" s="5"/>
      <c r="G186" s="6">
        <v>780</v>
      </c>
      <c r="H186" s="5" t="s">
        <v>241</v>
      </c>
    </row>
    <row r="187" spans="1:8" x14ac:dyDescent="0.45">
      <c r="A187">
        <v>179</v>
      </c>
      <c r="B187" s="8">
        <v>46111</v>
      </c>
      <c r="C187" s="5" t="s">
        <v>254</v>
      </c>
      <c r="D187" s="5" t="s">
        <v>262</v>
      </c>
      <c r="E187" s="5" t="s">
        <v>51</v>
      </c>
      <c r="F187" s="5"/>
      <c r="G187" s="6">
        <v>100</v>
      </c>
      <c r="H187" s="5" t="s">
        <v>241</v>
      </c>
    </row>
    <row r="188" spans="1:8" x14ac:dyDescent="0.45">
      <c r="A188">
        <v>180</v>
      </c>
      <c r="B188" s="8">
        <v>46111</v>
      </c>
      <c r="C188" s="5" t="s">
        <v>254</v>
      </c>
      <c r="D188" s="5" t="s">
        <v>245</v>
      </c>
      <c r="E188" s="5" t="s">
        <v>39</v>
      </c>
      <c r="F188" s="5"/>
      <c r="G188" s="6">
        <v>1020</v>
      </c>
      <c r="H188" s="5" t="s">
        <v>241</v>
      </c>
    </row>
    <row r="189" spans="1:8" x14ac:dyDescent="0.45">
      <c r="A189">
        <v>181</v>
      </c>
      <c r="B189" s="8">
        <v>46111</v>
      </c>
      <c r="C189" s="5" t="s">
        <v>256</v>
      </c>
      <c r="D189" s="5" t="s">
        <v>263</v>
      </c>
      <c r="E189" s="5"/>
      <c r="F189" s="5" t="s">
        <v>264</v>
      </c>
      <c r="G189" s="6">
        <v>1000</v>
      </c>
      <c r="H189" s="5" t="s">
        <v>241</v>
      </c>
    </row>
    <row r="190" spans="1:8" x14ac:dyDescent="0.45">
      <c r="A190">
        <v>182</v>
      </c>
      <c r="B190" s="8">
        <v>46111</v>
      </c>
      <c r="C190" s="5" t="s">
        <v>254</v>
      </c>
      <c r="D190" s="5" t="s">
        <v>255</v>
      </c>
      <c r="E190" s="5" t="s">
        <v>31</v>
      </c>
      <c r="F190" s="5" t="s">
        <v>308</v>
      </c>
      <c r="G190" s="6">
        <v>140000</v>
      </c>
      <c r="H190" s="5" t="s">
        <v>241</v>
      </c>
    </row>
    <row r="191" spans="1:8" x14ac:dyDescent="0.45">
      <c r="A191">
        <v>183</v>
      </c>
      <c r="B191" s="8">
        <v>46111</v>
      </c>
      <c r="C191" s="5" t="s">
        <v>256</v>
      </c>
      <c r="D191" s="5" t="s">
        <v>249</v>
      </c>
      <c r="E191" s="5"/>
      <c r="F191" s="5"/>
      <c r="G191" s="6">
        <v>2288</v>
      </c>
      <c r="H191" s="5" t="s">
        <v>241</v>
      </c>
    </row>
    <row r="192" spans="1:8" x14ac:dyDescent="0.45">
      <c r="A192">
        <v>184</v>
      </c>
      <c r="B192" s="8">
        <v>46111</v>
      </c>
      <c r="C192" s="5" t="s">
        <v>254</v>
      </c>
      <c r="D192" s="5" t="s">
        <v>255</v>
      </c>
      <c r="E192" s="5" t="s">
        <v>48</v>
      </c>
      <c r="F192" s="5"/>
      <c r="G192" s="6">
        <v>200000</v>
      </c>
      <c r="H192" s="5" t="s">
        <v>241</v>
      </c>
    </row>
    <row r="193" spans="1:8" x14ac:dyDescent="0.45">
      <c r="A193">
        <v>185</v>
      </c>
      <c r="B193" s="8">
        <v>46111</v>
      </c>
      <c r="C193" s="5" t="s">
        <v>254</v>
      </c>
      <c r="D193" s="5" t="s">
        <v>255</v>
      </c>
      <c r="E193" s="5" t="s">
        <v>26</v>
      </c>
      <c r="F193" s="5"/>
      <c r="G193" s="6">
        <v>100000</v>
      </c>
      <c r="H193" s="5" t="s">
        <v>241</v>
      </c>
    </row>
    <row r="194" spans="1:8" x14ac:dyDescent="0.45">
      <c r="A194">
        <v>186</v>
      </c>
      <c r="B194" s="8">
        <v>46111</v>
      </c>
      <c r="C194" s="5" t="s">
        <v>254</v>
      </c>
      <c r="D194" s="5" t="s">
        <v>255</v>
      </c>
      <c r="E194" s="5" t="s">
        <v>51</v>
      </c>
      <c r="F194" s="5"/>
      <c r="G194" s="6">
        <v>100000</v>
      </c>
      <c r="H194" s="5" t="s">
        <v>241</v>
      </c>
    </row>
    <row r="195" spans="1:8" x14ac:dyDescent="0.45">
      <c r="A195">
        <v>187</v>
      </c>
      <c r="B195" s="8">
        <v>46111</v>
      </c>
      <c r="C195" s="5" t="s">
        <v>254</v>
      </c>
      <c r="D195" s="5" t="s">
        <v>255</v>
      </c>
      <c r="E195" s="5" t="s">
        <v>16</v>
      </c>
      <c r="F195" s="5"/>
      <c r="G195" s="6">
        <v>100000</v>
      </c>
      <c r="H195" s="5" t="s">
        <v>241</v>
      </c>
    </row>
    <row r="196" spans="1:8" x14ac:dyDescent="0.45">
      <c r="A196">
        <v>188</v>
      </c>
      <c r="B196" s="8">
        <v>46111</v>
      </c>
      <c r="C196" s="5" t="s">
        <v>250</v>
      </c>
      <c r="D196" s="5" t="s">
        <v>246</v>
      </c>
      <c r="E196" s="5" t="s">
        <v>309</v>
      </c>
      <c r="F196" s="5"/>
      <c r="G196" s="6">
        <v>250000</v>
      </c>
      <c r="H196" s="5" t="s">
        <v>241</v>
      </c>
    </row>
    <row r="197" spans="1:8" x14ac:dyDescent="0.45">
      <c r="A197">
        <v>189</v>
      </c>
      <c r="B197" s="8">
        <v>46111</v>
      </c>
      <c r="C197" s="5"/>
      <c r="D197" s="5"/>
      <c r="E197" s="5"/>
      <c r="F197" s="5"/>
      <c r="G197" s="6"/>
      <c r="H197" s="5"/>
    </row>
    <row r="198" spans="1:8" x14ac:dyDescent="0.45">
      <c r="A198">
        <v>190</v>
      </c>
      <c r="B198" s="8">
        <v>46111</v>
      </c>
      <c r="C198" s="5"/>
      <c r="D198" s="5"/>
      <c r="E198" s="5"/>
      <c r="F198" s="5"/>
      <c r="G198" s="6"/>
      <c r="H198" s="5"/>
    </row>
    <row r="199" spans="1:8" x14ac:dyDescent="0.45">
      <c r="A199">
        <v>191</v>
      </c>
      <c r="B199" s="8">
        <v>46111</v>
      </c>
      <c r="C199" s="5"/>
      <c r="D199" s="5"/>
      <c r="E199" s="5"/>
      <c r="F199" s="5"/>
      <c r="G199" s="6"/>
      <c r="H199" s="5"/>
    </row>
    <row r="200" spans="1:8" x14ac:dyDescent="0.45">
      <c r="A200">
        <v>192</v>
      </c>
      <c r="B200" s="8">
        <v>46111</v>
      </c>
      <c r="C200" s="5"/>
      <c r="D200" s="5"/>
      <c r="E200" s="5"/>
      <c r="F200" s="5"/>
      <c r="G200" s="6"/>
      <c r="H200" s="5"/>
    </row>
    <row r="201" spans="1:8" x14ac:dyDescent="0.45">
      <c r="A201">
        <v>193</v>
      </c>
      <c r="B201" s="8"/>
      <c r="C201" s="5"/>
      <c r="D201" s="5"/>
      <c r="E201" s="5"/>
      <c r="F201" s="5"/>
      <c r="G201" s="6"/>
      <c r="H201" s="5"/>
    </row>
    <row r="202" spans="1:8" x14ac:dyDescent="0.45">
      <c r="A202">
        <v>194</v>
      </c>
      <c r="B202" s="8"/>
      <c r="C202" s="5"/>
      <c r="D202" s="5"/>
      <c r="E202" s="5"/>
      <c r="F202" s="5"/>
      <c r="G202" s="6"/>
      <c r="H202" s="5"/>
    </row>
    <row r="203" spans="1:8" x14ac:dyDescent="0.45">
      <c r="A203">
        <v>195</v>
      </c>
      <c r="B203" s="8"/>
      <c r="C203" s="5"/>
      <c r="D203" s="5"/>
      <c r="E203" s="5"/>
      <c r="F203" s="5"/>
      <c r="G203" s="6"/>
      <c r="H203" s="5"/>
    </row>
    <row r="204" spans="1:8" x14ac:dyDescent="0.45">
      <c r="A204">
        <v>196</v>
      </c>
      <c r="B204" s="8"/>
      <c r="C204" s="5"/>
      <c r="D204" s="5"/>
      <c r="E204" s="5"/>
      <c r="F204" s="5"/>
      <c r="G204" s="6"/>
      <c r="H204" s="5"/>
    </row>
    <row r="205" spans="1:8" x14ac:dyDescent="0.45">
      <c r="A205">
        <v>197</v>
      </c>
      <c r="B205" s="8"/>
      <c r="C205" s="5"/>
      <c r="D205" s="5"/>
      <c r="E205" s="5"/>
      <c r="F205" s="5"/>
      <c r="G205" s="6"/>
      <c r="H205" s="5"/>
    </row>
    <row r="206" spans="1:8" x14ac:dyDescent="0.45">
      <c r="A206">
        <v>198</v>
      </c>
      <c r="B206" s="8"/>
      <c r="C206" s="5"/>
      <c r="D206" s="5"/>
      <c r="E206" s="5"/>
      <c r="F206" s="5"/>
      <c r="G206" s="6"/>
      <c r="H206" s="5"/>
    </row>
    <row r="207" spans="1:8" x14ac:dyDescent="0.45">
      <c r="A207">
        <v>199</v>
      </c>
      <c r="B207" s="8"/>
      <c r="C207" s="5"/>
      <c r="D207" s="5"/>
      <c r="E207" s="5"/>
      <c r="F207" s="5"/>
      <c r="G207" s="6"/>
      <c r="H207" s="5"/>
    </row>
    <row r="208" spans="1:8" x14ac:dyDescent="0.45">
      <c r="A208">
        <v>200</v>
      </c>
      <c r="B208" s="8"/>
      <c r="C208" s="5"/>
      <c r="D208" s="5"/>
      <c r="E208" s="5"/>
      <c r="F208" s="5"/>
      <c r="G208" s="6"/>
      <c r="H208" s="5"/>
    </row>
    <row r="209" spans="1:8" x14ac:dyDescent="0.45">
      <c r="A209">
        <v>201</v>
      </c>
      <c r="B209" s="8"/>
      <c r="C209" s="5"/>
      <c r="D209" s="5"/>
      <c r="E209" s="5"/>
      <c r="F209" s="5"/>
      <c r="G209" s="6"/>
      <c r="H209" s="5"/>
    </row>
    <row r="210" spans="1:8" x14ac:dyDescent="0.45">
      <c r="A210">
        <v>202</v>
      </c>
      <c r="B210" s="8"/>
      <c r="C210" s="5"/>
      <c r="D210" s="5"/>
      <c r="E210" s="5"/>
      <c r="F210" s="5"/>
      <c r="G210" s="6"/>
      <c r="H210" s="5"/>
    </row>
    <row r="211" spans="1:8" x14ac:dyDescent="0.45">
      <c r="A211">
        <v>203</v>
      </c>
      <c r="B211" s="8"/>
      <c r="C211" s="5"/>
      <c r="D211" s="5"/>
      <c r="E211" s="5"/>
      <c r="F211" s="5"/>
      <c r="G211" s="6"/>
      <c r="H211" s="5"/>
    </row>
    <row r="212" spans="1:8" x14ac:dyDescent="0.45">
      <c r="A212">
        <v>204</v>
      </c>
      <c r="B212" s="8"/>
      <c r="C212" s="5"/>
      <c r="D212" s="5"/>
      <c r="E212" s="5"/>
      <c r="F212" s="5"/>
      <c r="G212" s="6"/>
      <c r="H212" s="5"/>
    </row>
    <row r="213" spans="1:8" x14ac:dyDescent="0.45">
      <c r="A213">
        <v>205</v>
      </c>
      <c r="B213" s="8"/>
      <c r="C213" s="5"/>
      <c r="D213" s="5"/>
      <c r="E213" s="5"/>
      <c r="F213" s="5"/>
      <c r="G213" s="6"/>
      <c r="H213" s="5"/>
    </row>
    <row r="214" spans="1:8" x14ac:dyDescent="0.45">
      <c r="A214">
        <v>206</v>
      </c>
      <c r="B214" s="8"/>
      <c r="C214" s="5"/>
      <c r="D214" s="5"/>
      <c r="E214" s="5"/>
      <c r="F214" s="5"/>
      <c r="G214" s="6"/>
      <c r="H214" s="5"/>
    </row>
    <row r="215" spans="1:8" x14ac:dyDescent="0.45">
      <c r="A215">
        <v>207</v>
      </c>
      <c r="B215" s="8"/>
      <c r="C215" s="5"/>
      <c r="D215" s="5"/>
      <c r="E215" s="5"/>
      <c r="F215" s="5"/>
      <c r="G215" s="6"/>
      <c r="H215" s="5"/>
    </row>
    <row r="216" spans="1:8" x14ac:dyDescent="0.45">
      <c r="A216">
        <v>208</v>
      </c>
      <c r="B216" s="8"/>
      <c r="C216" s="5"/>
      <c r="D216" s="5"/>
      <c r="E216" s="5"/>
      <c r="F216" s="5"/>
      <c r="G216" s="6"/>
      <c r="H216" s="5"/>
    </row>
    <row r="217" spans="1:8" x14ac:dyDescent="0.45">
      <c r="A217">
        <v>209</v>
      </c>
      <c r="B217" s="8"/>
      <c r="C217" s="5"/>
      <c r="D217" s="5"/>
      <c r="E217" s="5"/>
      <c r="F217" s="5"/>
      <c r="G217" s="6"/>
      <c r="H217" s="5"/>
    </row>
    <row r="218" spans="1:8" x14ac:dyDescent="0.45">
      <c r="A218">
        <v>210</v>
      </c>
      <c r="B218" s="8"/>
      <c r="C218" s="5"/>
      <c r="D218" s="5"/>
      <c r="E218" s="5"/>
      <c r="F218" s="5"/>
      <c r="G218" s="6"/>
      <c r="H218" s="5"/>
    </row>
    <row r="219" spans="1:8" x14ac:dyDescent="0.45">
      <c r="A219">
        <v>211</v>
      </c>
      <c r="B219" s="8"/>
      <c r="C219" s="5"/>
      <c r="D219" s="5"/>
      <c r="E219" s="5"/>
      <c r="F219" s="5"/>
      <c r="G219" s="6"/>
      <c r="H219" s="5"/>
    </row>
    <row r="220" spans="1:8" x14ac:dyDescent="0.45">
      <c r="A220">
        <v>212</v>
      </c>
      <c r="B220" s="8"/>
      <c r="C220" s="5"/>
      <c r="D220" s="5"/>
      <c r="E220" s="5"/>
      <c r="F220" s="5"/>
      <c r="G220" s="6"/>
      <c r="H220" s="5"/>
    </row>
    <row r="221" spans="1:8" x14ac:dyDescent="0.45">
      <c r="A221">
        <v>213</v>
      </c>
      <c r="B221" s="8"/>
      <c r="C221" s="5"/>
      <c r="D221" s="5"/>
      <c r="E221" s="5"/>
      <c r="F221" s="5"/>
      <c r="G221" s="6"/>
      <c r="H221" s="5"/>
    </row>
    <row r="222" spans="1:8" x14ac:dyDescent="0.45">
      <c r="A222">
        <v>214</v>
      </c>
      <c r="B222" s="8"/>
      <c r="C222" s="5"/>
      <c r="D222" s="5"/>
      <c r="E222" s="5"/>
      <c r="F222" s="5"/>
      <c r="G222" s="6"/>
      <c r="H222" s="5"/>
    </row>
    <row r="223" spans="1:8" x14ac:dyDescent="0.45">
      <c r="A223">
        <v>215</v>
      </c>
      <c r="B223" s="8"/>
      <c r="C223" s="5"/>
      <c r="D223" s="5"/>
      <c r="E223" s="5"/>
      <c r="F223" s="5"/>
      <c r="G223" s="6"/>
      <c r="H223" s="5"/>
    </row>
    <row r="224" spans="1:8" x14ac:dyDescent="0.45">
      <c r="A224">
        <v>216</v>
      </c>
      <c r="B224" s="8"/>
      <c r="C224" s="5"/>
      <c r="D224" s="5"/>
      <c r="E224" s="5"/>
      <c r="F224" s="5"/>
      <c r="G224" s="6"/>
      <c r="H224" s="5"/>
    </row>
    <row r="225" spans="1:8" x14ac:dyDescent="0.45">
      <c r="A225">
        <v>217</v>
      </c>
      <c r="B225" s="8"/>
      <c r="C225" s="5"/>
      <c r="D225" s="5"/>
      <c r="E225" s="5"/>
      <c r="F225" s="5"/>
      <c r="G225" s="6"/>
      <c r="H225" s="5"/>
    </row>
    <row r="226" spans="1:8" x14ac:dyDescent="0.45">
      <c r="A226">
        <v>218</v>
      </c>
      <c r="B226" s="8"/>
      <c r="C226" s="5"/>
      <c r="D226" s="5"/>
      <c r="E226" s="5"/>
      <c r="F226" s="5"/>
      <c r="G226" s="6"/>
      <c r="H226" s="5"/>
    </row>
    <row r="227" spans="1:8" x14ac:dyDescent="0.45">
      <c r="A227">
        <v>219</v>
      </c>
      <c r="B227" s="8"/>
      <c r="C227" s="5"/>
      <c r="D227" s="5"/>
      <c r="E227" s="5"/>
      <c r="F227" s="5"/>
      <c r="G227" s="6"/>
      <c r="H227" s="5"/>
    </row>
    <row r="228" spans="1:8" x14ac:dyDescent="0.45">
      <c r="A228">
        <v>220</v>
      </c>
      <c r="B228" s="8"/>
      <c r="C228" s="5"/>
      <c r="D228" s="5"/>
      <c r="E228" s="5"/>
      <c r="F228" s="5"/>
      <c r="G228" s="6"/>
      <c r="H228" s="5"/>
    </row>
    <row r="229" spans="1:8" x14ac:dyDescent="0.45">
      <c r="A229">
        <v>221</v>
      </c>
      <c r="B229" s="8"/>
      <c r="C229" s="5"/>
      <c r="D229" s="5"/>
      <c r="E229" s="5"/>
      <c r="F229" s="5"/>
      <c r="G229" s="6"/>
      <c r="H229" s="5"/>
    </row>
    <row r="230" spans="1:8" x14ac:dyDescent="0.45">
      <c r="A230">
        <v>222</v>
      </c>
      <c r="B230" s="8"/>
      <c r="C230" s="5"/>
      <c r="D230" s="5"/>
      <c r="E230" s="5"/>
      <c r="F230" s="5"/>
      <c r="G230" s="6"/>
      <c r="H230" s="5"/>
    </row>
    <row r="231" spans="1:8" x14ac:dyDescent="0.45">
      <c r="A231">
        <v>223</v>
      </c>
      <c r="B231" s="8"/>
      <c r="C231" s="5"/>
      <c r="D231" s="5"/>
      <c r="E231" s="5"/>
      <c r="F231" s="5"/>
      <c r="G231" s="6"/>
      <c r="H231" s="5"/>
    </row>
    <row r="232" spans="1:8" x14ac:dyDescent="0.45">
      <c r="A232">
        <v>224</v>
      </c>
      <c r="B232" s="8"/>
      <c r="C232" s="5"/>
      <c r="D232" s="5"/>
      <c r="E232" s="5"/>
      <c r="F232" s="5"/>
      <c r="G232" s="6"/>
      <c r="H232" s="5"/>
    </row>
    <row r="233" spans="1:8" x14ac:dyDescent="0.45">
      <c r="A233">
        <v>225</v>
      </c>
      <c r="B233" s="8"/>
      <c r="C233" s="5"/>
      <c r="D233" s="5"/>
      <c r="E233" s="5"/>
      <c r="F233" s="5"/>
      <c r="G233" s="6"/>
      <c r="H233" s="5"/>
    </row>
    <row r="234" spans="1:8" x14ac:dyDescent="0.45">
      <c r="A234">
        <v>226</v>
      </c>
      <c r="B234" s="8"/>
      <c r="C234" s="5"/>
      <c r="D234" s="5"/>
      <c r="E234" s="5"/>
      <c r="F234" s="5"/>
      <c r="G234" s="6"/>
      <c r="H234" s="5"/>
    </row>
    <row r="235" spans="1:8" x14ac:dyDescent="0.45">
      <c r="A235">
        <v>227</v>
      </c>
      <c r="B235" s="8"/>
      <c r="C235" s="5"/>
      <c r="D235" s="5"/>
      <c r="E235" s="5"/>
      <c r="F235" s="5"/>
      <c r="G235" s="6"/>
      <c r="H235" s="5"/>
    </row>
    <row r="236" spans="1:8" x14ac:dyDescent="0.45">
      <c r="A236">
        <v>228</v>
      </c>
      <c r="B236" s="8"/>
      <c r="C236" s="5"/>
      <c r="D236" s="5"/>
      <c r="E236" s="5"/>
      <c r="F236" s="5"/>
      <c r="G236" s="6"/>
      <c r="H236" s="5"/>
    </row>
    <row r="237" spans="1:8" x14ac:dyDescent="0.45">
      <c r="A237">
        <v>229</v>
      </c>
      <c r="B237" s="8"/>
      <c r="C237" s="5"/>
      <c r="D237" s="5"/>
      <c r="E237" s="5"/>
      <c r="F237" s="5"/>
      <c r="G237" s="6"/>
      <c r="H237" s="5"/>
    </row>
    <row r="238" spans="1:8" x14ac:dyDescent="0.45">
      <c r="A238">
        <v>230</v>
      </c>
      <c r="B238" s="8"/>
      <c r="C238" s="5"/>
      <c r="D238" s="5"/>
      <c r="E238" s="5"/>
      <c r="F238" s="5"/>
      <c r="G238" s="6"/>
      <c r="H238" s="5"/>
    </row>
    <row r="239" spans="1:8" x14ac:dyDescent="0.45">
      <c r="A239">
        <v>231</v>
      </c>
      <c r="B239" s="8"/>
      <c r="C239" s="5"/>
      <c r="D239" s="5"/>
      <c r="E239" s="5"/>
      <c r="F239" s="5"/>
      <c r="G239" s="6"/>
      <c r="H239" s="5"/>
    </row>
    <row r="240" spans="1:8" x14ac:dyDescent="0.45">
      <c r="A240">
        <v>232</v>
      </c>
      <c r="B240" s="8"/>
      <c r="C240" s="5"/>
      <c r="D240" s="5"/>
      <c r="E240" s="5"/>
      <c r="F240" s="5"/>
      <c r="G240" s="6"/>
      <c r="H240" s="5"/>
    </row>
    <row r="241" spans="1:8" x14ac:dyDescent="0.45">
      <c r="A241">
        <v>233</v>
      </c>
      <c r="B241" s="8"/>
      <c r="C241" s="5"/>
      <c r="D241" s="5"/>
      <c r="E241" s="5"/>
      <c r="F241" s="5"/>
      <c r="G241" s="6"/>
      <c r="H241" s="5"/>
    </row>
    <row r="242" spans="1:8" x14ac:dyDescent="0.45">
      <c r="A242">
        <v>234</v>
      </c>
      <c r="B242" s="8"/>
      <c r="C242" s="5"/>
      <c r="D242" s="5"/>
      <c r="E242" s="5"/>
      <c r="F242" s="5"/>
      <c r="G242" s="6"/>
      <c r="H242" s="5"/>
    </row>
    <row r="243" spans="1:8" x14ac:dyDescent="0.45">
      <c r="A243">
        <v>235</v>
      </c>
      <c r="B243" s="8"/>
      <c r="C243" s="5"/>
      <c r="D243" s="5"/>
      <c r="E243" s="5"/>
      <c r="F243" s="5"/>
      <c r="G243" s="6"/>
      <c r="H243" s="5"/>
    </row>
    <row r="244" spans="1:8" x14ac:dyDescent="0.45">
      <c r="A244">
        <v>236</v>
      </c>
      <c r="B244" s="8"/>
      <c r="C244" s="5"/>
      <c r="D244" s="5"/>
      <c r="E244" s="5"/>
      <c r="F244" s="5"/>
      <c r="G244" s="6"/>
      <c r="H244" s="5"/>
    </row>
    <row r="245" spans="1:8" x14ac:dyDescent="0.45">
      <c r="A245">
        <v>237</v>
      </c>
      <c r="B245" s="8"/>
      <c r="C245" s="5"/>
      <c r="D245" s="5"/>
      <c r="E245" s="5"/>
      <c r="F245" s="5"/>
      <c r="G245" s="6"/>
      <c r="H245" s="5"/>
    </row>
    <row r="246" spans="1:8" x14ac:dyDescent="0.45">
      <c r="A246">
        <v>238</v>
      </c>
      <c r="B246" s="8"/>
      <c r="C246" s="5"/>
      <c r="D246" s="5"/>
      <c r="E246" s="5"/>
      <c r="F246" s="5"/>
      <c r="G246" s="6"/>
      <c r="H246" s="5"/>
    </row>
    <row r="247" spans="1:8" x14ac:dyDescent="0.45">
      <c r="A247">
        <v>239</v>
      </c>
      <c r="B247" s="8"/>
      <c r="C247" s="5"/>
      <c r="D247" s="5"/>
      <c r="E247" s="5"/>
      <c r="F247" s="5"/>
      <c r="G247" s="6"/>
      <c r="H247" s="5"/>
    </row>
    <row r="248" spans="1:8" x14ac:dyDescent="0.45">
      <c r="A248">
        <v>240</v>
      </c>
      <c r="B248" s="8"/>
      <c r="C248" s="5"/>
      <c r="D248" s="5"/>
      <c r="E248" s="5"/>
      <c r="F248" s="5"/>
      <c r="G248" s="6"/>
      <c r="H248" s="5"/>
    </row>
    <row r="249" spans="1:8" x14ac:dyDescent="0.45">
      <c r="A249">
        <v>241</v>
      </c>
      <c r="B249" s="8"/>
      <c r="C249" s="5"/>
      <c r="D249" s="5"/>
      <c r="E249" s="5"/>
      <c r="F249" s="5"/>
      <c r="G249" s="6"/>
      <c r="H249" s="5"/>
    </row>
    <row r="250" spans="1:8" x14ac:dyDescent="0.45">
      <c r="A250">
        <v>242</v>
      </c>
      <c r="B250" s="8"/>
      <c r="C250" s="5"/>
      <c r="D250" s="5"/>
      <c r="E250" s="5"/>
      <c r="F250" s="5"/>
      <c r="G250" s="6"/>
      <c r="H250" s="5"/>
    </row>
    <row r="251" spans="1:8" x14ac:dyDescent="0.45">
      <c r="A251">
        <v>243</v>
      </c>
      <c r="B251" s="8"/>
      <c r="C251" s="5"/>
      <c r="D251" s="5"/>
      <c r="E251" s="5"/>
      <c r="F251" s="5"/>
      <c r="G251" s="6"/>
      <c r="H251" s="5"/>
    </row>
    <row r="252" spans="1:8" x14ac:dyDescent="0.45">
      <c r="A252">
        <v>244</v>
      </c>
      <c r="B252" s="8"/>
      <c r="C252" s="5"/>
      <c r="D252" s="5"/>
      <c r="E252" s="5"/>
      <c r="F252" s="5"/>
      <c r="G252" s="6"/>
      <c r="H252" s="5"/>
    </row>
    <row r="253" spans="1:8" x14ac:dyDescent="0.45">
      <c r="A253">
        <v>245</v>
      </c>
      <c r="B253" s="8"/>
      <c r="C253" s="5"/>
      <c r="D253" s="5"/>
      <c r="E253" s="5"/>
      <c r="F253" s="5"/>
      <c r="G253" s="6"/>
      <c r="H253" s="5"/>
    </row>
    <row r="254" spans="1:8" x14ac:dyDescent="0.45">
      <c r="A254">
        <v>246</v>
      </c>
      <c r="B254" s="8"/>
      <c r="C254" s="5"/>
      <c r="D254" s="5"/>
      <c r="E254" s="5"/>
      <c r="F254" s="5"/>
      <c r="G254" s="6"/>
      <c r="H254" s="5"/>
    </row>
    <row r="255" spans="1:8" x14ac:dyDescent="0.45">
      <c r="A255">
        <v>247</v>
      </c>
      <c r="B255" s="8"/>
      <c r="C255" s="5"/>
      <c r="D255" s="5"/>
      <c r="E255" s="5"/>
      <c r="F255" s="5"/>
      <c r="G255" s="6"/>
      <c r="H255" s="5"/>
    </row>
    <row r="256" spans="1:8" x14ac:dyDescent="0.45">
      <c r="A256">
        <v>248</v>
      </c>
      <c r="B256" s="8"/>
      <c r="C256" s="5"/>
      <c r="D256" s="5"/>
      <c r="E256" s="5"/>
      <c r="F256" s="5"/>
      <c r="G256" s="6"/>
      <c r="H256" s="5"/>
    </row>
    <row r="257" spans="1:8" x14ac:dyDescent="0.45">
      <c r="A257">
        <v>249</v>
      </c>
      <c r="B257" s="8"/>
      <c r="C257" s="5"/>
      <c r="D257" s="5"/>
      <c r="E257" s="5"/>
      <c r="F257" s="5"/>
      <c r="G257" s="6"/>
      <c r="H257" s="5"/>
    </row>
    <row r="258" spans="1:8" x14ac:dyDescent="0.45">
      <c r="A258">
        <v>250</v>
      </c>
      <c r="B258" s="8"/>
      <c r="C258" s="5"/>
      <c r="D258" s="5"/>
      <c r="E258" s="5"/>
      <c r="F258" s="5"/>
      <c r="G258" s="6"/>
      <c r="H258" s="5"/>
    </row>
    <row r="259" spans="1:8" x14ac:dyDescent="0.45">
      <c r="A259">
        <v>251</v>
      </c>
      <c r="B259" s="8"/>
      <c r="C259" s="5"/>
      <c r="D259" s="5"/>
      <c r="E259" s="5"/>
      <c r="F259" s="5"/>
      <c r="G259" s="6"/>
      <c r="H259" s="5"/>
    </row>
    <row r="260" spans="1:8" x14ac:dyDescent="0.45">
      <c r="A260">
        <v>252</v>
      </c>
      <c r="B260" s="8"/>
      <c r="C260" s="5"/>
      <c r="D260" s="5"/>
      <c r="E260" s="5"/>
      <c r="F260" s="5"/>
      <c r="G260" s="6"/>
      <c r="H260" s="5"/>
    </row>
    <row r="261" spans="1:8" x14ac:dyDescent="0.45">
      <c r="A261">
        <v>253</v>
      </c>
      <c r="B261" s="8"/>
      <c r="C261" s="5"/>
      <c r="D261" s="5"/>
      <c r="E261" s="5"/>
      <c r="F261" s="5"/>
      <c r="G261" s="6"/>
      <c r="H261" s="5"/>
    </row>
    <row r="262" spans="1:8" x14ac:dyDescent="0.45">
      <c r="A262">
        <v>254</v>
      </c>
      <c r="B262" s="8"/>
      <c r="C262" s="5"/>
      <c r="D262" s="5"/>
      <c r="E262" s="5"/>
      <c r="F262" s="5"/>
      <c r="G262" s="6"/>
      <c r="H262" s="5"/>
    </row>
    <row r="263" spans="1:8" x14ac:dyDescent="0.45">
      <c r="A263">
        <v>255</v>
      </c>
      <c r="B263" s="8"/>
      <c r="C263" s="5"/>
      <c r="D263" s="5"/>
      <c r="E263" s="5"/>
      <c r="F263" s="5"/>
      <c r="G263" s="6"/>
      <c r="H263" s="5"/>
    </row>
    <row r="264" spans="1:8" x14ac:dyDescent="0.45">
      <c r="A264">
        <v>256</v>
      </c>
      <c r="B264" s="8"/>
      <c r="C264" s="5"/>
      <c r="D264" s="5"/>
      <c r="E264" s="5"/>
      <c r="F264" s="5"/>
      <c r="G264" s="6"/>
      <c r="H264" s="5"/>
    </row>
    <row r="265" spans="1:8" x14ac:dyDescent="0.45">
      <c r="A265">
        <v>257</v>
      </c>
      <c r="B265" s="8"/>
      <c r="C265" s="5"/>
      <c r="D265" s="5"/>
      <c r="E265" s="5"/>
      <c r="F265" s="5"/>
      <c r="G265" s="6"/>
      <c r="H265" s="5"/>
    </row>
    <row r="266" spans="1:8" x14ac:dyDescent="0.45">
      <c r="A266">
        <v>258</v>
      </c>
      <c r="B266" s="8"/>
      <c r="C266" s="5"/>
      <c r="D266" s="5"/>
      <c r="E266" s="5"/>
      <c r="F266" s="5"/>
      <c r="G266" s="6"/>
      <c r="H266" s="5"/>
    </row>
    <row r="267" spans="1:8" x14ac:dyDescent="0.45">
      <c r="A267">
        <v>259</v>
      </c>
      <c r="B267" s="8"/>
      <c r="C267" s="5"/>
      <c r="D267" s="5"/>
      <c r="E267" s="5"/>
      <c r="F267" s="5"/>
      <c r="G267" s="6"/>
      <c r="H267" s="5"/>
    </row>
    <row r="268" spans="1:8" x14ac:dyDescent="0.45">
      <c r="A268">
        <v>260</v>
      </c>
      <c r="B268" s="8"/>
      <c r="C268" s="5"/>
      <c r="D268" s="5"/>
      <c r="E268" s="5"/>
      <c r="F268" s="5"/>
      <c r="G268" s="6"/>
      <c r="H268" s="5"/>
    </row>
    <row r="269" spans="1:8" x14ac:dyDescent="0.45">
      <c r="A269">
        <v>261</v>
      </c>
      <c r="B269" s="8"/>
      <c r="C269" s="5"/>
      <c r="D269" s="5"/>
      <c r="E269" s="5"/>
      <c r="F269" s="5"/>
      <c r="G269" s="6"/>
      <c r="H269" s="5"/>
    </row>
    <row r="270" spans="1:8" x14ac:dyDescent="0.45">
      <c r="A270">
        <v>262</v>
      </c>
      <c r="B270" s="8"/>
      <c r="C270" s="5"/>
      <c r="D270" s="5"/>
      <c r="E270" s="5"/>
      <c r="F270" s="5"/>
      <c r="G270" s="6"/>
      <c r="H270" s="5"/>
    </row>
    <row r="271" spans="1:8" x14ac:dyDescent="0.45">
      <c r="A271">
        <v>263</v>
      </c>
      <c r="B271" s="8"/>
      <c r="C271" s="5"/>
      <c r="D271" s="5"/>
      <c r="E271" s="5"/>
      <c r="F271" s="5"/>
      <c r="G271" s="6"/>
      <c r="H271" s="5"/>
    </row>
    <row r="272" spans="1:8" x14ac:dyDescent="0.45">
      <c r="A272">
        <v>264</v>
      </c>
      <c r="B272" s="8"/>
      <c r="C272" s="5"/>
      <c r="D272" s="5"/>
      <c r="E272" s="5"/>
      <c r="F272" s="5"/>
      <c r="G272" s="6"/>
      <c r="H272" s="5"/>
    </row>
    <row r="273" spans="1:8" x14ac:dyDescent="0.45">
      <c r="A273">
        <v>265</v>
      </c>
      <c r="B273" s="8"/>
      <c r="C273" s="5"/>
      <c r="D273" s="5"/>
      <c r="E273" s="5"/>
      <c r="F273" s="5"/>
      <c r="G273" s="6"/>
      <c r="H273" s="5"/>
    </row>
    <row r="274" spans="1:8" x14ac:dyDescent="0.45">
      <c r="A274">
        <v>266</v>
      </c>
      <c r="B274" s="8"/>
      <c r="C274" s="5"/>
      <c r="D274" s="5"/>
      <c r="E274" s="5"/>
      <c r="F274" s="5"/>
      <c r="G274" s="6"/>
      <c r="H274" s="5"/>
    </row>
    <row r="275" spans="1:8" x14ac:dyDescent="0.45">
      <c r="A275">
        <v>267</v>
      </c>
      <c r="B275" s="8"/>
      <c r="C275" s="5"/>
      <c r="D275" s="5"/>
      <c r="E275" s="5"/>
      <c r="F275" s="5"/>
      <c r="G275" s="6"/>
      <c r="H275" s="5"/>
    </row>
    <row r="276" spans="1:8" x14ac:dyDescent="0.45">
      <c r="A276">
        <v>268</v>
      </c>
      <c r="B276" s="8"/>
      <c r="C276" s="5"/>
      <c r="D276" s="5"/>
      <c r="E276" s="5"/>
      <c r="F276" s="5"/>
      <c r="G276" s="6"/>
      <c r="H276" s="5"/>
    </row>
    <row r="277" spans="1:8" x14ac:dyDescent="0.45">
      <c r="A277">
        <v>269</v>
      </c>
      <c r="B277" s="8"/>
      <c r="C277" s="5"/>
      <c r="D277" s="5"/>
      <c r="E277" s="5"/>
      <c r="F277" s="5"/>
      <c r="G277" s="6"/>
      <c r="H277" s="5"/>
    </row>
    <row r="278" spans="1:8" x14ac:dyDescent="0.45">
      <c r="A278">
        <v>270</v>
      </c>
      <c r="B278" s="8"/>
      <c r="C278" s="5"/>
      <c r="D278" s="5"/>
      <c r="E278" s="5"/>
      <c r="F278" s="5"/>
      <c r="G278" s="6"/>
      <c r="H278" s="5"/>
    </row>
    <row r="279" spans="1:8" x14ac:dyDescent="0.45">
      <c r="A279">
        <v>271</v>
      </c>
      <c r="B279" s="8"/>
      <c r="C279" s="5"/>
      <c r="D279" s="5"/>
      <c r="E279" s="5"/>
      <c r="F279" s="5"/>
      <c r="G279" s="6"/>
      <c r="H279" s="5"/>
    </row>
    <row r="280" spans="1:8" x14ac:dyDescent="0.45">
      <c r="A280">
        <v>272</v>
      </c>
      <c r="B280" s="8"/>
      <c r="C280" s="5"/>
      <c r="D280" s="5"/>
      <c r="E280" s="5"/>
      <c r="F280" s="5"/>
      <c r="G280" s="6"/>
      <c r="H280" s="5"/>
    </row>
    <row r="281" spans="1:8" x14ac:dyDescent="0.45">
      <c r="A281">
        <v>273</v>
      </c>
      <c r="B281" s="8"/>
      <c r="C281" s="5"/>
      <c r="D281" s="5"/>
      <c r="E281" s="5"/>
      <c r="F281" s="5"/>
      <c r="G281" s="6"/>
      <c r="H281" s="5"/>
    </row>
    <row r="282" spans="1:8" x14ac:dyDescent="0.45">
      <c r="A282">
        <v>274</v>
      </c>
      <c r="B282" s="8"/>
      <c r="C282" s="5"/>
      <c r="D282" s="5"/>
      <c r="E282" s="5"/>
      <c r="F282" s="5"/>
      <c r="G282" s="6"/>
      <c r="H282" s="5"/>
    </row>
    <row r="283" spans="1:8" x14ac:dyDescent="0.45">
      <c r="A283">
        <v>275</v>
      </c>
      <c r="B283" s="8"/>
      <c r="C283" s="5"/>
      <c r="D283" s="5"/>
      <c r="E283" s="5"/>
      <c r="F283" s="5"/>
      <c r="G283" s="6"/>
      <c r="H283" s="5"/>
    </row>
    <row r="284" spans="1:8" x14ac:dyDescent="0.45">
      <c r="A284">
        <v>276</v>
      </c>
      <c r="B284" s="8"/>
      <c r="C284" s="5"/>
      <c r="D284" s="5"/>
      <c r="E284" s="5"/>
      <c r="F284" s="5"/>
      <c r="G284" s="6"/>
      <c r="H284" s="5"/>
    </row>
    <row r="285" spans="1:8" x14ac:dyDescent="0.45">
      <c r="A285">
        <v>277</v>
      </c>
      <c r="B285" s="8"/>
      <c r="C285" s="5"/>
      <c r="D285" s="5"/>
      <c r="E285" s="5"/>
      <c r="F285" s="5"/>
      <c r="G285" s="6"/>
      <c r="H285" s="5"/>
    </row>
    <row r="286" spans="1:8" x14ac:dyDescent="0.45">
      <c r="A286">
        <v>278</v>
      </c>
      <c r="B286" s="8"/>
      <c r="C286" s="5"/>
      <c r="D286" s="5"/>
      <c r="E286" s="5"/>
      <c r="F286" s="5"/>
      <c r="G286" s="6"/>
      <c r="H286" s="5"/>
    </row>
    <row r="287" spans="1:8" x14ac:dyDescent="0.45">
      <c r="A287">
        <v>279</v>
      </c>
      <c r="B287" s="8"/>
      <c r="C287" s="5"/>
      <c r="D287" s="5"/>
      <c r="E287" s="5"/>
      <c r="F287" s="5"/>
      <c r="G287" s="6"/>
      <c r="H287" s="5"/>
    </row>
    <row r="288" spans="1:8" x14ac:dyDescent="0.45">
      <c r="A288">
        <v>280</v>
      </c>
      <c r="B288" s="8"/>
      <c r="C288" s="5"/>
      <c r="D288" s="5"/>
      <c r="E288" s="5"/>
      <c r="F288" s="5"/>
      <c r="G288" s="6"/>
      <c r="H288" s="5"/>
    </row>
    <row r="289" spans="1:8" x14ac:dyDescent="0.45">
      <c r="A289">
        <v>281</v>
      </c>
      <c r="B289" s="8"/>
      <c r="C289" s="5"/>
      <c r="D289" s="5"/>
      <c r="E289" s="5"/>
      <c r="F289" s="5"/>
      <c r="G289" s="6"/>
      <c r="H289" s="5"/>
    </row>
    <row r="290" spans="1:8" x14ac:dyDescent="0.45">
      <c r="A290">
        <v>282</v>
      </c>
      <c r="B290" s="8"/>
      <c r="C290" s="5"/>
      <c r="D290" s="5"/>
      <c r="E290" s="5"/>
      <c r="F290" s="5"/>
      <c r="G290" s="6"/>
      <c r="H290" s="5"/>
    </row>
    <row r="291" spans="1:8" x14ac:dyDescent="0.45">
      <c r="A291">
        <v>283</v>
      </c>
      <c r="B291" s="8"/>
      <c r="C291" s="5"/>
      <c r="D291" s="5"/>
      <c r="E291" s="5"/>
      <c r="F291" s="5"/>
      <c r="G291" s="6"/>
      <c r="H291" s="5"/>
    </row>
    <row r="292" spans="1:8" x14ac:dyDescent="0.45">
      <c r="A292">
        <v>284</v>
      </c>
      <c r="B292" s="8"/>
      <c r="C292" s="5"/>
      <c r="D292" s="5"/>
      <c r="E292" s="5"/>
      <c r="F292" s="5"/>
      <c r="G292" s="6"/>
      <c r="H292" s="5"/>
    </row>
    <row r="293" spans="1:8" x14ac:dyDescent="0.45">
      <c r="A293">
        <v>285</v>
      </c>
      <c r="B293" s="8"/>
      <c r="C293" s="5"/>
      <c r="D293" s="5"/>
      <c r="E293" s="5"/>
      <c r="F293" s="5"/>
      <c r="G293" s="6"/>
      <c r="H293" s="5"/>
    </row>
    <row r="294" spans="1:8" x14ac:dyDescent="0.45">
      <c r="A294">
        <v>286</v>
      </c>
      <c r="B294" s="8"/>
      <c r="C294" s="5"/>
      <c r="D294" s="5"/>
      <c r="E294" s="5"/>
      <c r="F294" s="5"/>
      <c r="G294" s="6"/>
      <c r="H294" s="5"/>
    </row>
    <row r="295" spans="1:8" x14ac:dyDescent="0.45">
      <c r="A295">
        <v>287</v>
      </c>
      <c r="B295" s="8"/>
      <c r="C295" s="5"/>
      <c r="D295" s="5"/>
      <c r="E295" s="5"/>
      <c r="F295" s="5"/>
      <c r="G295" s="6"/>
      <c r="H295" s="5"/>
    </row>
    <row r="296" spans="1:8" x14ac:dyDescent="0.45">
      <c r="A296">
        <v>288</v>
      </c>
      <c r="B296" s="8"/>
      <c r="C296" s="5"/>
      <c r="D296" s="5"/>
      <c r="E296" s="5"/>
      <c r="F296" s="5"/>
      <c r="G296" s="6"/>
      <c r="H296" s="5"/>
    </row>
    <row r="297" spans="1:8" x14ac:dyDescent="0.45">
      <c r="A297">
        <v>289</v>
      </c>
      <c r="B297" s="8"/>
      <c r="C297" s="5"/>
      <c r="D297" s="5"/>
      <c r="E297" s="5"/>
      <c r="F297" s="5"/>
      <c r="G297" s="6"/>
      <c r="H297" s="5"/>
    </row>
    <row r="298" spans="1:8" x14ac:dyDescent="0.45">
      <c r="A298">
        <v>290</v>
      </c>
      <c r="B298" s="8"/>
      <c r="C298" s="5"/>
      <c r="D298" s="5"/>
      <c r="E298" s="5"/>
      <c r="F298" s="5"/>
      <c r="G298" s="6"/>
      <c r="H298" s="5"/>
    </row>
    <row r="299" spans="1:8" x14ac:dyDescent="0.45">
      <c r="A299">
        <v>291</v>
      </c>
      <c r="B299" s="8"/>
      <c r="C299" s="5"/>
      <c r="D299" s="5"/>
      <c r="E299" s="5"/>
      <c r="F299" s="5"/>
      <c r="G299" s="6"/>
      <c r="H299" s="5"/>
    </row>
    <row r="300" spans="1:8" x14ac:dyDescent="0.45">
      <c r="A300">
        <v>292</v>
      </c>
      <c r="B300" s="8"/>
      <c r="C300" s="5"/>
      <c r="D300" s="5"/>
      <c r="E300" s="5"/>
      <c r="F300" s="5"/>
      <c r="G300" s="6"/>
      <c r="H300" s="5"/>
    </row>
    <row r="301" spans="1:8" x14ac:dyDescent="0.45">
      <c r="A301">
        <v>293</v>
      </c>
      <c r="B301" s="8"/>
      <c r="C301" s="5"/>
      <c r="D301" s="5"/>
      <c r="E301" s="5"/>
      <c r="F301" s="5"/>
      <c r="G301" s="6"/>
      <c r="H301" s="5"/>
    </row>
    <row r="302" spans="1:8" x14ac:dyDescent="0.45">
      <c r="A302">
        <v>294</v>
      </c>
      <c r="B302" s="8"/>
      <c r="C302" s="5"/>
      <c r="D302" s="5"/>
      <c r="E302" s="5"/>
      <c r="F302" s="5"/>
      <c r="G302" s="6"/>
      <c r="H302" s="5"/>
    </row>
    <row r="303" spans="1:8" x14ac:dyDescent="0.45">
      <c r="A303">
        <v>295</v>
      </c>
      <c r="B303" s="8"/>
      <c r="C303" s="5"/>
      <c r="D303" s="5"/>
      <c r="E303" s="5"/>
      <c r="F303" s="5"/>
      <c r="G303" s="6"/>
      <c r="H303" s="5"/>
    </row>
    <row r="304" spans="1:8" x14ac:dyDescent="0.45">
      <c r="A304">
        <v>296</v>
      </c>
      <c r="B304" s="8"/>
      <c r="C304" s="5"/>
      <c r="D304" s="5"/>
      <c r="E304" s="5"/>
      <c r="F304" s="5"/>
      <c r="G304" s="6"/>
      <c r="H304" s="5"/>
    </row>
    <row r="305" spans="1:8" x14ac:dyDescent="0.45">
      <c r="A305">
        <v>297</v>
      </c>
      <c r="B305" s="8"/>
      <c r="C305" s="5"/>
      <c r="D305" s="5"/>
      <c r="E305" s="5"/>
      <c r="F305" s="5"/>
      <c r="G305" s="6"/>
      <c r="H305" s="5"/>
    </row>
    <row r="306" spans="1:8" x14ac:dyDescent="0.45">
      <c r="A306">
        <v>298</v>
      </c>
      <c r="B306" s="8"/>
      <c r="C306" s="5"/>
      <c r="D306" s="5"/>
      <c r="E306" s="5"/>
      <c r="F306" s="5"/>
      <c r="G306" s="6"/>
      <c r="H306" s="5"/>
    </row>
    <row r="307" spans="1:8" x14ac:dyDescent="0.45">
      <c r="A307">
        <v>299</v>
      </c>
      <c r="B307" s="8"/>
      <c r="C307" s="5"/>
      <c r="D307" s="5"/>
      <c r="E307" s="5"/>
      <c r="F307" s="5"/>
      <c r="G307" s="6"/>
      <c r="H307" s="5"/>
    </row>
    <row r="308" spans="1:8" x14ac:dyDescent="0.45">
      <c r="A308">
        <v>300</v>
      </c>
      <c r="B308" s="8"/>
      <c r="C308" s="5"/>
      <c r="D308" s="5"/>
      <c r="E308" s="5"/>
      <c r="F308" s="5"/>
      <c r="G308" s="6"/>
      <c r="H308" s="5"/>
    </row>
    <row r="309" spans="1:8" x14ac:dyDescent="0.45">
      <c r="A309">
        <v>301</v>
      </c>
      <c r="B309" s="8"/>
      <c r="C309" s="5"/>
      <c r="D309" s="5"/>
      <c r="E309" s="5"/>
      <c r="F309" s="5"/>
      <c r="G309" s="6"/>
      <c r="H309" s="5"/>
    </row>
    <row r="310" spans="1:8" x14ac:dyDescent="0.45">
      <c r="A310">
        <v>302</v>
      </c>
      <c r="B310" s="8"/>
      <c r="C310" s="5"/>
      <c r="D310" s="5"/>
      <c r="E310" s="5"/>
      <c r="F310" s="5"/>
      <c r="G310" s="6"/>
      <c r="H310" s="5"/>
    </row>
    <row r="311" spans="1:8" x14ac:dyDescent="0.45">
      <c r="A311">
        <v>303</v>
      </c>
      <c r="B311" s="8"/>
      <c r="C311" s="5"/>
      <c r="D311" s="5"/>
      <c r="E311" s="5"/>
      <c r="F311" s="5"/>
      <c r="G311" s="6"/>
      <c r="H311" s="5"/>
    </row>
    <row r="312" spans="1:8" x14ac:dyDescent="0.45">
      <c r="A312">
        <v>304</v>
      </c>
      <c r="B312" s="8"/>
      <c r="C312" s="5"/>
      <c r="D312" s="5"/>
      <c r="E312" s="5"/>
      <c r="F312" s="5"/>
      <c r="G312" s="6"/>
      <c r="H312" s="5"/>
    </row>
    <row r="313" spans="1:8" x14ac:dyDescent="0.45">
      <c r="A313">
        <v>305</v>
      </c>
      <c r="B313" s="8"/>
      <c r="C313" s="5"/>
      <c r="D313" s="5"/>
      <c r="E313" s="5"/>
      <c r="F313" s="5"/>
      <c r="G313" s="6"/>
      <c r="H313" s="5"/>
    </row>
    <row r="314" spans="1:8" x14ac:dyDescent="0.45">
      <c r="A314">
        <v>306</v>
      </c>
      <c r="B314" s="8"/>
      <c r="C314" s="5"/>
      <c r="D314" s="5"/>
      <c r="E314" s="5"/>
      <c r="F314" s="5"/>
      <c r="G314" s="6"/>
      <c r="H314" s="5"/>
    </row>
    <row r="315" spans="1:8" x14ac:dyDescent="0.45">
      <c r="A315">
        <v>307</v>
      </c>
      <c r="B315" s="8"/>
      <c r="C315" s="5"/>
      <c r="D315" s="5"/>
      <c r="E315" s="5"/>
      <c r="F315" s="5"/>
      <c r="G315" s="6"/>
      <c r="H315" s="5"/>
    </row>
    <row r="316" spans="1:8" x14ac:dyDescent="0.45">
      <c r="A316">
        <v>308</v>
      </c>
      <c r="B316" s="8"/>
      <c r="C316" s="5"/>
      <c r="D316" s="5"/>
      <c r="E316" s="5"/>
      <c r="F316" s="5"/>
      <c r="G316" s="6"/>
      <c r="H316" s="5"/>
    </row>
    <row r="317" spans="1:8" x14ac:dyDescent="0.45">
      <c r="A317">
        <v>309</v>
      </c>
      <c r="B317" s="8"/>
      <c r="C317" s="5"/>
      <c r="D317" s="5"/>
      <c r="E317" s="5"/>
      <c r="F317" s="5"/>
      <c r="G317" s="6"/>
      <c r="H317" s="5"/>
    </row>
    <row r="318" spans="1:8" x14ac:dyDescent="0.45">
      <c r="A318">
        <v>310</v>
      </c>
      <c r="B318" s="8"/>
      <c r="C318" s="5"/>
      <c r="D318" s="5"/>
      <c r="E318" s="5"/>
      <c r="F318" s="5"/>
      <c r="G318" s="6"/>
      <c r="H318" s="5"/>
    </row>
    <row r="319" spans="1:8" x14ac:dyDescent="0.45">
      <c r="A319">
        <v>311</v>
      </c>
      <c r="B319" s="8"/>
      <c r="C319" s="5"/>
      <c r="D319" s="5"/>
      <c r="E319" s="5"/>
      <c r="F319" s="5"/>
      <c r="G319" s="6"/>
      <c r="H319" s="5"/>
    </row>
    <row r="320" spans="1:8" x14ac:dyDescent="0.45">
      <c r="A320">
        <v>312</v>
      </c>
      <c r="B320" s="8"/>
      <c r="C320" s="5"/>
      <c r="D320" s="5"/>
      <c r="E320" s="5"/>
      <c r="F320" s="5"/>
      <c r="G320" s="6"/>
      <c r="H320" s="5"/>
    </row>
    <row r="321" spans="1:8" x14ac:dyDescent="0.45">
      <c r="A321">
        <v>313</v>
      </c>
      <c r="B321" s="8"/>
      <c r="C321" s="5"/>
      <c r="D321" s="5"/>
      <c r="E321" s="5"/>
      <c r="F321" s="5"/>
      <c r="G321" s="6"/>
      <c r="H321" s="5"/>
    </row>
    <row r="322" spans="1:8" x14ac:dyDescent="0.45">
      <c r="A322">
        <v>314</v>
      </c>
      <c r="B322" s="8"/>
      <c r="C322" s="5"/>
      <c r="D322" s="5"/>
      <c r="E322" s="5"/>
      <c r="F322" s="5"/>
      <c r="G322" s="6"/>
      <c r="H322" s="5"/>
    </row>
    <row r="323" spans="1:8" x14ac:dyDescent="0.45">
      <c r="A323">
        <v>315</v>
      </c>
      <c r="B323" s="8"/>
      <c r="C323" s="5"/>
      <c r="D323" s="5"/>
      <c r="E323" s="5"/>
      <c r="F323" s="5"/>
      <c r="G323" s="6"/>
      <c r="H323" s="5"/>
    </row>
    <row r="324" spans="1:8" x14ac:dyDescent="0.45">
      <c r="A324">
        <v>316</v>
      </c>
      <c r="B324" s="8"/>
      <c r="C324" s="5"/>
      <c r="D324" s="5"/>
      <c r="E324" s="5"/>
      <c r="F324" s="5"/>
      <c r="G324" s="6"/>
      <c r="H324" s="5"/>
    </row>
    <row r="325" spans="1:8" x14ac:dyDescent="0.45">
      <c r="A325">
        <v>317</v>
      </c>
      <c r="B325" s="8"/>
      <c r="C325" s="5"/>
      <c r="D325" s="5"/>
      <c r="E325" s="5"/>
      <c r="F325" s="5"/>
      <c r="G325" s="6"/>
      <c r="H325" s="5"/>
    </row>
    <row r="326" spans="1:8" x14ac:dyDescent="0.45">
      <c r="A326">
        <v>318</v>
      </c>
      <c r="B326" s="8"/>
      <c r="C326" s="5"/>
      <c r="D326" s="5"/>
      <c r="E326" s="5"/>
      <c r="F326" s="5"/>
      <c r="G326" s="6"/>
      <c r="H326" s="5"/>
    </row>
    <row r="327" spans="1:8" x14ac:dyDescent="0.45">
      <c r="A327">
        <v>319</v>
      </c>
      <c r="B327" s="8"/>
      <c r="C327" s="5"/>
      <c r="D327" s="5"/>
      <c r="E327" s="5"/>
      <c r="F327" s="5"/>
      <c r="G327" s="6"/>
      <c r="H327" s="5"/>
    </row>
    <row r="328" spans="1:8" x14ac:dyDescent="0.45">
      <c r="A328">
        <v>320</v>
      </c>
      <c r="B328" s="8"/>
      <c r="C328" s="5"/>
      <c r="D328" s="5"/>
      <c r="E328" s="5"/>
      <c r="F328" s="5"/>
      <c r="G328" s="6"/>
      <c r="H328" s="5"/>
    </row>
    <row r="329" spans="1:8" x14ac:dyDescent="0.45">
      <c r="A329">
        <v>321</v>
      </c>
      <c r="B329" s="8"/>
      <c r="C329" s="5"/>
      <c r="D329" s="5"/>
      <c r="E329" s="5"/>
      <c r="F329" s="5"/>
      <c r="G329" s="6"/>
      <c r="H329" s="5"/>
    </row>
    <row r="330" spans="1:8" x14ac:dyDescent="0.45">
      <c r="A330">
        <v>322</v>
      </c>
      <c r="B330" s="8"/>
      <c r="C330" s="5"/>
      <c r="D330" s="5"/>
      <c r="E330" s="5"/>
      <c r="F330" s="5"/>
      <c r="G330" s="6"/>
      <c r="H330" s="5"/>
    </row>
    <row r="331" spans="1:8" x14ac:dyDescent="0.45">
      <c r="A331">
        <v>323</v>
      </c>
      <c r="B331" s="8"/>
      <c r="C331" s="5"/>
      <c r="D331" s="5"/>
      <c r="E331" s="5"/>
      <c r="F331" s="5"/>
      <c r="G331" s="6"/>
      <c r="H331" s="5"/>
    </row>
    <row r="332" spans="1:8" x14ac:dyDescent="0.45">
      <c r="A332">
        <v>324</v>
      </c>
      <c r="B332" s="8"/>
      <c r="C332" s="5"/>
      <c r="D332" s="5"/>
      <c r="E332" s="5"/>
      <c r="F332" s="5"/>
      <c r="G332" s="6"/>
      <c r="H332" s="5"/>
    </row>
    <row r="333" spans="1:8" x14ac:dyDescent="0.45">
      <c r="A333">
        <v>325</v>
      </c>
      <c r="B333" s="8"/>
      <c r="C333" s="5"/>
      <c r="D333" s="5"/>
      <c r="E333" s="5"/>
      <c r="F333" s="5"/>
      <c r="G333" s="6"/>
      <c r="H333" s="5"/>
    </row>
    <row r="334" spans="1:8" x14ac:dyDescent="0.45">
      <c r="A334">
        <v>326</v>
      </c>
      <c r="B334" s="8"/>
      <c r="C334" s="5"/>
      <c r="D334" s="5"/>
      <c r="E334" s="5"/>
      <c r="F334" s="5"/>
      <c r="G334" s="6"/>
      <c r="H334" s="5"/>
    </row>
    <row r="335" spans="1:8" x14ac:dyDescent="0.45">
      <c r="A335">
        <v>327</v>
      </c>
      <c r="B335" s="8"/>
      <c r="C335" s="5"/>
      <c r="D335" s="5"/>
      <c r="E335" s="5"/>
      <c r="F335" s="5"/>
      <c r="G335" s="6"/>
      <c r="H335" s="5"/>
    </row>
    <row r="336" spans="1:8" x14ac:dyDescent="0.45">
      <c r="A336">
        <v>328</v>
      </c>
      <c r="B336" s="8"/>
      <c r="C336" s="5"/>
      <c r="D336" s="5"/>
      <c r="E336" s="5"/>
      <c r="F336" s="5"/>
      <c r="G336" s="6"/>
      <c r="H336" s="5"/>
    </row>
    <row r="337" spans="1:8" x14ac:dyDescent="0.45">
      <c r="A337">
        <v>329</v>
      </c>
      <c r="B337" s="8"/>
      <c r="C337" s="5"/>
      <c r="D337" s="5"/>
      <c r="E337" s="5"/>
      <c r="F337" s="5"/>
      <c r="G337" s="6"/>
      <c r="H337" s="5"/>
    </row>
    <row r="338" spans="1:8" x14ac:dyDescent="0.45">
      <c r="A338">
        <v>330</v>
      </c>
      <c r="B338" s="8"/>
      <c r="C338" s="5"/>
      <c r="D338" s="5"/>
      <c r="E338" s="5"/>
      <c r="F338" s="5"/>
      <c r="G338" s="6"/>
      <c r="H338" s="5"/>
    </row>
    <row r="339" spans="1:8" x14ac:dyDescent="0.45">
      <c r="A339">
        <v>331</v>
      </c>
      <c r="B339" s="8"/>
      <c r="C339" s="5"/>
      <c r="D339" s="5"/>
      <c r="E339" s="5"/>
      <c r="F339" s="5"/>
      <c r="G339" s="6"/>
      <c r="H339" s="5"/>
    </row>
    <row r="340" spans="1:8" x14ac:dyDescent="0.45">
      <c r="A340">
        <v>332</v>
      </c>
      <c r="B340" s="8"/>
      <c r="C340" s="5"/>
      <c r="D340" s="5"/>
      <c r="E340" s="5"/>
      <c r="F340" s="5"/>
      <c r="G340" s="6"/>
      <c r="H340" s="5"/>
    </row>
    <row r="341" spans="1:8" x14ac:dyDescent="0.45">
      <c r="A341">
        <v>333</v>
      </c>
      <c r="B341" s="8"/>
      <c r="C341" s="5"/>
      <c r="D341" s="5"/>
      <c r="E341" s="5"/>
      <c r="F341" s="5"/>
      <c r="G341" s="6"/>
      <c r="H341" s="5"/>
    </row>
    <row r="342" spans="1:8" x14ac:dyDescent="0.45">
      <c r="A342">
        <v>334</v>
      </c>
      <c r="B342" s="8"/>
      <c r="C342" s="5"/>
      <c r="D342" s="5"/>
      <c r="E342" s="5"/>
      <c r="F342" s="5"/>
      <c r="G342" s="6"/>
      <c r="H342" s="5"/>
    </row>
    <row r="343" spans="1:8" x14ac:dyDescent="0.45">
      <c r="A343">
        <v>335</v>
      </c>
      <c r="B343" s="8"/>
      <c r="C343" s="5"/>
      <c r="D343" s="5"/>
      <c r="E343" s="5"/>
      <c r="F343" s="5"/>
      <c r="G343" s="6"/>
      <c r="H343" s="5"/>
    </row>
    <row r="344" spans="1:8" x14ac:dyDescent="0.45">
      <c r="A344">
        <v>336</v>
      </c>
      <c r="B344" s="8"/>
      <c r="C344" s="5"/>
      <c r="D344" s="5"/>
      <c r="E344" s="5"/>
      <c r="F344" s="5"/>
      <c r="G344" s="6"/>
      <c r="H344" s="5"/>
    </row>
    <row r="345" spans="1:8" x14ac:dyDescent="0.45">
      <c r="A345">
        <v>337</v>
      </c>
      <c r="B345" s="8"/>
      <c r="C345" s="5"/>
      <c r="D345" s="5"/>
      <c r="E345" s="5"/>
      <c r="F345" s="5"/>
      <c r="G345" s="6"/>
      <c r="H345" s="5"/>
    </row>
    <row r="346" spans="1:8" x14ac:dyDescent="0.45">
      <c r="A346">
        <v>338</v>
      </c>
      <c r="B346" s="8"/>
      <c r="C346" s="5"/>
      <c r="D346" s="5"/>
      <c r="E346" s="5"/>
      <c r="F346" s="5"/>
      <c r="G346" s="6"/>
      <c r="H346" s="5"/>
    </row>
    <row r="347" spans="1:8" x14ac:dyDescent="0.45">
      <c r="A347">
        <v>339</v>
      </c>
      <c r="B347" s="8"/>
      <c r="C347" s="5"/>
      <c r="D347" s="5"/>
      <c r="E347" s="5"/>
      <c r="F347" s="5"/>
      <c r="G347" s="6"/>
      <c r="H347" s="5"/>
    </row>
    <row r="348" spans="1:8" x14ac:dyDescent="0.45">
      <c r="A348">
        <v>340</v>
      </c>
      <c r="B348" s="8"/>
      <c r="C348" s="5"/>
      <c r="D348" s="5"/>
      <c r="E348" s="5"/>
      <c r="F348" s="5"/>
      <c r="G348" s="6"/>
      <c r="H348" s="5"/>
    </row>
    <row r="349" spans="1:8" x14ac:dyDescent="0.45">
      <c r="A349">
        <v>341</v>
      </c>
      <c r="B349" s="8"/>
      <c r="C349" s="5"/>
      <c r="D349" s="5"/>
      <c r="E349" s="5"/>
      <c r="F349" s="5"/>
      <c r="G349" s="6"/>
      <c r="H349" s="5"/>
    </row>
    <row r="350" spans="1:8" x14ac:dyDescent="0.45">
      <c r="A350">
        <v>342</v>
      </c>
      <c r="B350" s="8"/>
      <c r="C350" s="5"/>
      <c r="D350" s="5"/>
      <c r="E350" s="5"/>
      <c r="F350" s="5"/>
      <c r="G350" s="6"/>
      <c r="H350" s="5"/>
    </row>
    <row r="351" spans="1:8" x14ac:dyDescent="0.45">
      <c r="A351">
        <v>343</v>
      </c>
      <c r="B351" s="8"/>
      <c r="C351" s="5"/>
      <c r="D351" s="5"/>
      <c r="E351" s="5"/>
      <c r="F351" s="5"/>
      <c r="G351" s="6"/>
      <c r="H351" s="5"/>
    </row>
    <row r="352" spans="1:8" x14ac:dyDescent="0.45">
      <c r="A352">
        <v>344</v>
      </c>
      <c r="B352" s="8"/>
      <c r="C352" s="5"/>
      <c r="D352" s="5"/>
      <c r="E352" s="5"/>
      <c r="F352" s="5"/>
      <c r="G352" s="6"/>
      <c r="H352" s="5"/>
    </row>
    <row r="353" spans="1:8" x14ac:dyDescent="0.45">
      <c r="A353">
        <v>345</v>
      </c>
      <c r="B353" s="8"/>
      <c r="C353" s="5"/>
      <c r="D353" s="5"/>
      <c r="E353" s="5"/>
      <c r="F353" s="5"/>
      <c r="G353" s="6"/>
      <c r="H353" s="5"/>
    </row>
    <row r="354" spans="1:8" x14ac:dyDescent="0.45">
      <c r="A354">
        <v>346</v>
      </c>
      <c r="B354" s="8"/>
      <c r="C354" s="5"/>
      <c r="D354" s="5"/>
      <c r="E354" s="5"/>
      <c r="F354" s="5"/>
      <c r="G354" s="6"/>
      <c r="H354" s="5"/>
    </row>
    <row r="355" spans="1:8" x14ac:dyDescent="0.45">
      <c r="A355">
        <v>347</v>
      </c>
      <c r="B355" s="8"/>
      <c r="C355" s="5"/>
      <c r="D355" s="5"/>
      <c r="E355" s="5"/>
      <c r="F355" s="5"/>
      <c r="G355" s="6"/>
      <c r="H355" s="5"/>
    </row>
    <row r="356" spans="1:8" x14ac:dyDescent="0.45">
      <c r="A356">
        <v>348</v>
      </c>
      <c r="B356" s="8"/>
      <c r="C356" s="5"/>
      <c r="D356" s="5"/>
      <c r="E356" s="5"/>
      <c r="F356" s="5"/>
      <c r="G356" s="6"/>
      <c r="H356" s="5"/>
    </row>
    <row r="357" spans="1:8" x14ac:dyDescent="0.45">
      <c r="A357">
        <v>349</v>
      </c>
      <c r="B357" s="8"/>
      <c r="C357" s="5"/>
      <c r="D357" s="5"/>
      <c r="E357" s="5"/>
      <c r="F357" s="5"/>
      <c r="G357" s="6"/>
      <c r="H357" s="5"/>
    </row>
    <row r="358" spans="1:8" x14ac:dyDescent="0.45">
      <c r="A358">
        <v>350</v>
      </c>
      <c r="B358" s="8"/>
      <c r="C358" s="5"/>
      <c r="D358" s="5"/>
      <c r="E358" s="5"/>
      <c r="F358" s="5"/>
      <c r="G358" s="6"/>
      <c r="H358" s="5"/>
    </row>
    <row r="359" spans="1:8" x14ac:dyDescent="0.45">
      <c r="A359">
        <v>351</v>
      </c>
      <c r="B359" s="8"/>
      <c r="C359" s="5"/>
      <c r="D359" s="5"/>
      <c r="E359" s="5"/>
      <c r="F359" s="5"/>
      <c r="G359" s="6"/>
      <c r="H359" s="5"/>
    </row>
    <row r="360" spans="1:8" x14ac:dyDescent="0.45">
      <c r="A360">
        <v>352</v>
      </c>
      <c r="B360" s="8"/>
      <c r="C360" s="5"/>
      <c r="D360" s="5"/>
      <c r="E360" s="5"/>
      <c r="F360" s="5"/>
      <c r="G360" s="6"/>
      <c r="H360" s="5"/>
    </row>
    <row r="361" spans="1:8" x14ac:dyDescent="0.45">
      <c r="A361">
        <v>353</v>
      </c>
      <c r="B361" s="8"/>
      <c r="C361" s="5"/>
      <c r="D361" s="5"/>
      <c r="E361" s="5"/>
      <c r="F361" s="5"/>
      <c r="G361" s="6"/>
      <c r="H361" s="5"/>
    </row>
    <row r="362" spans="1:8" x14ac:dyDescent="0.45">
      <c r="A362">
        <v>354</v>
      </c>
      <c r="B362" s="8"/>
      <c r="C362" s="5"/>
      <c r="D362" s="5"/>
      <c r="E362" s="5"/>
      <c r="F362" s="5"/>
      <c r="G362" s="6"/>
      <c r="H362" s="5"/>
    </row>
    <row r="363" spans="1:8" x14ac:dyDescent="0.45">
      <c r="A363">
        <v>355</v>
      </c>
      <c r="B363" s="8"/>
      <c r="C363" s="5"/>
      <c r="D363" s="5"/>
      <c r="E363" s="5"/>
      <c r="F363" s="5"/>
      <c r="G363" s="6"/>
      <c r="H363" s="5"/>
    </row>
    <row r="364" spans="1:8" x14ac:dyDescent="0.45">
      <c r="A364">
        <v>356</v>
      </c>
      <c r="B364" s="8"/>
      <c r="C364" s="5"/>
      <c r="D364" s="5"/>
      <c r="E364" s="5"/>
      <c r="F364" s="5"/>
      <c r="G364" s="6"/>
      <c r="H364" s="5"/>
    </row>
    <row r="365" spans="1:8" x14ac:dyDescent="0.45">
      <c r="A365">
        <v>357</v>
      </c>
      <c r="B365" s="8"/>
      <c r="C365" s="5"/>
      <c r="D365" s="5"/>
      <c r="E365" s="5"/>
      <c r="F365" s="5"/>
      <c r="G365" s="6"/>
      <c r="H365" s="5"/>
    </row>
    <row r="366" spans="1:8" x14ac:dyDescent="0.45">
      <c r="A366">
        <v>358</v>
      </c>
      <c r="B366" s="8"/>
      <c r="C366" s="5"/>
      <c r="D366" s="5"/>
      <c r="E366" s="5"/>
      <c r="F366" s="5"/>
      <c r="G366" s="6"/>
      <c r="H366" s="5"/>
    </row>
    <row r="367" spans="1:8" x14ac:dyDescent="0.45">
      <c r="A367">
        <v>359</v>
      </c>
      <c r="B367" s="8"/>
      <c r="C367" s="5"/>
      <c r="D367" s="5"/>
      <c r="E367" s="5"/>
      <c r="F367" s="5"/>
      <c r="G367" s="6"/>
      <c r="H367" s="5"/>
    </row>
    <row r="368" spans="1:8" x14ac:dyDescent="0.45">
      <c r="A368">
        <v>360</v>
      </c>
      <c r="B368" s="8"/>
      <c r="C368" s="5"/>
      <c r="D368" s="5"/>
      <c r="E368" s="5"/>
      <c r="F368" s="5"/>
      <c r="G368" s="6"/>
      <c r="H368" s="5"/>
    </row>
    <row r="369" spans="1:8" x14ac:dyDescent="0.45">
      <c r="A369">
        <v>361</v>
      </c>
      <c r="B369" s="8"/>
      <c r="C369" s="5"/>
      <c r="D369" s="5"/>
      <c r="E369" s="5"/>
      <c r="F369" s="5"/>
      <c r="G369" s="6"/>
      <c r="H369" s="5"/>
    </row>
    <row r="370" spans="1:8" x14ac:dyDescent="0.45">
      <c r="A370">
        <v>362</v>
      </c>
      <c r="B370" s="8"/>
      <c r="C370" s="5"/>
      <c r="D370" s="5"/>
      <c r="E370" s="5"/>
      <c r="F370" s="5"/>
      <c r="G370" s="6"/>
      <c r="H370" s="5"/>
    </row>
    <row r="371" spans="1:8" x14ac:dyDescent="0.45">
      <c r="A371">
        <v>363</v>
      </c>
      <c r="B371" s="8"/>
      <c r="C371" s="5"/>
      <c r="D371" s="5"/>
      <c r="E371" s="5"/>
      <c r="F371" s="5"/>
      <c r="G371" s="6"/>
      <c r="H371" s="5"/>
    </row>
    <row r="372" spans="1:8" x14ac:dyDescent="0.45">
      <c r="A372">
        <v>364</v>
      </c>
      <c r="B372" s="8"/>
      <c r="C372" s="5"/>
      <c r="D372" s="5"/>
      <c r="E372" s="5"/>
      <c r="F372" s="5"/>
      <c r="G372" s="6"/>
      <c r="H372" s="5"/>
    </row>
    <row r="373" spans="1:8" x14ac:dyDescent="0.45">
      <c r="A373">
        <v>365</v>
      </c>
      <c r="B373" s="8"/>
      <c r="C373" s="5"/>
      <c r="D373" s="5"/>
      <c r="E373" s="5"/>
      <c r="F373" s="5"/>
      <c r="G373" s="6"/>
      <c r="H373" s="5"/>
    </row>
    <row r="374" spans="1:8" x14ac:dyDescent="0.45">
      <c r="A374">
        <v>366</v>
      </c>
      <c r="B374" s="8"/>
      <c r="C374" s="5"/>
      <c r="D374" s="5"/>
      <c r="E374" s="5"/>
      <c r="F374" s="5"/>
      <c r="G374" s="6"/>
      <c r="H374" s="5"/>
    </row>
    <row r="375" spans="1:8" x14ac:dyDescent="0.45">
      <c r="A375">
        <v>367</v>
      </c>
      <c r="B375" s="8"/>
      <c r="C375" s="5"/>
      <c r="D375" s="5"/>
      <c r="E375" s="5"/>
      <c r="F375" s="5"/>
      <c r="G375" s="6"/>
      <c r="H375" s="5"/>
    </row>
    <row r="376" spans="1:8" x14ac:dyDescent="0.45">
      <c r="A376">
        <v>368</v>
      </c>
      <c r="B376" s="8"/>
      <c r="C376" s="5"/>
      <c r="D376" s="5"/>
      <c r="E376" s="5"/>
      <c r="F376" s="5"/>
      <c r="G376" s="6"/>
      <c r="H376" s="5"/>
    </row>
    <row r="377" spans="1:8" x14ac:dyDescent="0.45">
      <c r="A377">
        <v>369</v>
      </c>
      <c r="B377" s="8"/>
      <c r="C377" s="5"/>
      <c r="D377" s="5"/>
      <c r="E377" s="5"/>
      <c r="F377" s="5"/>
      <c r="G377" s="6"/>
      <c r="H377" s="5"/>
    </row>
    <row r="378" spans="1:8" x14ac:dyDescent="0.45">
      <c r="A378">
        <v>370</v>
      </c>
      <c r="B378" s="8"/>
      <c r="C378" s="5"/>
      <c r="D378" s="5"/>
      <c r="E378" s="5"/>
      <c r="F378" s="5"/>
      <c r="G378" s="6"/>
      <c r="H378" s="5"/>
    </row>
    <row r="379" spans="1:8" x14ac:dyDescent="0.45">
      <c r="A379">
        <v>371</v>
      </c>
      <c r="B379" s="8"/>
      <c r="C379" s="5"/>
      <c r="D379" s="5"/>
      <c r="E379" s="5"/>
      <c r="F379" s="5"/>
      <c r="G379" s="6"/>
      <c r="H379" s="5"/>
    </row>
    <row r="380" spans="1:8" x14ac:dyDescent="0.45">
      <c r="A380">
        <v>372</v>
      </c>
      <c r="B380" s="8"/>
      <c r="C380" s="5"/>
      <c r="D380" s="5"/>
      <c r="E380" s="5"/>
      <c r="F380" s="5"/>
      <c r="G380" s="6"/>
      <c r="H380" s="5"/>
    </row>
    <row r="381" spans="1:8" x14ac:dyDescent="0.45">
      <c r="A381">
        <v>373</v>
      </c>
      <c r="B381" s="8"/>
      <c r="C381" s="5"/>
      <c r="D381" s="5"/>
      <c r="E381" s="5"/>
      <c r="F381" s="5"/>
      <c r="G381" s="6"/>
      <c r="H381" s="5"/>
    </row>
    <row r="382" spans="1:8" x14ac:dyDescent="0.45">
      <c r="A382">
        <v>374</v>
      </c>
      <c r="B382" s="8"/>
      <c r="C382" s="5"/>
      <c r="D382" s="5"/>
      <c r="E382" s="5"/>
      <c r="F382" s="5"/>
      <c r="G382" s="6"/>
      <c r="H382" s="5"/>
    </row>
    <row r="383" spans="1:8" x14ac:dyDescent="0.45">
      <c r="A383">
        <v>375</v>
      </c>
      <c r="B383" s="8"/>
      <c r="C383" s="5"/>
      <c r="D383" s="5"/>
      <c r="E383" s="5"/>
      <c r="F383" s="5"/>
      <c r="G383" s="6"/>
      <c r="H383" s="5"/>
    </row>
    <row r="384" spans="1:8" x14ac:dyDescent="0.45">
      <c r="A384">
        <v>376</v>
      </c>
      <c r="B384" s="8"/>
      <c r="C384" s="5"/>
      <c r="D384" s="5"/>
      <c r="E384" s="5"/>
      <c r="F384" s="5"/>
      <c r="G384" s="6"/>
      <c r="H384" s="5"/>
    </row>
    <row r="385" spans="1:8" x14ac:dyDescent="0.45">
      <c r="A385">
        <v>377</v>
      </c>
      <c r="B385" s="8"/>
      <c r="C385" s="5"/>
      <c r="D385" s="5"/>
      <c r="E385" s="5"/>
      <c r="F385" s="5"/>
      <c r="G385" s="6"/>
      <c r="H385" s="5"/>
    </row>
    <row r="386" spans="1:8" x14ac:dyDescent="0.45">
      <c r="A386">
        <v>378</v>
      </c>
      <c r="B386" s="8"/>
      <c r="C386" s="5"/>
      <c r="D386" s="5"/>
      <c r="E386" s="5"/>
      <c r="F386" s="5"/>
      <c r="G386" s="6"/>
      <c r="H386" s="5"/>
    </row>
    <row r="387" spans="1:8" x14ac:dyDescent="0.45">
      <c r="A387">
        <v>379</v>
      </c>
      <c r="B387" s="8"/>
      <c r="C387" s="5"/>
      <c r="D387" s="5"/>
      <c r="E387" s="5"/>
      <c r="F387" s="5"/>
      <c r="G387" s="6"/>
      <c r="H387" s="5"/>
    </row>
    <row r="388" spans="1:8" x14ac:dyDescent="0.45">
      <c r="A388">
        <v>380</v>
      </c>
      <c r="B388" s="8"/>
      <c r="C388" s="5"/>
      <c r="D388" s="5"/>
      <c r="E388" s="5"/>
      <c r="F388" s="5"/>
      <c r="G388" s="6"/>
      <c r="H388" s="5"/>
    </row>
    <row r="389" spans="1:8" x14ac:dyDescent="0.45">
      <c r="A389">
        <v>381</v>
      </c>
      <c r="B389" s="8"/>
      <c r="C389" s="5"/>
      <c r="D389" s="5"/>
      <c r="E389" s="5"/>
      <c r="F389" s="5"/>
      <c r="G389" s="6"/>
      <c r="H389" s="5"/>
    </row>
    <row r="390" spans="1:8" x14ac:dyDescent="0.45">
      <c r="A390">
        <v>382</v>
      </c>
      <c r="B390" s="8"/>
      <c r="C390" s="5"/>
      <c r="D390" s="5"/>
      <c r="E390" s="5"/>
      <c r="F390" s="5"/>
      <c r="G390" s="6"/>
      <c r="H390" s="5"/>
    </row>
    <row r="391" spans="1:8" x14ac:dyDescent="0.45">
      <c r="A391">
        <v>383</v>
      </c>
      <c r="B391" s="8"/>
      <c r="C391" s="5"/>
      <c r="D391" s="5"/>
      <c r="E391" s="5"/>
      <c r="F391" s="5"/>
      <c r="G391" s="6"/>
      <c r="H391" s="5"/>
    </row>
    <row r="392" spans="1:8" x14ac:dyDescent="0.45">
      <c r="A392">
        <v>384</v>
      </c>
      <c r="B392" s="8"/>
      <c r="C392" s="5"/>
      <c r="D392" s="5"/>
      <c r="E392" s="5"/>
      <c r="F392" s="5"/>
      <c r="G392" s="6"/>
      <c r="H392" s="5"/>
    </row>
    <row r="393" spans="1:8" x14ac:dyDescent="0.45">
      <c r="A393">
        <v>385</v>
      </c>
      <c r="B393" s="8"/>
      <c r="C393" s="5"/>
      <c r="D393" s="5"/>
      <c r="E393" s="5"/>
      <c r="F393" s="5"/>
      <c r="G393" s="6"/>
      <c r="H393" s="5"/>
    </row>
    <row r="394" spans="1:8" x14ac:dyDescent="0.45">
      <c r="A394">
        <v>386</v>
      </c>
      <c r="B394" s="8"/>
      <c r="C394" s="5"/>
      <c r="D394" s="5"/>
      <c r="E394" s="5"/>
      <c r="F394" s="5"/>
      <c r="G394" s="6"/>
      <c r="H394" s="5"/>
    </row>
    <row r="395" spans="1:8" x14ac:dyDescent="0.45">
      <c r="A395">
        <v>387</v>
      </c>
      <c r="B395" s="8"/>
      <c r="C395" s="5"/>
      <c r="D395" s="5"/>
      <c r="E395" s="5"/>
      <c r="F395" s="5"/>
      <c r="G395" s="6"/>
      <c r="H395" s="5"/>
    </row>
    <row r="396" spans="1:8" x14ac:dyDescent="0.45">
      <c r="A396">
        <v>388</v>
      </c>
      <c r="B396" s="8"/>
      <c r="C396" s="5"/>
      <c r="D396" s="5"/>
      <c r="E396" s="5"/>
      <c r="F396" s="5"/>
      <c r="G396" s="6"/>
      <c r="H396" s="5"/>
    </row>
    <row r="397" spans="1:8" x14ac:dyDescent="0.45">
      <c r="A397">
        <v>389</v>
      </c>
      <c r="B397" s="8"/>
      <c r="C397" s="5"/>
      <c r="D397" s="5"/>
      <c r="E397" s="5"/>
      <c r="F397" s="5"/>
      <c r="G397" s="6"/>
      <c r="H397" s="5"/>
    </row>
    <row r="398" spans="1:8" x14ac:dyDescent="0.45">
      <c r="A398">
        <v>390</v>
      </c>
      <c r="B398" s="8"/>
      <c r="C398" s="5"/>
      <c r="D398" s="5"/>
      <c r="E398" s="5"/>
      <c r="F398" s="5"/>
      <c r="G398" s="6"/>
      <c r="H398" s="5"/>
    </row>
    <row r="399" spans="1:8" x14ac:dyDescent="0.45">
      <c r="A399">
        <v>391</v>
      </c>
      <c r="B399" s="8"/>
      <c r="C399" s="5"/>
      <c r="D399" s="5"/>
      <c r="E399" s="5"/>
      <c r="F399" s="5"/>
      <c r="G399" s="6"/>
      <c r="H399" s="5"/>
    </row>
    <row r="400" spans="1:8" x14ac:dyDescent="0.45">
      <c r="A400">
        <v>392</v>
      </c>
      <c r="B400" s="8"/>
      <c r="C400" s="5"/>
      <c r="D400" s="5"/>
      <c r="E400" s="5"/>
      <c r="F400" s="5"/>
      <c r="G400" s="6"/>
      <c r="H400" s="5"/>
    </row>
    <row r="401" spans="1:8" x14ac:dyDescent="0.45">
      <c r="A401">
        <v>393</v>
      </c>
      <c r="B401" s="8"/>
      <c r="C401" s="5"/>
      <c r="D401" s="5"/>
      <c r="E401" s="5"/>
      <c r="F401" s="5"/>
      <c r="G401" s="6"/>
      <c r="H401" s="5"/>
    </row>
    <row r="402" spans="1:8" x14ac:dyDescent="0.45">
      <c r="A402">
        <v>394</v>
      </c>
      <c r="B402" s="8"/>
      <c r="C402" s="5"/>
      <c r="D402" s="5"/>
      <c r="E402" s="5"/>
      <c r="F402" s="5"/>
      <c r="G402" s="6"/>
      <c r="H402" s="5"/>
    </row>
    <row r="403" spans="1:8" x14ac:dyDescent="0.45">
      <c r="A403">
        <v>395</v>
      </c>
      <c r="B403" s="8"/>
      <c r="C403" s="5"/>
      <c r="D403" s="5"/>
      <c r="E403" s="5"/>
      <c r="F403" s="5"/>
      <c r="G403" s="6"/>
      <c r="H403" s="5"/>
    </row>
    <row r="404" spans="1:8" x14ac:dyDescent="0.45">
      <c r="A404">
        <v>396</v>
      </c>
      <c r="B404" s="8"/>
      <c r="C404" s="5"/>
      <c r="D404" s="5"/>
      <c r="E404" s="5"/>
      <c r="F404" s="5"/>
      <c r="G404" s="6"/>
      <c r="H404" s="5"/>
    </row>
    <row r="405" spans="1:8" x14ac:dyDescent="0.45">
      <c r="A405">
        <v>397</v>
      </c>
      <c r="B405" s="8"/>
      <c r="C405" s="5"/>
      <c r="D405" s="5"/>
      <c r="E405" s="5"/>
      <c r="F405" s="5"/>
      <c r="G405" s="6"/>
      <c r="H405" s="5"/>
    </row>
    <row r="406" spans="1:8" x14ac:dyDescent="0.45">
      <c r="A406">
        <v>398</v>
      </c>
      <c r="B406" s="8"/>
      <c r="C406" s="5"/>
      <c r="D406" s="5"/>
      <c r="E406" s="5"/>
      <c r="F406" s="5"/>
      <c r="G406" s="6"/>
      <c r="H406" s="5"/>
    </row>
    <row r="407" spans="1:8" x14ac:dyDescent="0.45">
      <c r="A407">
        <v>399</v>
      </c>
      <c r="B407" s="8"/>
      <c r="C407" s="5"/>
      <c r="D407" s="5"/>
      <c r="E407" s="5"/>
      <c r="F407" s="5"/>
      <c r="G407" s="6"/>
      <c r="H407" s="5"/>
    </row>
    <row r="408" spans="1:8" x14ac:dyDescent="0.45">
      <c r="A408">
        <v>400</v>
      </c>
      <c r="B408" s="8"/>
      <c r="C408" s="5"/>
      <c r="D408" s="5"/>
      <c r="E408" s="5"/>
      <c r="F408" s="5"/>
      <c r="G408" s="6"/>
      <c r="H408" s="5"/>
    </row>
    <row r="409" spans="1:8" x14ac:dyDescent="0.45">
      <c r="A409">
        <v>401</v>
      </c>
      <c r="B409" s="8"/>
      <c r="C409" s="5"/>
      <c r="D409" s="5"/>
      <c r="E409" s="5"/>
      <c r="F409" s="5"/>
      <c r="G409" s="6"/>
      <c r="H409" s="5"/>
    </row>
    <row r="410" spans="1:8" x14ac:dyDescent="0.45">
      <c r="A410">
        <v>402</v>
      </c>
      <c r="B410" s="8"/>
      <c r="C410" s="5"/>
      <c r="D410" s="5"/>
      <c r="E410" s="5"/>
      <c r="F410" s="5"/>
      <c r="G410" s="6"/>
      <c r="H410" s="5"/>
    </row>
    <row r="411" spans="1:8" x14ac:dyDescent="0.45">
      <c r="A411">
        <v>403</v>
      </c>
      <c r="B411" s="8"/>
      <c r="C411" s="5"/>
      <c r="D411" s="5"/>
      <c r="E411" s="5"/>
      <c r="F411" s="5"/>
      <c r="G411" s="6"/>
      <c r="H411" s="5"/>
    </row>
    <row r="412" spans="1:8" x14ac:dyDescent="0.45">
      <c r="A412">
        <v>404</v>
      </c>
      <c r="B412" s="8"/>
      <c r="C412" s="5"/>
      <c r="D412" s="5"/>
      <c r="E412" s="5"/>
      <c r="F412" s="5"/>
      <c r="G412" s="6"/>
      <c r="H412" s="5"/>
    </row>
    <row r="413" spans="1:8" x14ac:dyDescent="0.45">
      <c r="A413">
        <v>405</v>
      </c>
      <c r="B413" s="8"/>
      <c r="C413" s="5"/>
      <c r="D413" s="5"/>
      <c r="E413" s="5"/>
      <c r="F413" s="5"/>
      <c r="G413" s="6"/>
      <c r="H413" s="5"/>
    </row>
    <row r="414" spans="1:8" x14ac:dyDescent="0.45">
      <c r="A414">
        <v>406</v>
      </c>
      <c r="B414" s="8"/>
      <c r="C414" s="5"/>
      <c r="D414" s="5"/>
      <c r="E414" s="5"/>
      <c r="F414" s="5"/>
      <c r="G414" s="6"/>
      <c r="H414" s="5"/>
    </row>
    <row r="415" spans="1:8" x14ac:dyDescent="0.45">
      <c r="A415">
        <v>407</v>
      </c>
      <c r="B415" s="8"/>
      <c r="C415" s="5"/>
      <c r="D415" s="5"/>
      <c r="E415" s="5"/>
      <c r="F415" s="5"/>
      <c r="G415" s="6"/>
      <c r="H415" s="5"/>
    </row>
    <row r="416" spans="1:8" x14ac:dyDescent="0.45">
      <c r="A416">
        <v>408</v>
      </c>
      <c r="B416" s="8"/>
      <c r="C416" s="5"/>
      <c r="D416" s="5"/>
      <c r="E416" s="5"/>
      <c r="F416" s="5"/>
      <c r="G416" s="6"/>
      <c r="H416" s="5"/>
    </row>
    <row r="417" spans="1:8" x14ac:dyDescent="0.45">
      <c r="A417">
        <v>409</v>
      </c>
      <c r="B417" s="8"/>
      <c r="C417" s="5"/>
      <c r="D417" s="5"/>
      <c r="E417" s="5"/>
      <c r="F417" s="5"/>
      <c r="G417" s="6"/>
      <c r="H417" s="5"/>
    </row>
    <row r="418" spans="1:8" x14ac:dyDescent="0.45">
      <c r="A418">
        <v>410</v>
      </c>
      <c r="B418" s="8"/>
      <c r="C418" s="5"/>
      <c r="D418" s="5"/>
      <c r="E418" s="5"/>
      <c r="F418" s="5"/>
      <c r="G418" s="6"/>
      <c r="H418" s="5"/>
    </row>
    <row r="419" spans="1:8" x14ac:dyDescent="0.45">
      <c r="A419">
        <v>411</v>
      </c>
      <c r="B419" s="8"/>
      <c r="C419" s="5"/>
      <c r="D419" s="5"/>
      <c r="E419" s="5"/>
      <c r="F419" s="5"/>
      <c r="G419" s="6"/>
      <c r="H419" s="5"/>
    </row>
    <row r="420" spans="1:8" x14ac:dyDescent="0.45">
      <c r="A420">
        <v>412</v>
      </c>
      <c r="B420" s="8"/>
      <c r="C420" s="5"/>
      <c r="D420" s="5"/>
      <c r="E420" s="5"/>
      <c r="F420" s="5"/>
      <c r="G420" s="6"/>
      <c r="H420" s="5"/>
    </row>
    <row r="421" spans="1:8" x14ac:dyDescent="0.45">
      <c r="A421">
        <v>413</v>
      </c>
      <c r="B421" s="8"/>
      <c r="C421" s="5"/>
      <c r="D421" s="5"/>
      <c r="E421" s="5"/>
      <c r="F421" s="5"/>
      <c r="G421" s="6"/>
      <c r="H421" s="5"/>
    </row>
    <row r="422" spans="1:8" x14ac:dyDescent="0.45">
      <c r="A422">
        <v>414</v>
      </c>
      <c r="B422" s="8"/>
      <c r="C422" s="5"/>
      <c r="D422" s="5"/>
      <c r="E422" s="5"/>
      <c r="F422" s="5"/>
      <c r="G422" s="6"/>
      <c r="H422" s="5"/>
    </row>
    <row r="423" spans="1:8" x14ac:dyDescent="0.45">
      <c r="A423">
        <v>415</v>
      </c>
      <c r="B423" s="8"/>
      <c r="C423" s="5"/>
      <c r="D423" s="5"/>
      <c r="E423" s="5"/>
      <c r="F423" s="5"/>
      <c r="G423" s="6"/>
      <c r="H423" s="5"/>
    </row>
    <row r="424" spans="1:8" x14ac:dyDescent="0.45">
      <c r="A424">
        <v>416</v>
      </c>
      <c r="B424" s="8"/>
      <c r="C424" s="5"/>
      <c r="D424" s="5"/>
      <c r="E424" s="5"/>
      <c r="F424" s="5"/>
      <c r="G424" s="6"/>
      <c r="H424" s="5"/>
    </row>
    <row r="425" spans="1:8" x14ac:dyDescent="0.45">
      <c r="A425">
        <v>417</v>
      </c>
      <c r="B425" s="8"/>
      <c r="C425" s="5"/>
      <c r="D425" s="5"/>
      <c r="E425" s="5"/>
      <c r="F425" s="5"/>
      <c r="G425" s="6"/>
      <c r="H425" s="5"/>
    </row>
    <row r="426" spans="1:8" x14ac:dyDescent="0.45">
      <c r="A426">
        <v>418</v>
      </c>
      <c r="B426" s="8"/>
      <c r="C426" s="5"/>
      <c r="D426" s="5"/>
      <c r="E426" s="5"/>
      <c r="F426" s="5"/>
      <c r="G426" s="6"/>
      <c r="H426" s="5"/>
    </row>
    <row r="427" spans="1:8" x14ac:dyDescent="0.45">
      <c r="A427">
        <v>419</v>
      </c>
      <c r="B427" s="8"/>
      <c r="C427" s="5"/>
      <c r="D427" s="5"/>
      <c r="E427" s="5"/>
      <c r="F427" s="5"/>
      <c r="G427" s="6"/>
      <c r="H427" s="5"/>
    </row>
    <row r="428" spans="1:8" x14ac:dyDescent="0.45">
      <c r="A428">
        <v>420</v>
      </c>
      <c r="B428" s="8"/>
      <c r="C428" s="5"/>
      <c r="D428" s="5"/>
      <c r="E428" s="5"/>
      <c r="F428" s="5"/>
      <c r="G428" s="6"/>
      <c r="H428" s="5"/>
    </row>
    <row r="429" spans="1:8" x14ac:dyDescent="0.45">
      <c r="A429">
        <v>421</v>
      </c>
      <c r="B429" s="8"/>
      <c r="C429" s="5"/>
      <c r="D429" s="5"/>
      <c r="E429" s="5"/>
      <c r="F429" s="5"/>
      <c r="G429" s="6"/>
      <c r="H429" s="5"/>
    </row>
    <row r="430" spans="1:8" x14ac:dyDescent="0.45">
      <c r="A430">
        <v>422</v>
      </c>
      <c r="B430" s="8"/>
      <c r="C430" s="5"/>
      <c r="D430" s="5"/>
      <c r="E430" s="5"/>
      <c r="F430" s="5"/>
      <c r="G430" s="6"/>
      <c r="H430" s="5"/>
    </row>
    <row r="431" spans="1:8" x14ac:dyDescent="0.45">
      <c r="A431">
        <v>423</v>
      </c>
      <c r="B431" s="8"/>
      <c r="C431" s="5"/>
      <c r="D431" s="5"/>
      <c r="E431" s="5"/>
      <c r="F431" s="5"/>
      <c r="G431" s="6"/>
      <c r="H431" s="5"/>
    </row>
    <row r="432" spans="1:8" x14ac:dyDescent="0.45">
      <c r="A432">
        <v>424</v>
      </c>
      <c r="B432" s="8"/>
      <c r="C432" s="5"/>
      <c r="D432" s="5"/>
      <c r="E432" s="5"/>
      <c r="F432" s="5"/>
      <c r="G432" s="6"/>
      <c r="H432" s="5"/>
    </row>
    <row r="433" spans="1:8" x14ac:dyDescent="0.45">
      <c r="A433">
        <v>425</v>
      </c>
      <c r="B433" s="8"/>
      <c r="C433" s="5"/>
      <c r="D433" s="5"/>
      <c r="E433" s="5"/>
      <c r="F433" s="5"/>
      <c r="G433" s="6"/>
      <c r="H433" s="5"/>
    </row>
    <row r="434" spans="1:8" x14ac:dyDescent="0.45">
      <c r="A434">
        <v>426</v>
      </c>
      <c r="B434" s="8"/>
      <c r="C434" s="5"/>
      <c r="D434" s="5"/>
      <c r="E434" s="5"/>
      <c r="F434" s="5"/>
      <c r="G434" s="6"/>
      <c r="H434" s="5"/>
    </row>
    <row r="435" spans="1:8" x14ac:dyDescent="0.45">
      <c r="A435">
        <v>427</v>
      </c>
      <c r="B435" s="8"/>
      <c r="C435" s="5"/>
      <c r="D435" s="5"/>
      <c r="E435" s="5"/>
      <c r="F435" s="5"/>
      <c r="G435" s="6"/>
      <c r="H435" s="5"/>
    </row>
    <row r="436" spans="1:8" x14ac:dyDescent="0.45">
      <c r="A436">
        <v>428</v>
      </c>
      <c r="B436" s="8"/>
      <c r="C436" s="5"/>
      <c r="D436" s="5"/>
      <c r="E436" s="5"/>
      <c r="F436" s="5"/>
      <c r="G436" s="6"/>
      <c r="H436" s="5"/>
    </row>
    <row r="437" spans="1:8" x14ac:dyDescent="0.45">
      <c r="A437">
        <v>429</v>
      </c>
      <c r="B437" s="8"/>
      <c r="C437" s="5"/>
      <c r="D437" s="5"/>
      <c r="E437" s="5"/>
      <c r="F437" s="5"/>
      <c r="G437" s="6"/>
      <c r="H437" s="5"/>
    </row>
    <row r="438" spans="1:8" x14ac:dyDescent="0.45">
      <c r="A438">
        <v>430</v>
      </c>
      <c r="B438" s="8"/>
      <c r="C438" s="5"/>
      <c r="D438" s="5"/>
      <c r="E438" s="5"/>
      <c r="F438" s="5"/>
      <c r="G438" s="6"/>
      <c r="H438" s="5"/>
    </row>
    <row r="439" spans="1:8" x14ac:dyDescent="0.45">
      <c r="A439">
        <v>431</v>
      </c>
      <c r="B439" s="8"/>
      <c r="C439" s="5"/>
      <c r="D439" s="5"/>
      <c r="E439" s="5"/>
      <c r="F439" s="5"/>
      <c r="G439" s="6"/>
      <c r="H439" s="5"/>
    </row>
    <row r="440" spans="1:8" x14ac:dyDescent="0.45">
      <c r="A440">
        <v>432</v>
      </c>
      <c r="B440" s="8"/>
      <c r="C440" s="5"/>
      <c r="D440" s="5"/>
      <c r="E440" s="5"/>
      <c r="F440" s="5"/>
      <c r="G440" s="6"/>
      <c r="H440" s="5"/>
    </row>
    <row r="441" spans="1:8" x14ac:dyDescent="0.45">
      <c r="A441">
        <v>433</v>
      </c>
      <c r="B441" s="8"/>
      <c r="C441" s="5"/>
      <c r="D441" s="5"/>
      <c r="E441" s="5"/>
      <c r="F441" s="5"/>
      <c r="G441" s="6"/>
      <c r="H441" s="5"/>
    </row>
    <row r="442" spans="1:8" x14ac:dyDescent="0.45">
      <c r="A442">
        <v>434</v>
      </c>
      <c r="B442" s="8"/>
      <c r="C442" s="5"/>
      <c r="D442" s="5"/>
      <c r="E442" s="5"/>
      <c r="F442" s="5"/>
      <c r="G442" s="6"/>
      <c r="H442" s="5"/>
    </row>
    <row r="443" spans="1:8" x14ac:dyDescent="0.45">
      <c r="A443">
        <v>435</v>
      </c>
      <c r="B443" s="8"/>
      <c r="C443" s="5"/>
      <c r="D443" s="5"/>
      <c r="E443" s="5"/>
      <c r="F443" s="5"/>
      <c r="G443" s="6"/>
      <c r="H443" s="5"/>
    </row>
    <row r="444" spans="1:8" x14ac:dyDescent="0.45">
      <c r="A444">
        <v>436</v>
      </c>
      <c r="B444" s="8"/>
      <c r="C444" s="5"/>
      <c r="D444" s="5"/>
      <c r="E444" s="5"/>
      <c r="F444" s="5"/>
      <c r="G444" s="6"/>
      <c r="H444" s="5"/>
    </row>
    <row r="445" spans="1:8" x14ac:dyDescent="0.45">
      <c r="A445">
        <v>437</v>
      </c>
      <c r="B445" s="8"/>
      <c r="C445" s="5"/>
      <c r="D445" s="5"/>
      <c r="E445" s="5"/>
      <c r="F445" s="5"/>
      <c r="G445" s="6"/>
      <c r="H445" s="5"/>
    </row>
    <row r="446" spans="1:8" x14ac:dyDescent="0.45">
      <c r="A446">
        <v>438</v>
      </c>
      <c r="B446" s="8"/>
      <c r="C446" s="5"/>
      <c r="D446" s="5"/>
      <c r="E446" s="5"/>
      <c r="F446" s="5"/>
      <c r="G446" s="6"/>
      <c r="H446" s="5"/>
    </row>
    <row r="447" spans="1:8" x14ac:dyDescent="0.45">
      <c r="A447">
        <v>439</v>
      </c>
      <c r="B447" s="8"/>
      <c r="C447" s="5"/>
      <c r="D447" s="5"/>
      <c r="E447" s="5"/>
      <c r="F447" s="5"/>
      <c r="G447" s="6"/>
      <c r="H447" s="5"/>
    </row>
    <row r="448" spans="1:8" x14ac:dyDescent="0.45">
      <c r="A448">
        <v>440</v>
      </c>
      <c r="B448" s="8"/>
      <c r="C448" s="5"/>
      <c r="D448" s="5"/>
      <c r="E448" s="5"/>
      <c r="F448" s="5"/>
      <c r="G448" s="6"/>
      <c r="H448" s="5"/>
    </row>
    <row r="449" spans="1:8" x14ac:dyDescent="0.45">
      <c r="A449">
        <v>441</v>
      </c>
      <c r="B449" s="8"/>
      <c r="C449" s="5"/>
      <c r="D449" s="5"/>
      <c r="E449" s="5"/>
      <c r="F449" s="5"/>
      <c r="G449" s="6"/>
      <c r="H449" s="5"/>
    </row>
    <row r="450" spans="1:8" x14ac:dyDescent="0.45">
      <c r="A450">
        <v>442</v>
      </c>
      <c r="B450" s="8"/>
      <c r="C450" s="5"/>
      <c r="D450" s="5"/>
      <c r="E450" s="5"/>
      <c r="F450" s="5"/>
      <c r="G450" s="6"/>
      <c r="H450" s="5"/>
    </row>
    <row r="451" spans="1:8" x14ac:dyDescent="0.45">
      <c r="A451">
        <v>443</v>
      </c>
      <c r="B451" s="8"/>
      <c r="C451" s="5"/>
      <c r="D451" s="5"/>
      <c r="E451" s="5"/>
      <c r="F451" s="5"/>
      <c r="G451" s="6"/>
      <c r="H451" s="5"/>
    </row>
    <row r="452" spans="1:8" x14ac:dyDescent="0.45">
      <c r="A452">
        <v>444</v>
      </c>
      <c r="B452" s="8"/>
      <c r="C452" s="5"/>
      <c r="D452" s="5"/>
      <c r="E452" s="5"/>
      <c r="F452" s="5"/>
      <c r="G452" s="6"/>
      <c r="H452" s="5"/>
    </row>
    <row r="453" spans="1:8" x14ac:dyDescent="0.45">
      <c r="A453">
        <v>445</v>
      </c>
      <c r="B453" s="8"/>
      <c r="C453" s="5"/>
      <c r="D453" s="5"/>
      <c r="E453" s="5"/>
      <c r="F453" s="5"/>
      <c r="G453" s="6"/>
      <c r="H453" s="5"/>
    </row>
    <row r="454" spans="1:8" x14ac:dyDescent="0.45">
      <c r="A454">
        <v>446</v>
      </c>
      <c r="B454" s="8"/>
      <c r="C454" s="5"/>
      <c r="D454" s="5"/>
      <c r="E454" s="5"/>
      <c r="F454" s="5"/>
      <c r="G454" s="6"/>
      <c r="H454" s="5"/>
    </row>
    <row r="455" spans="1:8" x14ac:dyDescent="0.45">
      <c r="A455">
        <v>447</v>
      </c>
      <c r="B455" s="8"/>
      <c r="C455" s="5"/>
      <c r="D455" s="5"/>
      <c r="E455" s="5"/>
      <c r="F455" s="5"/>
      <c r="G455" s="6"/>
      <c r="H455" s="5"/>
    </row>
    <row r="456" spans="1:8" x14ac:dyDescent="0.45">
      <c r="A456">
        <v>448</v>
      </c>
      <c r="B456" s="8"/>
      <c r="C456" s="5"/>
      <c r="D456" s="5"/>
      <c r="E456" s="5"/>
      <c r="F456" s="5"/>
      <c r="G456" s="6"/>
      <c r="H456" s="5"/>
    </row>
    <row r="457" spans="1:8" x14ac:dyDescent="0.45">
      <c r="A457">
        <v>449</v>
      </c>
      <c r="B457" s="8"/>
      <c r="C457" s="5"/>
      <c r="D457" s="5"/>
      <c r="E457" s="5"/>
      <c r="F457" s="5"/>
      <c r="G457" s="6"/>
      <c r="H457" s="5"/>
    </row>
    <row r="458" spans="1:8" x14ac:dyDescent="0.45">
      <c r="A458">
        <v>450</v>
      </c>
      <c r="B458" s="8"/>
      <c r="C458" s="5"/>
      <c r="D458" s="5"/>
      <c r="E458" s="5"/>
      <c r="F458" s="5"/>
      <c r="G458" s="6"/>
      <c r="H458" s="5"/>
    </row>
    <row r="459" spans="1:8" x14ac:dyDescent="0.45">
      <c r="A459">
        <v>451</v>
      </c>
      <c r="B459" s="8"/>
      <c r="C459" s="5"/>
      <c r="D459" s="5"/>
      <c r="E459" s="5"/>
      <c r="F459" s="5"/>
      <c r="G459" s="6"/>
      <c r="H459" s="5"/>
    </row>
    <row r="460" spans="1:8" x14ac:dyDescent="0.45">
      <c r="A460">
        <v>452</v>
      </c>
      <c r="B460" s="8"/>
      <c r="C460" s="5"/>
      <c r="D460" s="5"/>
      <c r="E460" s="5"/>
      <c r="F460" s="5"/>
      <c r="G460" s="6"/>
      <c r="H460" s="5"/>
    </row>
    <row r="461" spans="1:8" x14ac:dyDescent="0.45">
      <c r="A461">
        <v>453</v>
      </c>
      <c r="B461" s="8"/>
      <c r="C461" s="5"/>
      <c r="D461" s="5"/>
      <c r="E461" s="5"/>
      <c r="F461" s="5"/>
      <c r="G461" s="6"/>
      <c r="H461" s="5"/>
    </row>
    <row r="462" spans="1:8" x14ac:dyDescent="0.45">
      <c r="A462">
        <v>454</v>
      </c>
      <c r="B462" s="8"/>
      <c r="C462" s="5"/>
      <c r="D462" s="5"/>
      <c r="E462" s="5"/>
      <c r="F462" s="5"/>
      <c r="G462" s="6"/>
      <c r="H462" s="5"/>
    </row>
    <row r="463" spans="1:8" x14ac:dyDescent="0.45">
      <c r="A463">
        <v>455</v>
      </c>
      <c r="B463" s="8"/>
      <c r="C463" s="5"/>
      <c r="D463" s="5"/>
      <c r="E463" s="5"/>
      <c r="F463" s="5"/>
      <c r="G463" s="6"/>
      <c r="H463" s="5"/>
    </row>
    <row r="464" spans="1:8" x14ac:dyDescent="0.45">
      <c r="A464">
        <v>456</v>
      </c>
      <c r="B464" s="8"/>
      <c r="C464" s="5"/>
      <c r="D464" s="5"/>
      <c r="E464" s="5"/>
      <c r="F464" s="5"/>
      <c r="G464" s="6"/>
      <c r="H464" s="5"/>
    </row>
    <row r="465" spans="1:8" x14ac:dyDescent="0.45">
      <c r="A465">
        <v>457</v>
      </c>
      <c r="B465" s="8"/>
      <c r="C465" s="5"/>
      <c r="D465" s="5"/>
      <c r="E465" s="5"/>
      <c r="F465" s="5"/>
      <c r="G465" s="6"/>
      <c r="H465" s="5"/>
    </row>
    <row r="466" spans="1:8" x14ac:dyDescent="0.45">
      <c r="A466">
        <v>458</v>
      </c>
      <c r="B466" s="8"/>
      <c r="C466" s="5"/>
      <c r="D466" s="5"/>
      <c r="E466" s="5"/>
      <c r="F466" s="5"/>
      <c r="G466" s="6"/>
      <c r="H466" s="5"/>
    </row>
    <row r="467" spans="1:8" x14ac:dyDescent="0.45">
      <c r="A467">
        <v>459</v>
      </c>
      <c r="B467" s="8"/>
      <c r="C467" s="5"/>
      <c r="D467" s="5"/>
      <c r="E467" s="5"/>
      <c r="F467" s="5"/>
      <c r="G467" s="6"/>
      <c r="H467" s="5"/>
    </row>
    <row r="468" spans="1:8" x14ac:dyDescent="0.45">
      <c r="A468">
        <v>460</v>
      </c>
      <c r="B468" s="8"/>
      <c r="C468" s="5"/>
      <c r="D468" s="5"/>
      <c r="E468" s="5"/>
      <c r="F468" s="5"/>
      <c r="G468" s="6"/>
      <c r="H468" s="5"/>
    </row>
    <row r="469" spans="1:8" x14ac:dyDescent="0.45">
      <c r="A469">
        <v>461</v>
      </c>
      <c r="B469" s="8"/>
      <c r="C469" s="5"/>
      <c r="D469" s="5"/>
      <c r="E469" s="5"/>
      <c r="F469" s="5"/>
      <c r="G469" s="6"/>
      <c r="H469" s="5"/>
    </row>
    <row r="470" spans="1:8" x14ac:dyDescent="0.45">
      <c r="A470">
        <v>462</v>
      </c>
      <c r="B470" s="8"/>
      <c r="C470" s="5"/>
      <c r="D470" s="5"/>
      <c r="E470" s="5"/>
      <c r="F470" s="5"/>
      <c r="G470" s="6"/>
      <c r="H470" s="5"/>
    </row>
    <row r="471" spans="1:8" x14ac:dyDescent="0.45">
      <c r="A471">
        <v>463</v>
      </c>
      <c r="B471" s="8"/>
      <c r="C471" s="5"/>
      <c r="D471" s="5"/>
      <c r="E471" s="5"/>
      <c r="F471" s="5"/>
      <c r="G471" s="6"/>
      <c r="H471" s="5"/>
    </row>
    <row r="472" spans="1:8" x14ac:dyDescent="0.45">
      <c r="A472">
        <v>464</v>
      </c>
      <c r="B472" s="8"/>
      <c r="C472" s="5"/>
      <c r="D472" s="5"/>
      <c r="E472" s="5"/>
      <c r="F472" s="5"/>
      <c r="G472" s="6"/>
      <c r="H472" s="5"/>
    </row>
    <row r="473" spans="1:8" x14ac:dyDescent="0.45">
      <c r="A473">
        <v>465</v>
      </c>
      <c r="B473" s="8"/>
      <c r="C473" s="5"/>
      <c r="D473" s="5"/>
      <c r="E473" s="5"/>
      <c r="F473" s="5"/>
      <c r="G473" s="6"/>
      <c r="H473" s="5"/>
    </row>
    <row r="474" spans="1:8" x14ac:dyDescent="0.45">
      <c r="A474">
        <v>466</v>
      </c>
      <c r="B474" s="8"/>
      <c r="C474" s="5"/>
      <c r="D474" s="5"/>
      <c r="E474" s="5"/>
      <c r="F474" s="5"/>
      <c r="G474" s="6"/>
      <c r="H474" s="5"/>
    </row>
    <row r="475" spans="1:8" x14ac:dyDescent="0.45">
      <c r="A475">
        <v>467</v>
      </c>
      <c r="B475" s="8"/>
      <c r="C475" s="5"/>
      <c r="D475" s="5"/>
      <c r="E475" s="5"/>
      <c r="F475" s="5"/>
      <c r="G475" s="6"/>
      <c r="H475" s="5"/>
    </row>
    <row r="476" spans="1:8" x14ac:dyDescent="0.45">
      <c r="A476">
        <v>468</v>
      </c>
      <c r="B476" s="8"/>
      <c r="C476" s="5"/>
      <c r="D476" s="5"/>
      <c r="E476" s="5"/>
      <c r="F476" s="5"/>
      <c r="G476" s="6"/>
      <c r="H476" s="5"/>
    </row>
    <row r="477" spans="1:8" x14ac:dyDescent="0.45">
      <c r="A477">
        <v>469</v>
      </c>
      <c r="B477" s="8"/>
      <c r="C477" s="5"/>
      <c r="D477" s="5"/>
      <c r="E477" s="5"/>
      <c r="F477" s="5"/>
      <c r="G477" s="6"/>
      <c r="H477" s="5"/>
    </row>
    <row r="478" spans="1:8" x14ac:dyDescent="0.45">
      <c r="A478">
        <v>470</v>
      </c>
      <c r="B478" s="8"/>
      <c r="C478" s="5"/>
      <c r="D478" s="5"/>
      <c r="E478" s="5"/>
      <c r="F478" s="5"/>
      <c r="G478" s="6"/>
      <c r="H478" s="5"/>
    </row>
    <row r="479" spans="1:8" x14ac:dyDescent="0.45">
      <c r="A479">
        <v>471</v>
      </c>
      <c r="B479" s="8"/>
      <c r="C479" s="5"/>
      <c r="D479" s="5"/>
      <c r="E479" s="5"/>
      <c r="F479" s="5"/>
      <c r="G479" s="6"/>
      <c r="H479" s="5"/>
    </row>
    <row r="480" spans="1:8" x14ac:dyDescent="0.45">
      <c r="A480">
        <v>472</v>
      </c>
      <c r="B480" s="8"/>
      <c r="C480" s="5"/>
      <c r="D480" s="5"/>
      <c r="E480" s="5"/>
      <c r="F480" s="5"/>
      <c r="G480" s="6"/>
      <c r="H480" s="5"/>
    </row>
    <row r="481" spans="1:8" x14ac:dyDescent="0.45">
      <c r="A481">
        <v>473</v>
      </c>
      <c r="B481" s="8"/>
      <c r="C481" s="5"/>
      <c r="D481" s="5"/>
      <c r="E481" s="5"/>
      <c r="F481" s="5"/>
      <c r="G481" s="6"/>
      <c r="H481" s="5"/>
    </row>
    <row r="482" spans="1:8" x14ac:dyDescent="0.45">
      <c r="A482">
        <v>474</v>
      </c>
      <c r="B482" s="8"/>
      <c r="C482" s="5"/>
      <c r="D482" s="5"/>
      <c r="E482" s="5"/>
      <c r="F482" s="5"/>
      <c r="G482" s="6"/>
      <c r="H482" s="5"/>
    </row>
    <row r="483" spans="1:8" x14ac:dyDescent="0.45">
      <c r="A483">
        <v>475</v>
      </c>
      <c r="B483" s="8"/>
      <c r="C483" s="5"/>
      <c r="D483" s="5"/>
      <c r="E483" s="5"/>
      <c r="F483" s="5"/>
      <c r="G483" s="6"/>
      <c r="H483" s="5"/>
    </row>
    <row r="484" spans="1:8" x14ac:dyDescent="0.45">
      <c r="A484">
        <v>476</v>
      </c>
      <c r="B484" s="8"/>
      <c r="C484" s="5"/>
      <c r="D484" s="5"/>
      <c r="E484" s="5"/>
      <c r="F484" s="5"/>
      <c r="G484" s="6"/>
      <c r="H484" s="5"/>
    </row>
    <row r="485" spans="1:8" x14ac:dyDescent="0.45">
      <c r="A485">
        <v>477</v>
      </c>
      <c r="B485" s="8"/>
      <c r="C485" s="5"/>
      <c r="D485" s="5"/>
      <c r="E485" s="5"/>
      <c r="F485" s="5"/>
      <c r="G485" s="6"/>
      <c r="H485" s="5"/>
    </row>
    <row r="486" spans="1:8" x14ac:dyDescent="0.45">
      <c r="A486">
        <v>478</v>
      </c>
      <c r="B486" s="8"/>
      <c r="C486" s="5"/>
      <c r="D486" s="5"/>
      <c r="E486" s="5"/>
      <c r="F486" s="5"/>
      <c r="G486" s="6"/>
      <c r="H486" s="5"/>
    </row>
    <row r="487" spans="1:8" x14ac:dyDescent="0.45">
      <c r="A487">
        <v>479</v>
      </c>
      <c r="B487" s="8"/>
      <c r="C487" s="5"/>
      <c r="D487" s="5"/>
      <c r="E487" s="5"/>
      <c r="F487" s="5"/>
      <c r="G487" s="6"/>
      <c r="H487" s="5"/>
    </row>
    <row r="488" spans="1:8" x14ac:dyDescent="0.45">
      <c r="A488">
        <v>480</v>
      </c>
      <c r="B488" s="8"/>
      <c r="C488" s="5"/>
      <c r="D488" s="5"/>
      <c r="E488" s="5"/>
      <c r="F488" s="5"/>
      <c r="G488" s="6"/>
      <c r="H488" s="5"/>
    </row>
    <row r="489" spans="1:8" x14ac:dyDescent="0.45">
      <c r="A489">
        <v>481</v>
      </c>
      <c r="B489" s="8"/>
      <c r="C489" s="5"/>
      <c r="D489" s="5"/>
      <c r="E489" s="5"/>
      <c r="F489" s="5"/>
      <c r="G489" s="6"/>
      <c r="H489" s="5"/>
    </row>
    <row r="490" spans="1:8" x14ac:dyDescent="0.45">
      <c r="A490">
        <v>482</v>
      </c>
      <c r="B490" s="8"/>
      <c r="C490" s="5"/>
      <c r="D490" s="5"/>
      <c r="E490" s="5"/>
      <c r="F490" s="5"/>
      <c r="G490" s="6"/>
      <c r="H490" s="5"/>
    </row>
    <row r="491" spans="1:8" x14ac:dyDescent="0.45">
      <c r="A491">
        <v>483</v>
      </c>
      <c r="B491" s="8"/>
      <c r="C491" s="5"/>
      <c r="D491" s="5"/>
      <c r="E491" s="5"/>
      <c r="F491" s="5"/>
      <c r="G491" s="6"/>
      <c r="H491" s="5"/>
    </row>
    <row r="492" spans="1:8" x14ac:dyDescent="0.45">
      <c r="A492">
        <v>484</v>
      </c>
      <c r="B492" s="8"/>
      <c r="C492" s="5"/>
      <c r="D492" s="5"/>
      <c r="E492" s="5"/>
      <c r="F492" s="5"/>
      <c r="G492" s="6"/>
      <c r="H492" s="5"/>
    </row>
    <row r="493" spans="1:8" x14ac:dyDescent="0.45">
      <c r="A493">
        <v>485</v>
      </c>
      <c r="B493" s="8"/>
      <c r="C493" s="5"/>
      <c r="D493" s="5"/>
      <c r="E493" s="5"/>
      <c r="F493" s="5"/>
      <c r="G493" s="6"/>
      <c r="H493" s="5"/>
    </row>
    <row r="494" spans="1:8" x14ac:dyDescent="0.45">
      <c r="A494">
        <v>486</v>
      </c>
      <c r="B494" s="8"/>
      <c r="C494" s="5"/>
      <c r="D494" s="5"/>
      <c r="E494" s="5"/>
      <c r="F494" s="5"/>
      <c r="G494" s="6"/>
      <c r="H494" s="5"/>
    </row>
    <row r="495" spans="1:8" x14ac:dyDescent="0.45">
      <c r="A495">
        <v>487</v>
      </c>
      <c r="B495" s="8"/>
      <c r="C495" s="5"/>
      <c r="D495" s="5"/>
      <c r="E495" s="5"/>
      <c r="F495" s="5"/>
      <c r="G495" s="6"/>
      <c r="H495" s="5"/>
    </row>
    <row r="496" spans="1:8" x14ac:dyDescent="0.45">
      <c r="A496">
        <v>488</v>
      </c>
      <c r="B496" s="8"/>
      <c r="C496" s="5"/>
      <c r="D496" s="5"/>
      <c r="E496" s="5"/>
      <c r="F496" s="5"/>
      <c r="G496" s="6"/>
      <c r="H496" s="5"/>
    </row>
    <row r="497" spans="1:8" x14ac:dyDescent="0.45">
      <c r="A497">
        <v>489</v>
      </c>
      <c r="B497" s="8"/>
      <c r="C497" s="5"/>
      <c r="D497" s="5"/>
      <c r="E497" s="5"/>
      <c r="F497" s="5"/>
      <c r="G497" s="6"/>
      <c r="H497" s="5"/>
    </row>
    <row r="498" spans="1:8" x14ac:dyDescent="0.45">
      <c r="A498">
        <v>490</v>
      </c>
      <c r="B498" s="8"/>
      <c r="C498" s="5"/>
      <c r="D498" s="5"/>
      <c r="E498" s="5"/>
      <c r="F498" s="5"/>
      <c r="G498" s="6"/>
      <c r="H498" s="5"/>
    </row>
    <row r="499" spans="1:8" x14ac:dyDescent="0.45">
      <c r="A499">
        <v>491</v>
      </c>
      <c r="B499" s="8"/>
      <c r="C499" s="5"/>
      <c r="D499" s="5"/>
      <c r="E499" s="5"/>
      <c r="F499" s="5"/>
      <c r="G499" s="6"/>
      <c r="H499" s="5"/>
    </row>
    <row r="500" spans="1:8" x14ac:dyDescent="0.45">
      <c r="A500">
        <v>492</v>
      </c>
      <c r="B500" s="8"/>
      <c r="C500" s="5"/>
      <c r="D500" s="5"/>
      <c r="E500" s="5"/>
      <c r="F500" s="5"/>
      <c r="G500" s="6"/>
      <c r="H500" s="5"/>
    </row>
    <row r="501" spans="1:8" x14ac:dyDescent="0.45">
      <c r="A501">
        <v>493</v>
      </c>
      <c r="B501" s="8"/>
      <c r="C501" s="5"/>
      <c r="D501" s="5"/>
      <c r="E501" s="5"/>
      <c r="F501" s="5"/>
      <c r="G501" s="6"/>
      <c r="H501" s="5"/>
    </row>
    <row r="502" spans="1:8" x14ac:dyDescent="0.45">
      <c r="A502">
        <v>494</v>
      </c>
      <c r="B502" s="8"/>
      <c r="C502" s="5"/>
      <c r="D502" s="5"/>
      <c r="E502" s="5"/>
      <c r="F502" s="5"/>
      <c r="G502" s="6"/>
      <c r="H502" s="5"/>
    </row>
    <row r="503" spans="1:8" x14ac:dyDescent="0.45">
      <c r="A503">
        <v>495</v>
      </c>
      <c r="B503" s="8"/>
      <c r="C503" s="5"/>
      <c r="D503" s="5"/>
      <c r="E503" s="5"/>
      <c r="F503" s="5"/>
      <c r="G503" s="6"/>
      <c r="H503" s="5"/>
    </row>
    <row r="504" spans="1:8" x14ac:dyDescent="0.45">
      <c r="A504">
        <v>496</v>
      </c>
      <c r="B504" s="8"/>
      <c r="C504" s="5"/>
      <c r="D504" s="5"/>
      <c r="E504" s="5"/>
      <c r="F504" s="5"/>
      <c r="G504" s="6"/>
      <c r="H504" s="5"/>
    </row>
    <row r="505" spans="1:8" x14ac:dyDescent="0.45">
      <c r="A505">
        <v>497</v>
      </c>
      <c r="B505" s="8"/>
      <c r="C505" s="5"/>
      <c r="D505" s="5"/>
      <c r="E505" s="5"/>
      <c r="F505" s="5"/>
      <c r="G505" s="6"/>
      <c r="H505" s="5"/>
    </row>
    <row r="506" spans="1:8" x14ac:dyDescent="0.45">
      <c r="A506">
        <v>498</v>
      </c>
      <c r="B506" s="8"/>
      <c r="C506" s="5"/>
      <c r="D506" s="5"/>
      <c r="E506" s="5"/>
      <c r="F506" s="5"/>
      <c r="G506" s="6"/>
      <c r="H506" s="5"/>
    </row>
    <row r="507" spans="1:8" x14ac:dyDescent="0.45">
      <c r="A507">
        <v>499</v>
      </c>
      <c r="B507" s="8"/>
      <c r="C507" s="5"/>
      <c r="D507" s="5"/>
      <c r="E507" s="5"/>
      <c r="F507" s="5"/>
      <c r="G507" s="6"/>
      <c r="H507" s="5"/>
    </row>
    <row r="508" spans="1:8" x14ac:dyDescent="0.45">
      <c r="A508">
        <v>500</v>
      </c>
      <c r="B508" s="8"/>
      <c r="C508" s="5"/>
      <c r="D508" s="5"/>
      <c r="E508" s="5"/>
      <c r="F508" s="5"/>
      <c r="G508" s="6"/>
      <c r="H508" s="5"/>
    </row>
    <row r="509" spans="1:8" x14ac:dyDescent="0.45">
      <c r="A509">
        <v>501</v>
      </c>
      <c r="B509" s="8"/>
      <c r="C509" s="5"/>
      <c r="D509" s="5"/>
      <c r="E509" s="5"/>
      <c r="F509" s="5"/>
      <c r="G509" s="6"/>
      <c r="H509" s="5"/>
    </row>
    <row r="510" spans="1:8" x14ac:dyDescent="0.45">
      <c r="A510">
        <v>502</v>
      </c>
      <c r="B510" s="8"/>
      <c r="C510" s="5"/>
      <c r="D510" s="5"/>
      <c r="E510" s="5"/>
      <c r="F510" s="5"/>
      <c r="G510" s="6"/>
      <c r="H510" s="5"/>
    </row>
    <row r="511" spans="1:8" x14ac:dyDescent="0.45">
      <c r="A511">
        <v>503</v>
      </c>
      <c r="B511" s="8"/>
      <c r="C511" s="5"/>
      <c r="D511" s="5"/>
      <c r="E511" s="5"/>
      <c r="F511" s="5"/>
      <c r="G511" s="6"/>
      <c r="H511" s="5"/>
    </row>
    <row r="512" spans="1:8" x14ac:dyDescent="0.45">
      <c r="A512">
        <v>504</v>
      </c>
      <c r="B512" s="8"/>
      <c r="C512" s="5"/>
      <c r="D512" s="5"/>
      <c r="E512" s="5"/>
      <c r="F512" s="5"/>
      <c r="G512" s="6"/>
      <c r="H512" s="5"/>
    </row>
    <row r="513" spans="1:8" x14ac:dyDescent="0.45">
      <c r="A513">
        <v>505</v>
      </c>
      <c r="B513" s="8"/>
      <c r="C513" s="5"/>
      <c r="D513" s="5"/>
      <c r="E513" s="5"/>
      <c r="F513" s="5"/>
      <c r="G513" s="6"/>
      <c r="H513" s="5"/>
    </row>
    <row r="514" spans="1:8" x14ac:dyDescent="0.45">
      <c r="A514">
        <v>506</v>
      </c>
      <c r="B514" s="8"/>
      <c r="C514" s="5"/>
      <c r="D514" s="5"/>
      <c r="E514" s="5"/>
      <c r="F514" s="5"/>
      <c r="G514" s="6"/>
      <c r="H514" s="5"/>
    </row>
    <row r="515" spans="1:8" x14ac:dyDescent="0.45">
      <c r="A515">
        <v>507</v>
      </c>
      <c r="B515" s="8"/>
      <c r="C515" s="5"/>
      <c r="D515" s="5"/>
      <c r="E515" s="5"/>
      <c r="F515" s="5"/>
      <c r="G515" s="6"/>
      <c r="H515" s="5"/>
    </row>
    <row r="516" spans="1:8" x14ac:dyDescent="0.45">
      <c r="A516">
        <v>508</v>
      </c>
      <c r="B516" s="8"/>
      <c r="C516" s="5"/>
      <c r="D516" s="5"/>
      <c r="E516" s="5"/>
      <c r="F516" s="5"/>
      <c r="G516" s="6"/>
      <c r="H516" s="5"/>
    </row>
    <row r="517" spans="1:8" x14ac:dyDescent="0.45">
      <c r="A517">
        <v>509</v>
      </c>
      <c r="B517" s="8"/>
      <c r="C517" s="5"/>
      <c r="D517" s="5"/>
      <c r="E517" s="5"/>
      <c r="F517" s="5"/>
      <c r="G517" s="6"/>
      <c r="H517" s="5"/>
    </row>
    <row r="518" spans="1:8" x14ac:dyDescent="0.45">
      <c r="A518">
        <v>510</v>
      </c>
      <c r="B518" s="8"/>
      <c r="C518" s="5"/>
      <c r="D518" s="5"/>
      <c r="E518" s="5"/>
      <c r="F518" s="5"/>
      <c r="G518" s="6"/>
      <c r="H518" s="5"/>
    </row>
    <row r="519" spans="1:8" x14ac:dyDescent="0.45">
      <c r="A519">
        <v>511</v>
      </c>
      <c r="B519" s="8"/>
      <c r="C519" s="5"/>
      <c r="D519" s="5"/>
      <c r="E519" s="5"/>
      <c r="F519" s="5"/>
      <c r="G519" s="6"/>
      <c r="H519" s="5"/>
    </row>
    <row r="520" spans="1:8" x14ac:dyDescent="0.45">
      <c r="A520">
        <v>512</v>
      </c>
      <c r="B520" s="8"/>
      <c r="C520" s="5"/>
      <c r="D520" s="5"/>
      <c r="E520" s="5"/>
      <c r="F520" s="5"/>
      <c r="G520" s="6"/>
      <c r="H520" s="5"/>
    </row>
    <row r="521" spans="1:8" x14ac:dyDescent="0.45">
      <c r="A521">
        <v>513</v>
      </c>
      <c r="B521" s="8"/>
      <c r="C521" s="5"/>
      <c r="D521" s="5"/>
      <c r="E521" s="5"/>
      <c r="F521" s="5"/>
      <c r="G521" s="6"/>
      <c r="H521" s="5"/>
    </row>
    <row r="522" spans="1:8" x14ac:dyDescent="0.45">
      <c r="A522">
        <v>514</v>
      </c>
      <c r="B522" s="8"/>
      <c r="C522" s="5"/>
      <c r="D522" s="5"/>
      <c r="E522" s="5"/>
      <c r="F522" s="5"/>
      <c r="G522" s="6"/>
      <c r="H522" s="5"/>
    </row>
    <row r="523" spans="1:8" x14ac:dyDescent="0.45">
      <c r="A523">
        <v>515</v>
      </c>
      <c r="B523" s="8"/>
      <c r="C523" s="5"/>
      <c r="D523" s="5"/>
      <c r="E523" s="5"/>
      <c r="F523" s="5"/>
      <c r="G523" s="6"/>
      <c r="H523" s="5"/>
    </row>
    <row r="524" spans="1:8" x14ac:dyDescent="0.45">
      <c r="A524">
        <v>516</v>
      </c>
      <c r="B524" s="8"/>
      <c r="C524" s="5"/>
      <c r="D524" s="5"/>
      <c r="E524" s="5"/>
      <c r="F524" s="5"/>
      <c r="G524" s="6"/>
      <c r="H524" s="5"/>
    </row>
    <row r="525" spans="1:8" x14ac:dyDescent="0.45">
      <c r="A525">
        <v>517</v>
      </c>
      <c r="B525" s="8"/>
      <c r="C525" s="5"/>
      <c r="D525" s="5"/>
      <c r="E525" s="5"/>
      <c r="F525" s="5"/>
      <c r="G525" s="6"/>
      <c r="H525" s="5"/>
    </row>
    <row r="526" spans="1:8" x14ac:dyDescent="0.45">
      <c r="A526">
        <v>518</v>
      </c>
      <c r="B526" s="8"/>
      <c r="C526" s="5"/>
      <c r="D526" s="5"/>
      <c r="E526" s="5"/>
      <c r="F526" s="5"/>
      <c r="G526" s="6"/>
      <c r="H526" s="5"/>
    </row>
    <row r="527" spans="1:8" x14ac:dyDescent="0.45">
      <c r="A527">
        <v>519</v>
      </c>
      <c r="B527" s="8"/>
      <c r="C527" s="5"/>
      <c r="D527" s="5"/>
      <c r="E527" s="5"/>
      <c r="F527" s="5"/>
      <c r="G527" s="6"/>
      <c r="H527" s="5"/>
    </row>
    <row r="528" spans="1:8" x14ac:dyDescent="0.45">
      <c r="A528">
        <v>520</v>
      </c>
      <c r="B528" s="8"/>
      <c r="C528" s="5"/>
      <c r="D528" s="5"/>
      <c r="E528" s="5"/>
      <c r="F528" s="5"/>
      <c r="G528" s="6"/>
      <c r="H528" s="5"/>
    </row>
    <row r="529" spans="1:8" x14ac:dyDescent="0.45">
      <c r="A529">
        <v>521</v>
      </c>
      <c r="B529" s="8"/>
      <c r="C529" s="5"/>
      <c r="D529" s="5"/>
      <c r="E529" s="5"/>
      <c r="F529" s="5"/>
      <c r="G529" s="6"/>
      <c r="H529" s="5"/>
    </row>
    <row r="530" spans="1:8" x14ac:dyDescent="0.45">
      <c r="A530">
        <v>522</v>
      </c>
      <c r="B530" s="8"/>
      <c r="C530" s="5"/>
      <c r="D530" s="5"/>
      <c r="E530" s="5"/>
      <c r="F530" s="5"/>
      <c r="G530" s="6"/>
      <c r="H530" s="5"/>
    </row>
    <row r="531" spans="1:8" x14ac:dyDescent="0.45">
      <c r="A531">
        <v>523</v>
      </c>
      <c r="B531" s="8"/>
      <c r="C531" s="5"/>
      <c r="D531" s="5"/>
      <c r="E531" s="5"/>
      <c r="F531" s="5"/>
      <c r="G531" s="6"/>
      <c r="H531" s="5"/>
    </row>
    <row r="532" spans="1:8" x14ac:dyDescent="0.45">
      <c r="A532">
        <v>524</v>
      </c>
      <c r="B532" s="8"/>
      <c r="C532" s="5"/>
      <c r="D532" s="5"/>
      <c r="E532" s="5"/>
      <c r="F532" s="5"/>
      <c r="G532" s="6"/>
      <c r="H532" s="5"/>
    </row>
    <row r="533" spans="1:8" x14ac:dyDescent="0.45">
      <c r="A533">
        <v>525</v>
      </c>
      <c r="B533" s="8"/>
      <c r="C533" s="5"/>
      <c r="D533" s="5"/>
      <c r="E533" s="5"/>
      <c r="F533" s="5"/>
      <c r="G533" s="6"/>
      <c r="H533" s="5"/>
    </row>
    <row r="534" spans="1:8" x14ac:dyDescent="0.45">
      <c r="A534">
        <v>526</v>
      </c>
      <c r="B534" s="8"/>
      <c r="C534" s="5"/>
      <c r="D534" s="5"/>
      <c r="E534" s="5"/>
      <c r="F534" s="5"/>
      <c r="G534" s="6"/>
      <c r="H534" s="5"/>
    </row>
    <row r="535" spans="1:8" x14ac:dyDescent="0.45">
      <c r="A535">
        <v>527</v>
      </c>
      <c r="B535" s="8"/>
      <c r="C535" s="5"/>
      <c r="D535" s="5"/>
      <c r="E535" s="5"/>
      <c r="F535" s="5"/>
      <c r="G535" s="6"/>
      <c r="H535" s="5"/>
    </row>
    <row r="536" spans="1:8" x14ac:dyDescent="0.45">
      <c r="A536">
        <v>528</v>
      </c>
      <c r="B536" s="8"/>
      <c r="C536" s="5"/>
      <c r="D536" s="5"/>
      <c r="E536" s="5"/>
      <c r="F536" s="5"/>
      <c r="G536" s="6"/>
      <c r="H536" s="5"/>
    </row>
    <row r="537" spans="1:8" x14ac:dyDescent="0.45">
      <c r="A537">
        <v>529</v>
      </c>
      <c r="B537" s="8"/>
      <c r="C537" s="5"/>
      <c r="D537" s="5"/>
      <c r="E537" s="5"/>
      <c r="F537" s="5"/>
      <c r="G537" s="6"/>
      <c r="H537" s="5"/>
    </row>
    <row r="538" spans="1:8" x14ac:dyDescent="0.45">
      <c r="A538">
        <v>530</v>
      </c>
      <c r="B538" s="8"/>
      <c r="C538" s="5"/>
      <c r="D538" s="5"/>
      <c r="E538" s="5"/>
      <c r="F538" s="5"/>
      <c r="G538" s="6"/>
      <c r="H538" s="5"/>
    </row>
    <row r="539" spans="1:8" x14ac:dyDescent="0.45">
      <c r="A539">
        <v>531</v>
      </c>
      <c r="B539" s="8"/>
      <c r="C539" s="5"/>
      <c r="D539" s="5"/>
      <c r="E539" s="5"/>
      <c r="F539" s="5"/>
      <c r="G539" s="6"/>
      <c r="H539" s="5"/>
    </row>
    <row r="540" spans="1:8" x14ac:dyDescent="0.45">
      <c r="A540">
        <v>532</v>
      </c>
      <c r="B540" s="8"/>
      <c r="C540" s="5"/>
      <c r="D540" s="5"/>
      <c r="E540" s="5"/>
      <c r="F540" s="5"/>
      <c r="G540" s="6"/>
      <c r="H540" s="5"/>
    </row>
    <row r="541" spans="1:8" x14ac:dyDescent="0.45">
      <c r="A541">
        <v>533</v>
      </c>
      <c r="B541" s="8"/>
      <c r="C541" s="5"/>
      <c r="D541" s="5"/>
      <c r="E541" s="5"/>
      <c r="F541" s="5"/>
      <c r="G541" s="6"/>
      <c r="H541" s="5"/>
    </row>
    <row r="542" spans="1:8" x14ac:dyDescent="0.45">
      <c r="A542">
        <v>534</v>
      </c>
      <c r="B542" s="8"/>
      <c r="C542" s="5"/>
      <c r="D542" s="5"/>
      <c r="E542" s="5"/>
      <c r="F542" s="5"/>
      <c r="G542" s="6"/>
      <c r="H542" s="5"/>
    </row>
    <row r="543" spans="1:8" x14ac:dyDescent="0.45">
      <c r="A543">
        <v>535</v>
      </c>
      <c r="B543" s="8"/>
      <c r="C543" s="5"/>
      <c r="D543" s="5"/>
      <c r="E543" s="5"/>
      <c r="F543" s="5"/>
      <c r="G543" s="6"/>
      <c r="H543" s="5"/>
    </row>
    <row r="544" spans="1:8" x14ac:dyDescent="0.45">
      <c r="A544">
        <v>536</v>
      </c>
      <c r="B544" s="8"/>
      <c r="C544" s="5"/>
      <c r="D544" s="5"/>
      <c r="E544" s="5"/>
      <c r="F544" s="5"/>
      <c r="G544" s="6"/>
      <c r="H544" s="5"/>
    </row>
    <row r="545" spans="1:8" x14ac:dyDescent="0.45">
      <c r="A545">
        <v>537</v>
      </c>
      <c r="B545" s="8"/>
      <c r="C545" s="5"/>
      <c r="D545" s="5"/>
      <c r="E545" s="5"/>
      <c r="F545" s="5"/>
      <c r="G545" s="6"/>
      <c r="H545" s="5"/>
    </row>
    <row r="546" spans="1:8" x14ac:dyDescent="0.45">
      <c r="A546">
        <v>538</v>
      </c>
      <c r="B546" s="8"/>
      <c r="C546" s="5"/>
      <c r="D546" s="5"/>
      <c r="E546" s="5"/>
      <c r="F546" s="5"/>
      <c r="G546" s="6"/>
      <c r="H546" s="5"/>
    </row>
    <row r="547" spans="1:8" x14ac:dyDescent="0.45">
      <c r="A547">
        <v>539</v>
      </c>
      <c r="B547" s="8"/>
      <c r="C547" s="5"/>
      <c r="D547" s="5"/>
      <c r="E547" s="5"/>
      <c r="F547" s="5"/>
      <c r="G547" s="6"/>
      <c r="H547" s="5"/>
    </row>
    <row r="548" spans="1:8" x14ac:dyDescent="0.45">
      <c r="A548">
        <v>540</v>
      </c>
      <c r="B548" s="8"/>
      <c r="C548" s="5"/>
      <c r="D548" s="5"/>
      <c r="E548" s="5"/>
      <c r="F548" s="5"/>
      <c r="G548" s="6"/>
      <c r="H548" s="5"/>
    </row>
    <row r="549" spans="1:8" x14ac:dyDescent="0.45">
      <c r="A549">
        <v>541</v>
      </c>
      <c r="B549" s="8"/>
      <c r="C549" s="5"/>
      <c r="D549" s="5"/>
      <c r="E549" s="5"/>
      <c r="F549" s="5"/>
      <c r="G549" s="6"/>
      <c r="H549" s="5"/>
    </row>
    <row r="550" spans="1:8" x14ac:dyDescent="0.45">
      <c r="A550">
        <v>542</v>
      </c>
      <c r="B550" s="8"/>
      <c r="C550" s="5"/>
      <c r="D550" s="5"/>
      <c r="E550" s="5"/>
      <c r="F550" s="5"/>
      <c r="G550" s="6"/>
      <c r="H550" s="5"/>
    </row>
    <row r="551" spans="1:8" x14ac:dyDescent="0.45">
      <c r="A551">
        <v>543</v>
      </c>
      <c r="B551" s="8"/>
      <c r="C551" s="5"/>
      <c r="D551" s="5"/>
      <c r="E551" s="5"/>
      <c r="F551" s="5"/>
      <c r="G551" s="6"/>
      <c r="H551" s="5"/>
    </row>
    <row r="552" spans="1:8" x14ac:dyDescent="0.45">
      <c r="A552">
        <v>544</v>
      </c>
      <c r="B552" s="8"/>
      <c r="C552" s="5"/>
      <c r="D552" s="5"/>
      <c r="E552" s="5"/>
      <c r="F552" s="5"/>
      <c r="G552" s="6"/>
      <c r="H552" s="5"/>
    </row>
    <row r="553" spans="1:8" x14ac:dyDescent="0.45">
      <c r="A553">
        <v>545</v>
      </c>
      <c r="B553" s="8"/>
      <c r="C553" s="5"/>
      <c r="D553" s="5"/>
      <c r="E553" s="5"/>
      <c r="F553" s="5"/>
      <c r="G553" s="6"/>
      <c r="H553" s="5"/>
    </row>
    <row r="554" spans="1:8" x14ac:dyDescent="0.45">
      <c r="A554">
        <v>546</v>
      </c>
      <c r="B554" s="8"/>
      <c r="C554" s="5"/>
      <c r="D554" s="5"/>
      <c r="E554" s="5"/>
      <c r="F554" s="5"/>
      <c r="G554" s="6"/>
      <c r="H554" s="5"/>
    </row>
    <row r="555" spans="1:8" x14ac:dyDescent="0.45">
      <c r="A555">
        <v>547</v>
      </c>
      <c r="B555" s="8"/>
      <c r="C555" s="5"/>
      <c r="D555" s="5"/>
      <c r="E555" s="5"/>
      <c r="F555" s="5"/>
      <c r="G555" s="6"/>
      <c r="H555" s="5"/>
    </row>
    <row r="556" spans="1:8" x14ac:dyDescent="0.45">
      <c r="A556">
        <v>548</v>
      </c>
      <c r="B556" s="8"/>
      <c r="C556" s="5"/>
      <c r="D556" s="5"/>
      <c r="E556" s="5"/>
      <c r="F556" s="5"/>
      <c r="G556" s="6"/>
      <c r="H556" s="5"/>
    </row>
    <row r="557" spans="1:8" x14ac:dyDescent="0.45">
      <c r="A557">
        <v>549</v>
      </c>
      <c r="B557" s="8"/>
      <c r="C557" s="5"/>
      <c r="D557" s="5"/>
      <c r="E557" s="5"/>
      <c r="F557" s="5"/>
      <c r="G557" s="6"/>
      <c r="H557" s="5"/>
    </row>
    <row r="558" spans="1:8" x14ac:dyDescent="0.45">
      <c r="A558">
        <v>550</v>
      </c>
      <c r="B558" s="8"/>
      <c r="C558" s="5"/>
      <c r="D558" s="5"/>
      <c r="E558" s="5"/>
      <c r="F558" s="5"/>
      <c r="G558" s="6"/>
      <c r="H558" s="5"/>
    </row>
    <row r="559" spans="1:8" x14ac:dyDescent="0.45">
      <c r="A559">
        <v>551</v>
      </c>
      <c r="B559" s="8"/>
      <c r="C559" s="5"/>
      <c r="D559" s="5"/>
      <c r="E559" s="5"/>
      <c r="F559" s="5"/>
      <c r="G559" s="6"/>
      <c r="H559" s="5"/>
    </row>
    <row r="560" spans="1:8" x14ac:dyDescent="0.45">
      <c r="A560">
        <v>552</v>
      </c>
      <c r="B560" s="8"/>
      <c r="C560" s="5"/>
      <c r="D560" s="5"/>
      <c r="E560" s="5"/>
      <c r="F560" s="5"/>
      <c r="G560" s="6"/>
      <c r="H560" s="5"/>
    </row>
    <row r="561" spans="1:8" x14ac:dyDescent="0.45">
      <c r="A561">
        <v>553</v>
      </c>
      <c r="B561" s="8"/>
      <c r="C561" s="5"/>
      <c r="D561" s="5"/>
      <c r="E561" s="5"/>
      <c r="F561" s="5"/>
      <c r="G561" s="6"/>
      <c r="H561" s="5"/>
    </row>
    <row r="562" spans="1:8" x14ac:dyDescent="0.45">
      <c r="A562">
        <v>554</v>
      </c>
      <c r="B562" s="8"/>
      <c r="C562" s="5"/>
      <c r="D562" s="5"/>
      <c r="E562" s="5"/>
      <c r="F562" s="5"/>
      <c r="G562" s="6"/>
      <c r="H562" s="5"/>
    </row>
    <row r="563" spans="1:8" x14ac:dyDescent="0.45">
      <c r="A563">
        <v>555</v>
      </c>
      <c r="B563" s="8"/>
      <c r="C563" s="5"/>
      <c r="D563" s="5"/>
      <c r="E563" s="5"/>
      <c r="F563" s="5"/>
      <c r="G563" s="6"/>
      <c r="H563" s="5"/>
    </row>
    <row r="564" spans="1:8" x14ac:dyDescent="0.45">
      <c r="A564">
        <v>556</v>
      </c>
      <c r="B564" s="8"/>
      <c r="C564" s="5"/>
      <c r="D564" s="5"/>
      <c r="E564" s="5"/>
      <c r="F564" s="5"/>
      <c r="G564" s="6"/>
      <c r="H564" s="5"/>
    </row>
    <row r="565" spans="1:8" x14ac:dyDescent="0.45">
      <c r="A565">
        <v>557</v>
      </c>
      <c r="B565" s="8"/>
      <c r="C565" s="5"/>
      <c r="D565" s="5"/>
      <c r="E565" s="5"/>
      <c r="F565" s="5"/>
      <c r="G565" s="6"/>
      <c r="H565" s="5"/>
    </row>
    <row r="566" spans="1:8" x14ac:dyDescent="0.45">
      <c r="A566">
        <v>558</v>
      </c>
      <c r="B566" s="8"/>
      <c r="C566" s="5"/>
      <c r="D566" s="5"/>
      <c r="E566" s="5"/>
      <c r="F566" s="5"/>
      <c r="G566" s="6"/>
      <c r="H566" s="5"/>
    </row>
    <row r="567" spans="1:8" x14ac:dyDescent="0.45">
      <c r="A567">
        <v>559</v>
      </c>
      <c r="B567" s="8"/>
      <c r="C567" s="5"/>
      <c r="D567" s="5"/>
      <c r="E567" s="5"/>
      <c r="F567" s="5"/>
      <c r="G567" s="6"/>
      <c r="H567" s="5"/>
    </row>
    <row r="568" spans="1:8" x14ac:dyDescent="0.45">
      <c r="A568">
        <v>560</v>
      </c>
      <c r="B568" s="8"/>
      <c r="C568" s="5"/>
      <c r="D568" s="5"/>
      <c r="E568" s="5"/>
      <c r="F568" s="5"/>
      <c r="G568" s="6"/>
      <c r="H568" s="5"/>
    </row>
    <row r="569" spans="1:8" x14ac:dyDescent="0.45">
      <c r="A569">
        <v>561</v>
      </c>
      <c r="B569" s="8"/>
      <c r="C569" s="5"/>
      <c r="D569" s="5"/>
      <c r="E569" s="5"/>
      <c r="F569" s="5"/>
      <c r="G569" s="6"/>
      <c r="H569" s="5"/>
    </row>
    <row r="570" spans="1:8" x14ac:dyDescent="0.45">
      <c r="A570">
        <v>562</v>
      </c>
      <c r="B570" s="8"/>
      <c r="C570" s="5"/>
      <c r="D570" s="5"/>
      <c r="E570" s="5"/>
      <c r="F570" s="5"/>
      <c r="G570" s="6"/>
      <c r="H570" s="5"/>
    </row>
    <row r="571" spans="1:8" x14ac:dyDescent="0.45">
      <c r="A571">
        <v>563</v>
      </c>
      <c r="B571" s="8"/>
      <c r="C571" s="5"/>
      <c r="D571" s="5"/>
      <c r="E571" s="5"/>
      <c r="F571" s="5"/>
      <c r="G571" s="6"/>
      <c r="H571" s="5"/>
    </row>
    <row r="572" spans="1:8" x14ac:dyDescent="0.45">
      <c r="A572">
        <v>564</v>
      </c>
      <c r="B572" s="8"/>
      <c r="C572" s="5"/>
      <c r="D572" s="5"/>
      <c r="E572" s="5"/>
      <c r="F572" s="5"/>
      <c r="G572" s="6"/>
      <c r="H572" s="5"/>
    </row>
    <row r="573" spans="1:8" x14ac:dyDescent="0.45">
      <c r="A573">
        <v>565</v>
      </c>
      <c r="B573" s="8"/>
      <c r="C573" s="5"/>
      <c r="D573" s="5"/>
      <c r="E573" s="5"/>
      <c r="F573" s="5"/>
      <c r="G573" s="6"/>
      <c r="H573" s="5"/>
    </row>
    <row r="574" spans="1:8" x14ac:dyDescent="0.45">
      <c r="A574">
        <v>566</v>
      </c>
      <c r="B574" s="8"/>
      <c r="C574" s="5"/>
      <c r="D574" s="5"/>
      <c r="E574" s="5"/>
      <c r="F574" s="5"/>
      <c r="G574" s="6"/>
      <c r="H574" s="5"/>
    </row>
    <row r="575" spans="1:8" x14ac:dyDescent="0.45">
      <c r="A575">
        <v>567</v>
      </c>
      <c r="B575" s="8"/>
      <c r="C575" s="5"/>
      <c r="D575" s="5"/>
      <c r="E575" s="5"/>
      <c r="F575" s="5"/>
      <c r="G575" s="6"/>
      <c r="H575" s="5"/>
    </row>
    <row r="576" spans="1:8" x14ac:dyDescent="0.45">
      <c r="A576">
        <v>568</v>
      </c>
      <c r="B576" s="8"/>
      <c r="C576" s="5"/>
      <c r="D576" s="5"/>
      <c r="E576" s="5"/>
      <c r="F576" s="5"/>
      <c r="G576" s="6"/>
      <c r="H576" s="5"/>
    </row>
    <row r="577" spans="1:8" x14ac:dyDescent="0.45">
      <c r="A577">
        <v>569</v>
      </c>
      <c r="B577" s="8"/>
      <c r="C577" s="5"/>
      <c r="D577" s="5"/>
      <c r="E577" s="5"/>
      <c r="F577" s="5"/>
      <c r="G577" s="6"/>
      <c r="H577" s="5"/>
    </row>
    <row r="578" spans="1:8" x14ac:dyDescent="0.45">
      <c r="A578">
        <v>570</v>
      </c>
      <c r="B578" s="8"/>
      <c r="C578" s="5"/>
      <c r="D578" s="5"/>
      <c r="E578" s="5"/>
      <c r="F578" s="5"/>
      <c r="G578" s="6"/>
      <c r="H578" s="5"/>
    </row>
    <row r="579" spans="1:8" x14ac:dyDescent="0.45">
      <c r="A579">
        <v>571</v>
      </c>
      <c r="B579" s="8"/>
      <c r="C579" s="5"/>
      <c r="D579" s="5"/>
      <c r="E579" s="5"/>
      <c r="F579" s="5"/>
      <c r="G579" s="6"/>
      <c r="H579" s="5"/>
    </row>
    <row r="580" spans="1:8" x14ac:dyDescent="0.45">
      <c r="A580">
        <v>572</v>
      </c>
      <c r="B580" s="8"/>
      <c r="C580" s="5"/>
      <c r="D580" s="5"/>
      <c r="E580" s="5"/>
      <c r="F580" s="5"/>
      <c r="G580" s="6"/>
      <c r="H580" s="5"/>
    </row>
    <row r="581" spans="1:8" x14ac:dyDescent="0.45">
      <c r="A581">
        <v>573</v>
      </c>
      <c r="B581" s="8"/>
      <c r="C581" s="5"/>
      <c r="D581" s="5"/>
      <c r="E581" s="5"/>
      <c r="F581" s="5"/>
      <c r="G581" s="6"/>
      <c r="H581" s="5"/>
    </row>
    <row r="582" spans="1:8" x14ac:dyDescent="0.45">
      <c r="A582">
        <v>574</v>
      </c>
      <c r="B582" s="8"/>
      <c r="C582" s="5"/>
      <c r="D582" s="5"/>
      <c r="E582" s="5"/>
      <c r="F582" s="5"/>
      <c r="G582" s="6"/>
      <c r="H582" s="5"/>
    </row>
    <row r="583" spans="1:8" x14ac:dyDescent="0.45">
      <c r="A583">
        <v>575</v>
      </c>
      <c r="B583" s="8"/>
      <c r="C583" s="5"/>
      <c r="D583" s="5"/>
      <c r="E583" s="5"/>
      <c r="F583" s="5"/>
      <c r="G583" s="6"/>
      <c r="H583" s="5"/>
    </row>
    <row r="584" spans="1:8" x14ac:dyDescent="0.45">
      <c r="A584">
        <v>576</v>
      </c>
      <c r="B584" s="8"/>
      <c r="C584" s="5"/>
      <c r="D584" s="5"/>
      <c r="E584" s="5"/>
      <c r="F584" s="5"/>
      <c r="G584" s="6"/>
      <c r="H584" s="5"/>
    </row>
    <row r="585" spans="1:8" x14ac:dyDescent="0.45">
      <c r="A585">
        <v>577</v>
      </c>
      <c r="B585" s="8"/>
      <c r="C585" s="5"/>
      <c r="D585" s="5"/>
      <c r="E585" s="5"/>
      <c r="F585" s="5"/>
      <c r="G585" s="6"/>
      <c r="H585" s="5"/>
    </row>
    <row r="586" spans="1:8" x14ac:dyDescent="0.45">
      <c r="A586">
        <v>578</v>
      </c>
      <c r="B586" s="8"/>
      <c r="C586" s="5"/>
      <c r="D586" s="5"/>
      <c r="E586" s="5"/>
      <c r="F586" s="5"/>
      <c r="G586" s="6"/>
      <c r="H586" s="5"/>
    </row>
    <row r="587" spans="1:8" x14ac:dyDescent="0.45">
      <c r="A587">
        <v>579</v>
      </c>
      <c r="B587" s="8"/>
      <c r="C587" s="5"/>
      <c r="D587" s="5"/>
      <c r="E587" s="5"/>
      <c r="F587" s="5"/>
      <c r="G587" s="6"/>
      <c r="H587" s="5"/>
    </row>
    <row r="588" spans="1:8" x14ac:dyDescent="0.45">
      <c r="A588">
        <v>580</v>
      </c>
      <c r="B588" s="8"/>
      <c r="C588" s="5"/>
      <c r="D588" s="5"/>
      <c r="E588" s="5"/>
      <c r="F588" s="5"/>
      <c r="G588" s="6"/>
      <c r="H588" s="5"/>
    </row>
    <row r="589" spans="1:8" x14ac:dyDescent="0.45">
      <c r="A589">
        <v>581</v>
      </c>
      <c r="B589" s="8"/>
      <c r="C589" s="5"/>
      <c r="D589" s="5"/>
      <c r="E589" s="5"/>
      <c r="F589" s="5"/>
      <c r="G589" s="6"/>
      <c r="H589" s="5"/>
    </row>
    <row r="590" spans="1:8" x14ac:dyDescent="0.45">
      <c r="A590">
        <v>582</v>
      </c>
      <c r="B590" s="8"/>
      <c r="C590" s="5"/>
      <c r="D590" s="5"/>
      <c r="E590" s="5"/>
      <c r="F590" s="5"/>
      <c r="G590" s="6"/>
      <c r="H590" s="5"/>
    </row>
    <row r="591" spans="1:8" x14ac:dyDescent="0.45">
      <c r="A591">
        <v>583</v>
      </c>
      <c r="B591" s="8"/>
      <c r="C591" s="5"/>
      <c r="D591" s="5"/>
      <c r="E591" s="5"/>
      <c r="F591" s="5"/>
      <c r="G591" s="6"/>
      <c r="H591" s="5"/>
    </row>
    <row r="592" spans="1:8" x14ac:dyDescent="0.45">
      <c r="A592">
        <v>584</v>
      </c>
      <c r="B592" s="8"/>
      <c r="C592" s="5"/>
      <c r="D592" s="5"/>
      <c r="E592" s="5"/>
      <c r="F592" s="5"/>
      <c r="G592" s="6"/>
      <c r="H592" s="5"/>
    </row>
    <row r="593" spans="1:8" x14ac:dyDescent="0.45">
      <c r="A593">
        <v>585</v>
      </c>
      <c r="B593" s="8"/>
      <c r="C593" s="5"/>
      <c r="D593" s="5"/>
      <c r="E593" s="5"/>
      <c r="F593" s="5"/>
      <c r="G593" s="6"/>
      <c r="H593" s="5"/>
    </row>
    <row r="594" spans="1:8" x14ac:dyDescent="0.45">
      <c r="A594">
        <v>586</v>
      </c>
      <c r="B594" s="8"/>
      <c r="C594" s="5"/>
      <c r="D594" s="5"/>
      <c r="E594" s="5"/>
      <c r="F594" s="5"/>
      <c r="G594" s="6"/>
      <c r="H594" s="5"/>
    </row>
    <row r="595" spans="1:8" x14ac:dyDescent="0.45">
      <c r="A595">
        <v>587</v>
      </c>
      <c r="B595" s="8"/>
      <c r="C595" s="5"/>
      <c r="D595" s="5"/>
      <c r="E595" s="5"/>
      <c r="F595" s="5"/>
      <c r="G595" s="6"/>
      <c r="H595" s="5"/>
    </row>
    <row r="596" spans="1:8" x14ac:dyDescent="0.45">
      <c r="A596">
        <v>588</v>
      </c>
      <c r="B596" s="8"/>
      <c r="C596" s="5"/>
      <c r="D596" s="5"/>
      <c r="E596" s="5"/>
      <c r="F596" s="5"/>
      <c r="G596" s="6"/>
      <c r="H596" s="5"/>
    </row>
    <row r="597" spans="1:8" x14ac:dyDescent="0.45">
      <c r="A597">
        <v>589</v>
      </c>
      <c r="B597" s="8"/>
      <c r="C597" s="5"/>
      <c r="D597" s="5"/>
      <c r="E597" s="5"/>
      <c r="F597" s="5"/>
      <c r="G597" s="6"/>
      <c r="H597" s="5"/>
    </row>
    <row r="598" spans="1:8" x14ac:dyDescent="0.45">
      <c r="A598">
        <v>590</v>
      </c>
      <c r="B598" s="8"/>
      <c r="C598" s="5"/>
      <c r="D598" s="5"/>
      <c r="E598" s="5"/>
      <c r="F598" s="5"/>
      <c r="G598" s="6"/>
      <c r="H598" s="5"/>
    </row>
    <row r="599" spans="1:8" x14ac:dyDescent="0.45">
      <c r="A599">
        <v>591</v>
      </c>
      <c r="B599" s="8"/>
      <c r="C599" s="5"/>
      <c r="D599" s="5"/>
      <c r="E599" s="5"/>
      <c r="F599" s="5"/>
      <c r="G599" s="6"/>
      <c r="H599" s="5"/>
    </row>
    <row r="600" spans="1:8" x14ac:dyDescent="0.45">
      <c r="A600">
        <v>592</v>
      </c>
      <c r="B600" s="8"/>
      <c r="C600" s="5"/>
      <c r="D600" s="5"/>
      <c r="E600" s="5"/>
      <c r="F600" s="5"/>
      <c r="G600" s="6"/>
      <c r="H600" s="5"/>
    </row>
    <row r="601" spans="1:8" x14ac:dyDescent="0.45">
      <c r="A601">
        <v>593</v>
      </c>
      <c r="B601" s="8"/>
      <c r="C601" s="5"/>
      <c r="D601" s="5"/>
      <c r="E601" s="5"/>
      <c r="F601" s="5"/>
      <c r="G601" s="6"/>
      <c r="H601" s="5"/>
    </row>
    <row r="602" spans="1:8" x14ac:dyDescent="0.45">
      <c r="A602">
        <v>594</v>
      </c>
      <c r="B602" s="8"/>
      <c r="C602" s="5"/>
      <c r="D602" s="5"/>
      <c r="E602" s="5"/>
      <c r="F602" s="5"/>
      <c r="G602" s="6"/>
      <c r="H602" s="5"/>
    </row>
    <row r="603" spans="1:8" x14ac:dyDescent="0.45">
      <c r="A603">
        <v>595</v>
      </c>
      <c r="B603" s="8"/>
      <c r="C603" s="5"/>
      <c r="D603" s="5"/>
      <c r="E603" s="5"/>
      <c r="F603" s="5"/>
      <c r="G603" s="6"/>
      <c r="H603" s="5"/>
    </row>
    <row r="604" spans="1:8" x14ac:dyDescent="0.45">
      <c r="A604">
        <v>596</v>
      </c>
      <c r="B604" s="8"/>
      <c r="C604" s="5"/>
      <c r="D604" s="5"/>
      <c r="E604" s="5"/>
      <c r="F604" s="5"/>
      <c r="G604" s="6"/>
      <c r="H604" s="5"/>
    </row>
    <row r="605" spans="1:8" x14ac:dyDescent="0.45">
      <c r="A605">
        <v>597</v>
      </c>
      <c r="B605" s="8"/>
      <c r="C605" s="5"/>
      <c r="D605" s="5"/>
      <c r="E605" s="5"/>
      <c r="F605" s="5"/>
      <c r="G605" s="6"/>
      <c r="H605" s="5"/>
    </row>
    <row r="606" spans="1:8" x14ac:dyDescent="0.45">
      <c r="A606">
        <v>598</v>
      </c>
      <c r="B606" s="8"/>
      <c r="C606" s="5"/>
      <c r="D606" s="5"/>
      <c r="E606" s="5"/>
      <c r="F606" s="5"/>
      <c r="G606" s="6"/>
      <c r="H606" s="5"/>
    </row>
    <row r="607" spans="1:8" x14ac:dyDescent="0.45">
      <c r="A607">
        <v>599</v>
      </c>
      <c r="B607" s="8"/>
      <c r="C607" s="5"/>
      <c r="D607" s="5"/>
      <c r="E607" s="5"/>
      <c r="F607" s="5"/>
      <c r="G607" s="6"/>
      <c r="H607" s="5"/>
    </row>
    <row r="608" spans="1:8" x14ac:dyDescent="0.45">
      <c r="A608">
        <v>600</v>
      </c>
      <c r="B608" s="8"/>
      <c r="C608" s="5"/>
      <c r="D608" s="5"/>
      <c r="E608" s="5"/>
      <c r="F608" s="5"/>
      <c r="G608" s="6"/>
      <c r="H608" s="5"/>
    </row>
    <row r="609" spans="1:8" x14ac:dyDescent="0.45">
      <c r="A609">
        <v>601</v>
      </c>
      <c r="B609" s="8"/>
      <c r="C609" s="5"/>
      <c r="D609" s="5"/>
      <c r="E609" s="5"/>
      <c r="F609" s="5"/>
      <c r="G609" s="6"/>
      <c r="H609" s="5"/>
    </row>
    <row r="610" spans="1:8" x14ac:dyDescent="0.45">
      <c r="A610">
        <v>602</v>
      </c>
      <c r="B610" s="8"/>
      <c r="C610" s="5"/>
      <c r="D610" s="5"/>
      <c r="E610" s="5"/>
      <c r="F610" s="5"/>
      <c r="G610" s="6"/>
      <c r="H610" s="5"/>
    </row>
    <row r="611" spans="1:8" x14ac:dyDescent="0.45">
      <c r="A611">
        <v>603</v>
      </c>
      <c r="B611" s="8"/>
      <c r="C611" s="5"/>
      <c r="D611" s="5"/>
      <c r="E611" s="5"/>
      <c r="F611" s="5"/>
      <c r="G611" s="6"/>
      <c r="H611" s="5"/>
    </row>
    <row r="612" spans="1:8" x14ac:dyDescent="0.45">
      <c r="A612">
        <v>604</v>
      </c>
      <c r="B612" s="8"/>
      <c r="C612" s="5"/>
      <c r="D612" s="5"/>
      <c r="E612" s="5"/>
      <c r="F612" s="5"/>
      <c r="G612" s="6"/>
      <c r="H612" s="5"/>
    </row>
    <row r="613" spans="1:8" x14ac:dyDescent="0.45">
      <c r="A613">
        <v>605</v>
      </c>
      <c r="B613" s="8"/>
      <c r="C613" s="5"/>
      <c r="D613" s="5"/>
      <c r="E613" s="5"/>
      <c r="F613" s="5"/>
      <c r="G613" s="6"/>
      <c r="H613" s="5"/>
    </row>
    <row r="614" spans="1:8" x14ac:dyDescent="0.45">
      <c r="A614">
        <v>606</v>
      </c>
      <c r="B614" s="8"/>
      <c r="C614" s="5"/>
      <c r="D614" s="5"/>
      <c r="E614" s="5"/>
      <c r="F614" s="5"/>
      <c r="G614" s="6"/>
      <c r="H614" s="5"/>
    </row>
    <row r="615" spans="1:8" x14ac:dyDescent="0.45">
      <c r="A615">
        <v>607</v>
      </c>
      <c r="B615" s="8"/>
      <c r="C615" s="5"/>
      <c r="D615" s="5"/>
      <c r="E615" s="5"/>
      <c r="F615" s="5"/>
      <c r="G615" s="6"/>
      <c r="H615" s="5"/>
    </row>
    <row r="616" spans="1:8" x14ac:dyDescent="0.45">
      <c r="A616">
        <v>608</v>
      </c>
      <c r="B616" s="8"/>
      <c r="C616" s="5"/>
      <c r="D616" s="5"/>
      <c r="E616" s="5"/>
      <c r="F616" s="5"/>
      <c r="G616" s="6"/>
      <c r="H616" s="5"/>
    </row>
    <row r="617" spans="1:8" x14ac:dyDescent="0.45">
      <c r="A617">
        <v>609</v>
      </c>
      <c r="B617" s="8"/>
      <c r="C617" s="5"/>
      <c r="D617" s="5"/>
      <c r="E617" s="5"/>
      <c r="F617" s="5"/>
      <c r="G617" s="6"/>
      <c r="H617" s="5"/>
    </row>
    <row r="618" spans="1:8" x14ac:dyDescent="0.45">
      <c r="A618">
        <v>610</v>
      </c>
      <c r="B618" s="8"/>
      <c r="C618" s="5"/>
      <c r="D618" s="5"/>
      <c r="E618" s="5"/>
      <c r="F618" s="5"/>
      <c r="G618" s="6"/>
      <c r="H618" s="5"/>
    </row>
    <row r="619" spans="1:8" x14ac:dyDescent="0.45">
      <c r="A619">
        <v>611</v>
      </c>
      <c r="B619" s="8"/>
      <c r="C619" s="5"/>
      <c r="D619" s="5"/>
      <c r="E619" s="5"/>
      <c r="F619" s="5"/>
      <c r="G619" s="6"/>
      <c r="H619" s="5"/>
    </row>
    <row r="620" spans="1:8" x14ac:dyDescent="0.45">
      <c r="A620">
        <v>612</v>
      </c>
      <c r="B620" s="8"/>
      <c r="C620" s="5"/>
      <c r="D620" s="5"/>
      <c r="E620" s="5"/>
      <c r="F620" s="5"/>
      <c r="G620" s="6"/>
      <c r="H620" s="5"/>
    </row>
    <row r="621" spans="1:8" x14ac:dyDescent="0.45">
      <c r="A621">
        <v>613</v>
      </c>
      <c r="B621" s="8"/>
      <c r="C621" s="5"/>
      <c r="D621" s="5"/>
      <c r="E621" s="5"/>
      <c r="F621" s="5"/>
      <c r="G621" s="6"/>
      <c r="H621" s="5"/>
    </row>
    <row r="622" spans="1:8" x14ac:dyDescent="0.45">
      <c r="A622">
        <v>614</v>
      </c>
      <c r="B622" s="8"/>
      <c r="C622" s="5"/>
      <c r="D622" s="5"/>
      <c r="E622" s="5"/>
      <c r="F622" s="5"/>
      <c r="G622" s="6"/>
      <c r="H622" s="5"/>
    </row>
    <row r="623" spans="1:8" x14ac:dyDescent="0.45">
      <c r="A623">
        <v>615</v>
      </c>
      <c r="B623" s="8"/>
      <c r="C623" s="5"/>
      <c r="D623" s="5"/>
      <c r="E623" s="5"/>
      <c r="F623" s="5"/>
      <c r="G623" s="6"/>
      <c r="H623" s="5"/>
    </row>
    <row r="624" spans="1:8" x14ac:dyDescent="0.45">
      <c r="A624">
        <v>616</v>
      </c>
      <c r="B624" s="8"/>
      <c r="C624" s="5"/>
      <c r="D624" s="5"/>
      <c r="E624" s="5"/>
      <c r="F624" s="5"/>
      <c r="G624" s="6"/>
      <c r="H624" s="5"/>
    </row>
    <row r="625" spans="1:8" x14ac:dyDescent="0.45">
      <c r="A625">
        <v>617</v>
      </c>
      <c r="B625" s="8"/>
      <c r="C625" s="5"/>
      <c r="D625" s="5"/>
      <c r="E625" s="5"/>
      <c r="F625" s="5"/>
      <c r="G625" s="6"/>
      <c r="H625" s="5"/>
    </row>
    <row r="626" spans="1:8" x14ac:dyDescent="0.45">
      <c r="A626">
        <v>618</v>
      </c>
      <c r="B626" s="8"/>
      <c r="C626" s="5"/>
      <c r="D626" s="5"/>
      <c r="E626" s="5"/>
      <c r="F626" s="5"/>
      <c r="G626" s="6"/>
      <c r="H626" s="5"/>
    </row>
    <row r="627" spans="1:8" x14ac:dyDescent="0.45">
      <c r="A627">
        <v>619</v>
      </c>
      <c r="B627" s="8"/>
      <c r="C627" s="5"/>
      <c r="D627" s="5"/>
      <c r="E627" s="5"/>
      <c r="F627" s="5"/>
      <c r="G627" s="6"/>
      <c r="H627" s="5"/>
    </row>
    <row r="628" spans="1:8" x14ac:dyDescent="0.45">
      <c r="A628">
        <v>620</v>
      </c>
      <c r="B628" s="8"/>
      <c r="C628" s="5"/>
      <c r="D628" s="5"/>
      <c r="E628" s="5"/>
      <c r="F628" s="5"/>
      <c r="G628" s="6"/>
      <c r="H628" s="5"/>
    </row>
    <row r="629" spans="1:8" x14ac:dyDescent="0.45">
      <c r="A629">
        <v>621</v>
      </c>
      <c r="B629" s="8"/>
      <c r="C629" s="5"/>
      <c r="D629" s="5"/>
      <c r="E629" s="5"/>
      <c r="F629" s="5"/>
      <c r="G629" s="6"/>
      <c r="H629" s="5"/>
    </row>
    <row r="630" spans="1:8" x14ac:dyDescent="0.45">
      <c r="A630">
        <v>622</v>
      </c>
      <c r="B630" s="8"/>
      <c r="C630" s="5"/>
      <c r="D630" s="5"/>
      <c r="E630" s="5"/>
      <c r="F630" s="5"/>
      <c r="G630" s="6"/>
      <c r="H630" s="5"/>
    </row>
    <row r="631" spans="1:8" x14ac:dyDescent="0.45">
      <c r="A631">
        <v>623</v>
      </c>
      <c r="B631" s="8"/>
      <c r="C631" s="5"/>
      <c r="D631" s="5"/>
      <c r="E631" s="5"/>
      <c r="F631" s="5"/>
      <c r="G631" s="6"/>
      <c r="H631" s="5"/>
    </row>
    <row r="632" spans="1:8" x14ac:dyDescent="0.45">
      <c r="A632">
        <v>624</v>
      </c>
      <c r="B632" s="8"/>
      <c r="C632" s="5"/>
      <c r="D632" s="5"/>
      <c r="E632" s="5"/>
      <c r="F632" s="5"/>
      <c r="G632" s="6"/>
      <c r="H632" s="5"/>
    </row>
    <row r="633" spans="1:8" x14ac:dyDescent="0.45">
      <c r="A633">
        <v>625</v>
      </c>
      <c r="B633" s="8"/>
      <c r="C633" s="5"/>
      <c r="D633" s="5"/>
      <c r="E633" s="5"/>
      <c r="F633" s="5"/>
      <c r="G633" s="6"/>
      <c r="H633" s="5"/>
    </row>
    <row r="634" spans="1:8" x14ac:dyDescent="0.45">
      <c r="A634">
        <v>626</v>
      </c>
      <c r="B634" s="8"/>
      <c r="C634" s="5"/>
      <c r="D634" s="5"/>
      <c r="E634" s="5"/>
      <c r="F634" s="5"/>
      <c r="G634" s="6"/>
      <c r="H634" s="5"/>
    </row>
    <row r="635" spans="1:8" x14ac:dyDescent="0.45">
      <c r="A635">
        <v>627</v>
      </c>
      <c r="B635" s="8"/>
      <c r="C635" s="5"/>
      <c r="D635" s="5"/>
      <c r="E635" s="5"/>
      <c r="F635" s="5"/>
      <c r="G635" s="6"/>
      <c r="H635" s="5"/>
    </row>
    <row r="636" spans="1:8" x14ac:dyDescent="0.45">
      <c r="A636">
        <v>628</v>
      </c>
      <c r="B636" s="8"/>
      <c r="C636" s="5"/>
      <c r="D636" s="5"/>
      <c r="E636" s="5"/>
      <c r="F636" s="5"/>
      <c r="G636" s="6"/>
      <c r="H636" s="5"/>
    </row>
    <row r="637" spans="1:8" x14ac:dyDescent="0.45">
      <c r="A637">
        <v>629</v>
      </c>
      <c r="B637" s="8"/>
      <c r="C637" s="5"/>
      <c r="D637" s="5"/>
      <c r="E637" s="5"/>
      <c r="F637" s="5"/>
      <c r="G637" s="6"/>
      <c r="H637" s="5"/>
    </row>
    <row r="638" spans="1:8" x14ac:dyDescent="0.45">
      <c r="A638">
        <v>630</v>
      </c>
      <c r="B638" s="8"/>
      <c r="C638" s="5"/>
      <c r="D638" s="5"/>
      <c r="E638" s="5"/>
      <c r="F638" s="5"/>
      <c r="G638" s="6"/>
      <c r="H638" s="5"/>
    </row>
    <row r="639" spans="1:8" x14ac:dyDescent="0.45">
      <c r="A639">
        <v>631</v>
      </c>
      <c r="B639" s="8"/>
      <c r="C639" s="5"/>
      <c r="D639" s="5"/>
      <c r="E639" s="5"/>
      <c r="F639" s="5"/>
      <c r="G639" s="6"/>
      <c r="H639" s="5"/>
    </row>
    <row r="640" spans="1:8" x14ac:dyDescent="0.45">
      <c r="A640">
        <v>632</v>
      </c>
      <c r="B640" s="8"/>
      <c r="C640" s="5"/>
      <c r="D640" s="5"/>
      <c r="E640" s="5"/>
      <c r="F640" s="5"/>
      <c r="G640" s="6"/>
      <c r="H640" s="5"/>
    </row>
    <row r="641" spans="1:8" x14ac:dyDescent="0.45">
      <c r="A641">
        <v>633</v>
      </c>
      <c r="B641" s="8"/>
      <c r="C641" s="5"/>
      <c r="D641" s="5"/>
      <c r="E641" s="5"/>
      <c r="F641" s="5"/>
      <c r="G641" s="6"/>
      <c r="H641" s="5"/>
    </row>
    <row r="642" spans="1:8" x14ac:dyDescent="0.45">
      <c r="A642">
        <v>634</v>
      </c>
      <c r="B642" s="8"/>
      <c r="C642" s="5"/>
      <c r="D642" s="5"/>
      <c r="E642" s="5"/>
      <c r="F642" s="5"/>
      <c r="G642" s="6"/>
      <c r="H642" s="5"/>
    </row>
    <row r="643" spans="1:8" x14ac:dyDescent="0.45">
      <c r="A643">
        <v>635</v>
      </c>
      <c r="B643" s="8"/>
      <c r="C643" s="5"/>
      <c r="D643" s="5"/>
      <c r="E643" s="5"/>
      <c r="F643" s="5"/>
      <c r="G643" s="6"/>
      <c r="H643" s="5"/>
    </row>
    <row r="644" spans="1:8" x14ac:dyDescent="0.45">
      <c r="A644">
        <v>636</v>
      </c>
      <c r="B644" s="8"/>
      <c r="C644" s="5"/>
      <c r="D644" s="5"/>
      <c r="E644" s="5"/>
      <c r="F644" s="5"/>
      <c r="G644" s="6"/>
      <c r="H644" s="5"/>
    </row>
    <row r="645" spans="1:8" x14ac:dyDescent="0.45">
      <c r="A645">
        <v>637</v>
      </c>
      <c r="B645" s="8"/>
      <c r="C645" s="5"/>
      <c r="D645" s="5"/>
      <c r="E645" s="5"/>
      <c r="F645" s="5"/>
      <c r="G645" s="6"/>
      <c r="H645" s="5"/>
    </row>
    <row r="646" spans="1:8" x14ac:dyDescent="0.45">
      <c r="A646">
        <v>638</v>
      </c>
      <c r="B646" s="8"/>
      <c r="C646" s="5"/>
      <c r="D646" s="5"/>
      <c r="E646" s="5"/>
      <c r="F646" s="5"/>
      <c r="G646" s="6"/>
      <c r="H646" s="5"/>
    </row>
    <row r="647" spans="1:8" x14ac:dyDescent="0.45">
      <c r="A647">
        <v>639</v>
      </c>
      <c r="B647" s="8"/>
      <c r="C647" s="5"/>
      <c r="D647" s="5"/>
      <c r="E647" s="5"/>
      <c r="F647" s="5"/>
      <c r="G647" s="6"/>
      <c r="H647" s="5"/>
    </row>
    <row r="648" spans="1:8" x14ac:dyDescent="0.45">
      <c r="A648">
        <v>640</v>
      </c>
      <c r="B648" s="8"/>
      <c r="C648" s="5"/>
      <c r="D648" s="5"/>
      <c r="E648" s="5"/>
      <c r="F648" s="5"/>
      <c r="G648" s="6"/>
      <c r="H648" s="5"/>
    </row>
    <row r="649" spans="1:8" x14ac:dyDescent="0.45">
      <c r="A649">
        <v>641</v>
      </c>
      <c r="B649" s="8"/>
      <c r="C649" s="5"/>
      <c r="D649" s="5"/>
      <c r="E649" s="5"/>
      <c r="F649" s="5"/>
      <c r="G649" s="6"/>
      <c r="H649" s="5"/>
    </row>
    <row r="650" spans="1:8" x14ac:dyDescent="0.45">
      <c r="A650">
        <v>642</v>
      </c>
      <c r="B650" s="8"/>
      <c r="C650" s="5"/>
      <c r="D650" s="5"/>
      <c r="E650" s="5"/>
      <c r="F650" s="5"/>
      <c r="G650" s="6"/>
      <c r="H650" s="5"/>
    </row>
    <row r="651" spans="1:8" x14ac:dyDescent="0.45">
      <c r="A651">
        <v>643</v>
      </c>
      <c r="B651" s="8"/>
      <c r="C651" s="5"/>
      <c r="D651" s="5"/>
      <c r="E651" s="5"/>
      <c r="F651" s="5"/>
      <c r="G651" s="6"/>
      <c r="H651" s="5"/>
    </row>
    <row r="652" spans="1:8" x14ac:dyDescent="0.45">
      <c r="A652">
        <v>644</v>
      </c>
      <c r="B652" s="8"/>
      <c r="C652" s="5"/>
      <c r="D652" s="5"/>
      <c r="E652" s="5"/>
      <c r="F652" s="5"/>
      <c r="G652" s="6"/>
      <c r="H652" s="5"/>
    </row>
    <row r="653" spans="1:8" x14ac:dyDescent="0.45">
      <c r="A653">
        <v>645</v>
      </c>
      <c r="B653" s="8"/>
      <c r="C653" s="5"/>
      <c r="D653" s="5"/>
      <c r="E653" s="5"/>
      <c r="F653" s="5"/>
      <c r="G653" s="6"/>
      <c r="H653" s="5"/>
    </row>
    <row r="654" spans="1:8" x14ac:dyDescent="0.45">
      <c r="A654">
        <v>646</v>
      </c>
      <c r="B654" s="8"/>
      <c r="C654" s="5"/>
      <c r="D654" s="5"/>
      <c r="E654" s="5"/>
      <c r="F654" s="5"/>
      <c r="G654" s="6"/>
      <c r="H654" s="5"/>
    </row>
    <row r="655" spans="1:8" x14ac:dyDescent="0.45">
      <c r="A655">
        <v>647</v>
      </c>
      <c r="B655" s="8"/>
      <c r="C655" s="5"/>
      <c r="D655" s="5"/>
      <c r="E655" s="5"/>
      <c r="F655" s="5"/>
      <c r="G655" s="6"/>
      <c r="H655" s="5"/>
    </row>
    <row r="656" spans="1:8" x14ac:dyDescent="0.45">
      <c r="A656">
        <v>648</v>
      </c>
      <c r="B656" s="8"/>
      <c r="C656" s="5"/>
      <c r="D656" s="5"/>
      <c r="E656" s="5"/>
      <c r="F656" s="5"/>
      <c r="G656" s="6"/>
      <c r="H656" s="5"/>
    </row>
    <row r="657" spans="1:8" x14ac:dyDescent="0.45">
      <c r="A657">
        <v>649</v>
      </c>
      <c r="B657" s="8"/>
      <c r="C657" s="5"/>
      <c r="D657" s="5"/>
      <c r="E657" s="5"/>
      <c r="F657" s="5"/>
      <c r="G657" s="6"/>
      <c r="H657" s="5"/>
    </row>
    <row r="658" spans="1:8" x14ac:dyDescent="0.45">
      <c r="A658">
        <v>650</v>
      </c>
      <c r="B658" s="8"/>
      <c r="C658" s="5"/>
      <c r="D658" s="5"/>
      <c r="E658" s="5"/>
      <c r="F658" s="5"/>
      <c r="G658" s="6"/>
      <c r="H658" s="5"/>
    </row>
    <row r="659" spans="1:8" x14ac:dyDescent="0.45">
      <c r="A659">
        <v>651</v>
      </c>
      <c r="B659" s="8"/>
      <c r="C659" s="5"/>
      <c r="D659" s="5"/>
      <c r="E659" s="5"/>
      <c r="F659" s="5"/>
      <c r="G659" s="6"/>
      <c r="H659" s="5"/>
    </row>
    <row r="660" spans="1:8" x14ac:dyDescent="0.45">
      <c r="A660">
        <v>652</v>
      </c>
      <c r="B660" s="8"/>
      <c r="C660" s="5"/>
      <c r="D660" s="5"/>
      <c r="E660" s="5"/>
      <c r="F660" s="5"/>
      <c r="G660" s="6"/>
      <c r="H660" s="5"/>
    </row>
    <row r="661" spans="1:8" x14ac:dyDescent="0.45">
      <c r="A661">
        <v>653</v>
      </c>
      <c r="B661" s="8"/>
      <c r="C661" s="5"/>
      <c r="D661" s="5"/>
      <c r="E661" s="5"/>
      <c r="F661" s="5"/>
      <c r="G661" s="6"/>
      <c r="H661" s="5"/>
    </row>
    <row r="662" spans="1:8" x14ac:dyDescent="0.45">
      <c r="A662">
        <v>654</v>
      </c>
      <c r="B662" s="8"/>
      <c r="C662" s="5"/>
      <c r="D662" s="5"/>
      <c r="E662" s="5"/>
      <c r="F662" s="5"/>
      <c r="G662" s="6"/>
      <c r="H662" s="5"/>
    </row>
    <row r="663" spans="1:8" x14ac:dyDescent="0.45">
      <c r="A663">
        <v>655</v>
      </c>
      <c r="B663" s="8"/>
      <c r="C663" s="5"/>
      <c r="D663" s="5"/>
      <c r="E663" s="5"/>
      <c r="F663" s="5"/>
      <c r="G663" s="6"/>
      <c r="H663" s="5"/>
    </row>
    <row r="664" spans="1:8" x14ac:dyDescent="0.45">
      <c r="A664">
        <v>656</v>
      </c>
      <c r="B664" s="8"/>
      <c r="C664" s="5"/>
      <c r="D664" s="5"/>
      <c r="E664" s="5"/>
      <c r="F664" s="5"/>
      <c r="G664" s="6"/>
      <c r="H664" s="5"/>
    </row>
    <row r="665" spans="1:8" x14ac:dyDescent="0.45">
      <c r="A665">
        <v>657</v>
      </c>
      <c r="B665" s="8"/>
      <c r="C665" s="5"/>
      <c r="D665" s="5"/>
      <c r="E665" s="5"/>
      <c r="F665" s="5"/>
      <c r="G665" s="6"/>
      <c r="H665" s="5"/>
    </row>
    <row r="666" spans="1:8" x14ac:dyDescent="0.45">
      <c r="A666">
        <v>658</v>
      </c>
      <c r="B666" s="8"/>
      <c r="C666" s="5"/>
      <c r="D666" s="5"/>
      <c r="E666" s="5"/>
      <c r="F666" s="5"/>
      <c r="G666" s="6"/>
      <c r="H666" s="5"/>
    </row>
    <row r="667" spans="1:8" x14ac:dyDescent="0.45">
      <c r="A667">
        <v>659</v>
      </c>
      <c r="B667" s="8"/>
      <c r="C667" s="5"/>
      <c r="D667" s="5"/>
      <c r="E667" s="5"/>
      <c r="F667" s="5"/>
      <c r="G667" s="6"/>
      <c r="H667" s="5"/>
    </row>
    <row r="668" spans="1:8" x14ac:dyDescent="0.45">
      <c r="A668">
        <v>660</v>
      </c>
      <c r="B668" s="8"/>
      <c r="C668" s="5"/>
      <c r="D668" s="5"/>
      <c r="E668" s="5"/>
      <c r="F668" s="5"/>
      <c r="G668" s="6"/>
      <c r="H668" s="5"/>
    </row>
    <row r="669" spans="1:8" x14ac:dyDescent="0.45">
      <c r="A669">
        <v>661</v>
      </c>
      <c r="B669" s="8"/>
      <c r="C669" s="5"/>
      <c r="D669" s="5"/>
      <c r="E669" s="5"/>
      <c r="F669" s="5"/>
      <c r="G669" s="6"/>
      <c r="H669" s="5"/>
    </row>
    <row r="670" spans="1:8" x14ac:dyDescent="0.45">
      <c r="A670">
        <v>662</v>
      </c>
      <c r="B670" s="8"/>
      <c r="C670" s="5"/>
      <c r="D670" s="5"/>
      <c r="E670" s="5"/>
      <c r="F670" s="5"/>
      <c r="G670" s="6"/>
      <c r="H670" s="5"/>
    </row>
    <row r="671" spans="1:8" x14ac:dyDescent="0.45">
      <c r="A671">
        <v>663</v>
      </c>
      <c r="B671" s="8"/>
      <c r="C671" s="5"/>
      <c r="D671" s="5"/>
      <c r="E671" s="5"/>
      <c r="F671" s="5"/>
      <c r="G671" s="6"/>
      <c r="H671" s="5"/>
    </row>
    <row r="672" spans="1:8" x14ac:dyDescent="0.45">
      <c r="A672">
        <v>664</v>
      </c>
      <c r="B672" s="8"/>
      <c r="C672" s="5"/>
      <c r="D672" s="5"/>
      <c r="E672" s="5"/>
      <c r="F672" s="5"/>
      <c r="G672" s="6"/>
      <c r="H672" s="5"/>
    </row>
    <row r="673" spans="1:8" x14ac:dyDescent="0.45">
      <c r="A673">
        <v>665</v>
      </c>
      <c r="B673" s="8"/>
      <c r="C673" s="5"/>
      <c r="D673" s="5"/>
      <c r="E673" s="5"/>
      <c r="F673" s="5"/>
      <c r="G673" s="6"/>
      <c r="H673" s="5"/>
    </row>
    <row r="674" spans="1:8" x14ac:dyDescent="0.45">
      <c r="A674">
        <v>666</v>
      </c>
      <c r="B674" s="8"/>
      <c r="C674" s="5"/>
      <c r="D674" s="5"/>
      <c r="E674" s="5"/>
      <c r="F674" s="5"/>
      <c r="G674" s="6"/>
      <c r="H674" s="5"/>
    </row>
    <row r="675" spans="1:8" x14ac:dyDescent="0.45">
      <c r="A675">
        <v>667</v>
      </c>
      <c r="B675" s="8"/>
      <c r="C675" s="5"/>
      <c r="D675" s="5"/>
      <c r="E675" s="5"/>
      <c r="F675" s="5"/>
      <c r="G675" s="6"/>
      <c r="H675" s="5"/>
    </row>
    <row r="676" spans="1:8" x14ac:dyDescent="0.45">
      <c r="A676">
        <v>668</v>
      </c>
      <c r="B676" s="8"/>
      <c r="C676" s="5"/>
      <c r="D676" s="5"/>
      <c r="E676" s="5"/>
      <c r="F676" s="5"/>
      <c r="G676" s="6"/>
      <c r="H676" s="5"/>
    </row>
    <row r="677" spans="1:8" x14ac:dyDescent="0.45">
      <c r="A677">
        <v>669</v>
      </c>
      <c r="B677" s="8"/>
      <c r="C677" s="5"/>
      <c r="D677" s="5"/>
      <c r="E677" s="5"/>
      <c r="F677" s="5"/>
      <c r="G677" s="6"/>
      <c r="H677" s="5"/>
    </row>
    <row r="678" spans="1:8" x14ac:dyDescent="0.45">
      <c r="A678">
        <v>670</v>
      </c>
      <c r="B678" s="8"/>
      <c r="C678" s="5"/>
      <c r="D678" s="5"/>
      <c r="E678" s="5"/>
      <c r="F678" s="5"/>
      <c r="G678" s="6"/>
      <c r="H678" s="5"/>
    </row>
    <row r="679" spans="1:8" x14ac:dyDescent="0.45">
      <c r="A679">
        <v>671</v>
      </c>
      <c r="B679" s="8"/>
      <c r="C679" s="5"/>
      <c r="D679" s="5"/>
      <c r="E679" s="5"/>
      <c r="F679" s="5"/>
      <c r="G679" s="6"/>
      <c r="H679" s="5"/>
    </row>
    <row r="680" spans="1:8" x14ac:dyDescent="0.45">
      <c r="A680">
        <v>672</v>
      </c>
      <c r="B680" s="8"/>
      <c r="C680" s="5"/>
      <c r="D680" s="5"/>
      <c r="E680" s="5"/>
      <c r="F680" s="5"/>
      <c r="G680" s="6"/>
      <c r="H680" s="5"/>
    </row>
    <row r="681" spans="1:8" x14ac:dyDescent="0.45">
      <c r="A681">
        <v>673</v>
      </c>
      <c r="B681" s="8"/>
      <c r="C681" s="5"/>
      <c r="D681" s="5"/>
      <c r="E681" s="5"/>
      <c r="F681" s="5"/>
      <c r="G681" s="6"/>
      <c r="H681" s="5"/>
    </row>
    <row r="682" spans="1:8" x14ac:dyDescent="0.45">
      <c r="A682">
        <v>674</v>
      </c>
      <c r="B682" s="8"/>
      <c r="C682" s="5"/>
      <c r="D682" s="5"/>
      <c r="E682" s="5"/>
      <c r="F682" s="5"/>
      <c r="G682" s="6"/>
      <c r="H682" s="5"/>
    </row>
    <row r="683" spans="1:8" x14ac:dyDescent="0.45">
      <c r="A683">
        <v>675</v>
      </c>
      <c r="B683" s="8"/>
      <c r="C683" s="5"/>
      <c r="D683" s="5"/>
      <c r="E683" s="5"/>
      <c r="F683" s="5"/>
      <c r="G683" s="6"/>
      <c r="H683" s="5"/>
    </row>
    <row r="684" spans="1:8" x14ac:dyDescent="0.45">
      <c r="A684">
        <v>676</v>
      </c>
      <c r="B684" s="8"/>
      <c r="C684" s="5"/>
      <c r="D684" s="5"/>
      <c r="E684" s="5"/>
      <c r="F684" s="5"/>
      <c r="G684" s="6"/>
      <c r="H684" s="5"/>
    </row>
    <row r="685" spans="1:8" x14ac:dyDescent="0.45">
      <c r="A685">
        <v>677</v>
      </c>
      <c r="B685" s="8"/>
      <c r="C685" s="5"/>
      <c r="D685" s="5"/>
      <c r="E685" s="5"/>
      <c r="F685" s="5"/>
      <c r="G685" s="6"/>
      <c r="H685" s="5"/>
    </row>
    <row r="686" spans="1:8" x14ac:dyDescent="0.45">
      <c r="A686">
        <v>678</v>
      </c>
      <c r="B686" s="8"/>
      <c r="C686" s="5"/>
      <c r="D686" s="5"/>
      <c r="E686" s="5"/>
      <c r="F686" s="5"/>
      <c r="G686" s="6"/>
      <c r="H686" s="5"/>
    </row>
    <row r="687" spans="1:8" x14ac:dyDescent="0.45">
      <c r="A687">
        <v>679</v>
      </c>
      <c r="B687" s="8"/>
      <c r="C687" s="5"/>
      <c r="D687" s="5"/>
      <c r="E687" s="5"/>
      <c r="F687" s="5"/>
      <c r="G687" s="6"/>
      <c r="H687" s="5"/>
    </row>
    <row r="688" spans="1:8" x14ac:dyDescent="0.45">
      <c r="A688">
        <v>680</v>
      </c>
      <c r="B688" s="8"/>
      <c r="C688" s="5"/>
      <c r="D688" s="5"/>
      <c r="E688" s="5"/>
      <c r="F688" s="5"/>
      <c r="G688" s="6"/>
      <c r="H688" s="5"/>
    </row>
    <row r="689" spans="1:8" x14ac:dyDescent="0.45">
      <c r="A689">
        <v>681</v>
      </c>
      <c r="B689" s="8"/>
      <c r="C689" s="5"/>
      <c r="D689" s="5"/>
      <c r="E689" s="5"/>
      <c r="F689" s="5"/>
      <c r="G689" s="6"/>
      <c r="H689" s="5"/>
    </row>
    <row r="690" spans="1:8" x14ac:dyDescent="0.45">
      <c r="A690">
        <v>682</v>
      </c>
      <c r="B690" s="8"/>
      <c r="C690" s="5"/>
      <c r="D690" s="5"/>
      <c r="E690" s="5"/>
      <c r="F690" s="5"/>
      <c r="G690" s="6"/>
      <c r="H690" s="5"/>
    </row>
    <row r="691" spans="1:8" x14ac:dyDescent="0.45">
      <c r="A691">
        <v>683</v>
      </c>
      <c r="B691" s="8"/>
      <c r="C691" s="5"/>
      <c r="D691" s="5"/>
      <c r="E691" s="5"/>
      <c r="F691" s="5"/>
      <c r="G691" s="6"/>
      <c r="H691" s="5"/>
    </row>
    <row r="692" spans="1:8" x14ac:dyDescent="0.45">
      <c r="A692">
        <v>684</v>
      </c>
      <c r="B692" s="8"/>
      <c r="C692" s="5"/>
      <c r="D692" s="5"/>
      <c r="E692" s="5"/>
      <c r="F692" s="5"/>
      <c r="G692" s="6"/>
      <c r="H692" s="5"/>
    </row>
    <row r="693" spans="1:8" x14ac:dyDescent="0.45">
      <c r="A693">
        <v>685</v>
      </c>
      <c r="B693" s="8"/>
      <c r="C693" s="5"/>
      <c r="D693" s="5"/>
      <c r="E693" s="5"/>
      <c r="F693" s="5"/>
      <c r="G693" s="6"/>
      <c r="H693" s="5"/>
    </row>
    <row r="694" spans="1:8" x14ac:dyDescent="0.45">
      <c r="A694">
        <v>686</v>
      </c>
      <c r="B694" s="8"/>
      <c r="C694" s="5"/>
      <c r="D694" s="5"/>
      <c r="E694" s="5"/>
      <c r="F694" s="5"/>
      <c r="G694" s="6"/>
      <c r="H694" s="5"/>
    </row>
    <row r="695" spans="1:8" x14ac:dyDescent="0.45">
      <c r="A695">
        <v>687</v>
      </c>
      <c r="B695" s="8"/>
      <c r="C695" s="5"/>
      <c r="D695" s="5"/>
      <c r="E695" s="5"/>
      <c r="F695" s="5"/>
      <c r="G695" s="6"/>
      <c r="H695" s="5"/>
    </row>
    <row r="696" spans="1:8" x14ac:dyDescent="0.45">
      <c r="A696">
        <v>688</v>
      </c>
      <c r="B696" s="8"/>
      <c r="C696" s="5"/>
      <c r="D696" s="5"/>
      <c r="E696" s="5"/>
      <c r="F696" s="5"/>
      <c r="G696" s="6"/>
      <c r="H696" s="5"/>
    </row>
    <row r="697" spans="1:8" x14ac:dyDescent="0.45">
      <c r="A697">
        <v>689</v>
      </c>
      <c r="B697" s="8"/>
      <c r="C697" s="5"/>
      <c r="D697" s="5"/>
      <c r="E697" s="5"/>
      <c r="F697" s="5"/>
      <c r="G697" s="6"/>
      <c r="H697" s="5"/>
    </row>
    <row r="698" spans="1:8" x14ac:dyDescent="0.45">
      <c r="A698">
        <v>690</v>
      </c>
      <c r="B698" s="8"/>
      <c r="C698" s="5"/>
      <c r="D698" s="5"/>
      <c r="E698" s="5"/>
      <c r="F698" s="5"/>
      <c r="G698" s="6"/>
      <c r="H698" s="5"/>
    </row>
    <row r="699" spans="1:8" x14ac:dyDescent="0.45">
      <c r="A699">
        <v>691</v>
      </c>
      <c r="B699" s="8"/>
      <c r="C699" s="5"/>
      <c r="D699" s="5"/>
      <c r="E699" s="5"/>
      <c r="F699" s="5"/>
      <c r="G699" s="6"/>
      <c r="H699" s="5"/>
    </row>
    <row r="700" spans="1:8" x14ac:dyDescent="0.45">
      <c r="A700">
        <v>692</v>
      </c>
      <c r="B700" s="8"/>
      <c r="C700" s="5"/>
      <c r="D700" s="5"/>
      <c r="E700" s="5"/>
      <c r="F700" s="5"/>
      <c r="G700" s="6"/>
      <c r="H700" s="5"/>
    </row>
    <row r="701" spans="1:8" x14ac:dyDescent="0.45">
      <c r="A701">
        <v>693</v>
      </c>
      <c r="B701" s="8"/>
      <c r="C701" s="5"/>
      <c r="D701" s="5"/>
      <c r="E701" s="5"/>
      <c r="F701" s="5"/>
      <c r="G701" s="6"/>
      <c r="H701" s="5"/>
    </row>
    <row r="702" spans="1:8" x14ac:dyDescent="0.45">
      <c r="A702">
        <v>694</v>
      </c>
      <c r="B702" s="8"/>
      <c r="C702" s="5"/>
      <c r="D702" s="5"/>
      <c r="E702" s="5"/>
      <c r="F702" s="5"/>
      <c r="G702" s="6"/>
      <c r="H702" s="5"/>
    </row>
    <row r="703" spans="1:8" x14ac:dyDescent="0.45">
      <c r="A703">
        <v>695</v>
      </c>
      <c r="B703" s="8"/>
      <c r="C703" s="5"/>
      <c r="D703" s="5"/>
      <c r="E703" s="5"/>
      <c r="F703" s="5"/>
      <c r="G703" s="6"/>
      <c r="H703" s="5"/>
    </row>
    <row r="704" spans="1:8" x14ac:dyDescent="0.45">
      <c r="A704">
        <v>696</v>
      </c>
      <c r="B704" s="8"/>
      <c r="C704" s="5"/>
      <c r="D704" s="5"/>
      <c r="E704" s="5"/>
      <c r="F704" s="5"/>
      <c r="G704" s="6"/>
      <c r="H704" s="5"/>
    </row>
    <row r="705" spans="1:8" x14ac:dyDescent="0.45">
      <c r="A705">
        <v>697</v>
      </c>
      <c r="B705" s="8"/>
      <c r="C705" s="5"/>
      <c r="D705" s="5"/>
      <c r="E705" s="5"/>
      <c r="F705" s="5"/>
      <c r="G705" s="6"/>
      <c r="H705" s="5"/>
    </row>
    <row r="706" spans="1:8" x14ac:dyDescent="0.45">
      <c r="A706">
        <v>698</v>
      </c>
      <c r="B706" s="8"/>
      <c r="C706" s="5"/>
      <c r="D706" s="5"/>
      <c r="E706" s="5"/>
      <c r="F706" s="5"/>
      <c r="G706" s="6"/>
      <c r="H706" s="5"/>
    </row>
    <row r="707" spans="1:8" x14ac:dyDescent="0.45">
      <c r="A707">
        <v>699</v>
      </c>
      <c r="B707" s="8"/>
      <c r="C707" s="5"/>
      <c r="D707" s="5"/>
      <c r="E707" s="5"/>
      <c r="F707" s="5"/>
      <c r="G707" s="6"/>
      <c r="H707" s="5"/>
    </row>
    <row r="708" spans="1:8" x14ac:dyDescent="0.45">
      <c r="A708">
        <v>700</v>
      </c>
      <c r="B708" s="8"/>
      <c r="C708" s="5"/>
      <c r="D708" s="5"/>
      <c r="E708" s="5"/>
      <c r="F708" s="5"/>
      <c r="G708" s="6"/>
      <c r="H708" s="5"/>
    </row>
    <row r="709" spans="1:8" x14ac:dyDescent="0.45">
      <c r="A709">
        <v>701</v>
      </c>
      <c r="B709" s="8"/>
      <c r="C709" s="5"/>
      <c r="D709" s="5"/>
      <c r="E709" s="5"/>
      <c r="F709" s="5"/>
      <c r="G709" s="6"/>
      <c r="H709" s="5"/>
    </row>
    <row r="710" spans="1:8" x14ac:dyDescent="0.45">
      <c r="A710">
        <v>702</v>
      </c>
      <c r="B710" s="8"/>
      <c r="C710" s="5"/>
      <c r="D710" s="5"/>
      <c r="E710" s="5"/>
      <c r="F710" s="5"/>
      <c r="G710" s="6"/>
      <c r="H710" s="5"/>
    </row>
    <row r="711" spans="1:8" x14ac:dyDescent="0.45">
      <c r="A711">
        <v>703</v>
      </c>
      <c r="B711" s="8"/>
      <c r="C711" s="5"/>
      <c r="D711" s="5"/>
      <c r="E711" s="5"/>
      <c r="F711" s="5"/>
      <c r="G711" s="6"/>
      <c r="H711" s="5"/>
    </row>
    <row r="712" spans="1:8" x14ac:dyDescent="0.45">
      <c r="A712">
        <v>704</v>
      </c>
      <c r="B712" s="8"/>
      <c r="C712" s="5"/>
      <c r="D712" s="5"/>
      <c r="E712" s="5"/>
      <c r="F712" s="5"/>
      <c r="G712" s="6"/>
      <c r="H712" s="5"/>
    </row>
    <row r="713" spans="1:8" x14ac:dyDescent="0.45">
      <c r="A713">
        <v>705</v>
      </c>
      <c r="B713" s="8"/>
      <c r="C713" s="5"/>
      <c r="D713" s="5"/>
      <c r="E713" s="5"/>
      <c r="F713" s="5"/>
      <c r="G713" s="6"/>
      <c r="H713" s="5"/>
    </row>
    <row r="714" spans="1:8" x14ac:dyDescent="0.45">
      <c r="A714">
        <v>706</v>
      </c>
      <c r="B714" s="8"/>
      <c r="C714" s="5"/>
      <c r="D714" s="5"/>
      <c r="E714" s="5"/>
      <c r="F714" s="5"/>
      <c r="G714" s="6"/>
      <c r="H714" s="5"/>
    </row>
    <row r="715" spans="1:8" x14ac:dyDescent="0.45">
      <c r="A715">
        <v>707</v>
      </c>
      <c r="B715" s="8"/>
      <c r="C715" s="5"/>
      <c r="D715" s="5"/>
      <c r="E715" s="5"/>
      <c r="F715" s="5"/>
      <c r="G715" s="6"/>
      <c r="H715" s="5"/>
    </row>
    <row r="716" spans="1:8" x14ac:dyDescent="0.45">
      <c r="A716">
        <v>708</v>
      </c>
      <c r="B716" s="8"/>
      <c r="C716" s="5"/>
      <c r="D716" s="5"/>
      <c r="E716" s="5"/>
      <c r="F716" s="5"/>
      <c r="G716" s="6"/>
      <c r="H716" s="5"/>
    </row>
    <row r="717" spans="1:8" x14ac:dyDescent="0.45">
      <c r="A717">
        <v>709</v>
      </c>
      <c r="B717" s="8"/>
      <c r="C717" s="5"/>
      <c r="D717" s="5"/>
      <c r="E717" s="5"/>
      <c r="F717" s="5"/>
      <c r="G717" s="6"/>
      <c r="H717" s="5"/>
    </row>
    <row r="718" spans="1:8" x14ac:dyDescent="0.45">
      <c r="A718">
        <v>710</v>
      </c>
      <c r="B718" s="8"/>
      <c r="C718" s="5"/>
      <c r="D718" s="5"/>
      <c r="E718" s="5"/>
      <c r="F718" s="5"/>
      <c r="G718" s="6"/>
      <c r="H718" s="5"/>
    </row>
    <row r="719" spans="1:8" x14ac:dyDescent="0.45">
      <c r="A719">
        <v>711</v>
      </c>
      <c r="B719" s="8"/>
      <c r="C719" s="5"/>
      <c r="D719" s="5"/>
      <c r="E719" s="5"/>
      <c r="F719" s="5"/>
      <c r="G719" s="6"/>
      <c r="H719" s="5"/>
    </row>
    <row r="720" spans="1:8" x14ac:dyDescent="0.45">
      <c r="A720">
        <v>712</v>
      </c>
      <c r="B720" s="8"/>
      <c r="C720" s="5"/>
      <c r="D720" s="5"/>
      <c r="E720" s="5"/>
      <c r="F720" s="5"/>
      <c r="G720" s="6"/>
      <c r="H720" s="5"/>
    </row>
    <row r="721" spans="1:8" x14ac:dyDescent="0.45">
      <c r="A721">
        <v>713</v>
      </c>
      <c r="B721" s="8"/>
      <c r="C721" s="5"/>
      <c r="D721" s="5"/>
      <c r="E721" s="5"/>
      <c r="F721" s="5"/>
      <c r="G721" s="6"/>
      <c r="H721" s="5"/>
    </row>
    <row r="722" spans="1:8" x14ac:dyDescent="0.45">
      <c r="A722">
        <v>714</v>
      </c>
      <c r="B722" s="8"/>
      <c r="C722" s="5"/>
      <c r="D722" s="5"/>
      <c r="E722" s="5"/>
      <c r="F722" s="5"/>
      <c r="G722" s="6"/>
      <c r="H722" s="5"/>
    </row>
    <row r="723" spans="1:8" x14ac:dyDescent="0.45">
      <c r="A723">
        <v>715</v>
      </c>
      <c r="B723" s="8"/>
      <c r="C723" s="5"/>
      <c r="D723" s="5"/>
      <c r="E723" s="5"/>
      <c r="F723" s="5"/>
      <c r="G723" s="6"/>
      <c r="H723" s="5"/>
    </row>
    <row r="724" spans="1:8" x14ac:dyDescent="0.45">
      <c r="A724">
        <v>716</v>
      </c>
      <c r="B724" s="8"/>
      <c r="C724" s="5"/>
      <c r="D724" s="5"/>
      <c r="E724" s="5"/>
      <c r="F724" s="5"/>
      <c r="G724" s="6"/>
      <c r="H724" s="5"/>
    </row>
    <row r="725" spans="1:8" x14ac:dyDescent="0.45">
      <c r="A725">
        <v>717</v>
      </c>
      <c r="B725" s="8"/>
      <c r="C725" s="5"/>
      <c r="D725" s="5"/>
      <c r="E725" s="5"/>
      <c r="F725" s="5"/>
      <c r="G725" s="6"/>
      <c r="H725" s="5"/>
    </row>
    <row r="726" spans="1:8" x14ac:dyDescent="0.45">
      <c r="A726">
        <v>718</v>
      </c>
      <c r="B726" s="8"/>
      <c r="C726" s="5"/>
      <c r="D726" s="5"/>
      <c r="E726" s="5"/>
      <c r="F726" s="5"/>
      <c r="G726" s="6"/>
      <c r="H726" s="5"/>
    </row>
    <row r="727" spans="1:8" x14ac:dyDescent="0.45">
      <c r="A727">
        <v>719</v>
      </c>
      <c r="B727" s="8"/>
      <c r="C727" s="5"/>
      <c r="D727" s="5"/>
      <c r="E727" s="5"/>
      <c r="F727" s="5"/>
      <c r="G727" s="6"/>
      <c r="H727" s="5"/>
    </row>
    <row r="728" spans="1:8" x14ac:dyDescent="0.45">
      <c r="A728">
        <v>720</v>
      </c>
      <c r="B728" s="8"/>
      <c r="C728" s="5"/>
      <c r="D728" s="5"/>
      <c r="E728" s="5"/>
      <c r="F728" s="5"/>
      <c r="G728" s="6"/>
      <c r="H728" s="5"/>
    </row>
    <row r="729" spans="1:8" x14ac:dyDescent="0.45">
      <c r="A729">
        <v>721</v>
      </c>
      <c r="B729" s="8"/>
      <c r="C729" s="5"/>
      <c r="D729" s="5"/>
      <c r="E729" s="5"/>
      <c r="F729" s="5"/>
      <c r="G729" s="6"/>
      <c r="H729" s="5"/>
    </row>
    <row r="730" spans="1:8" x14ac:dyDescent="0.45">
      <c r="A730">
        <v>722</v>
      </c>
      <c r="B730" s="8"/>
      <c r="C730" s="5"/>
      <c r="D730" s="5"/>
      <c r="E730" s="5"/>
      <c r="F730" s="5"/>
      <c r="G730" s="6"/>
      <c r="H730" s="5"/>
    </row>
    <row r="731" spans="1:8" x14ac:dyDescent="0.45">
      <c r="A731">
        <v>723</v>
      </c>
      <c r="B731" s="8"/>
      <c r="C731" s="5"/>
      <c r="D731" s="5"/>
      <c r="E731" s="5"/>
      <c r="F731" s="5"/>
      <c r="G731" s="6"/>
      <c r="H731" s="5"/>
    </row>
    <row r="732" spans="1:8" x14ac:dyDescent="0.45">
      <c r="A732">
        <v>724</v>
      </c>
      <c r="B732" s="8"/>
      <c r="C732" s="5"/>
      <c r="D732" s="5"/>
      <c r="E732" s="5"/>
      <c r="F732" s="5"/>
      <c r="G732" s="6"/>
      <c r="H732" s="5"/>
    </row>
    <row r="733" spans="1:8" x14ac:dyDescent="0.45">
      <c r="A733">
        <v>725</v>
      </c>
      <c r="B733" s="8"/>
      <c r="C733" s="5"/>
      <c r="D733" s="5"/>
      <c r="E733" s="5"/>
      <c r="F733" s="5"/>
      <c r="G733" s="6"/>
      <c r="H733" s="5"/>
    </row>
    <row r="734" spans="1:8" x14ac:dyDescent="0.45">
      <c r="A734">
        <v>726</v>
      </c>
      <c r="B734" s="8"/>
      <c r="C734" s="5"/>
      <c r="D734" s="5"/>
      <c r="E734" s="5"/>
      <c r="F734" s="5"/>
      <c r="G734" s="6"/>
      <c r="H734" s="5"/>
    </row>
    <row r="735" spans="1:8" x14ac:dyDescent="0.45">
      <c r="A735">
        <v>727</v>
      </c>
      <c r="B735" s="8"/>
      <c r="C735" s="5"/>
      <c r="D735" s="5"/>
      <c r="E735" s="5"/>
      <c r="F735" s="5"/>
      <c r="G735" s="6"/>
      <c r="H735" s="5"/>
    </row>
    <row r="736" spans="1:8" x14ac:dyDescent="0.45">
      <c r="A736">
        <v>728</v>
      </c>
      <c r="B736" s="8"/>
      <c r="C736" s="5"/>
      <c r="D736" s="5"/>
      <c r="E736" s="5"/>
      <c r="F736" s="5"/>
      <c r="G736" s="6"/>
      <c r="H736" s="5"/>
    </row>
    <row r="737" spans="1:8" x14ac:dyDescent="0.45">
      <c r="A737">
        <v>729</v>
      </c>
      <c r="B737" s="8"/>
      <c r="C737" s="5"/>
      <c r="D737" s="5"/>
      <c r="E737" s="5"/>
      <c r="F737" s="5"/>
      <c r="G737" s="6"/>
      <c r="H737" s="5"/>
    </row>
    <row r="738" spans="1:8" x14ac:dyDescent="0.45">
      <c r="A738">
        <v>730</v>
      </c>
      <c r="B738" s="8"/>
      <c r="C738" s="5"/>
      <c r="D738" s="5"/>
      <c r="E738" s="5"/>
      <c r="F738" s="5"/>
      <c r="G738" s="6"/>
      <c r="H738" s="5"/>
    </row>
    <row r="739" spans="1:8" x14ac:dyDescent="0.45">
      <c r="A739">
        <v>731</v>
      </c>
      <c r="B739" s="8"/>
      <c r="C739" s="5"/>
      <c r="D739" s="5"/>
      <c r="E739" s="5"/>
      <c r="F739" s="5"/>
      <c r="G739" s="6"/>
      <c r="H739" s="5"/>
    </row>
    <row r="740" spans="1:8" x14ac:dyDescent="0.45">
      <c r="A740">
        <v>732</v>
      </c>
      <c r="B740" s="8"/>
      <c r="C740" s="5"/>
      <c r="D740" s="5"/>
      <c r="E740" s="5"/>
      <c r="F740" s="5"/>
      <c r="G740" s="6"/>
      <c r="H740" s="5"/>
    </row>
    <row r="741" spans="1:8" x14ac:dyDescent="0.45">
      <c r="A741">
        <v>733</v>
      </c>
      <c r="B741" s="8"/>
      <c r="C741" s="5"/>
      <c r="D741" s="5"/>
      <c r="E741" s="5"/>
      <c r="F741" s="5"/>
      <c r="G741" s="6"/>
      <c r="H741" s="5"/>
    </row>
    <row r="742" spans="1:8" x14ac:dyDescent="0.45">
      <c r="A742">
        <v>734</v>
      </c>
      <c r="B742" s="8"/>
      <c r="C742" s="5"/>
      <c r="D742" s="5"/>
      <c r="E742" s="5"/>
      <c r="F742" s="5"/>
      <c r="G742" s="6"/>
      <c r="H742" s="5"/>
    </row>
    <row r="743" spans="1:8" x14ac:dyDescent="0.45">
      <c r="A743">
        <v>735</v>
      </c>
      <c r="B743" s="8"/>
      <c r="C743" s="5"/>
      <c r="D743" s="5"/>
      <c r="E743" s="5"/>
      <c r="F743" s="5"/>
      <c r="G743" s="6"/>
      <c r="H743" s="5"/>
    </row>
    <row r="744" spans="1:8" x14ac:dyDescent="0.45">
      <c r="A744">
        <v>736</v>
      </c>
      <c r="B744" s="8"/>
      <c r="C744" s="5"/>
      <c r="D744" s="5"/>
      <c r="E744" s="5"/>
      <c r="F744" s="5"/>
      <c r="G744" s="6"/>
      <c r="H744" s="5"/>
    </row>
    <row r="745" spans="1:8" x14ac:dyDescent="0.45">
      <c r="A745">
        <v>737</v>
      </c>
      <c r="B745" s="8"/>
      <c r="C745" s="5"/>
      <c r="D745" s="5"/>
      <c r="E745" s="5"/>
      <c r="F745" s="5"/>
      <c r="G745" s="6"/>
      <c r="H745" s="5"/>
    </row>
    <row r="746" spans="1:8" x14ac:dyDescent="0.45">
      <c r="A746">
        <v>738</v>
      </c>
      <c r="B746" s="8"/>
      <c r="C746" s="5"/>
      <c r="D746" s="5"/>
      <c r="E746" s="5"/>
      <c r="F746" s="5"/>
      <c r="G746" s="6"/>
      <c r="H746" s="5"/>
    </row>
    <row r="747" spans="1:8" x14ac:dyDescent="0.45">
      <c r="A747">
        <v>739</v>
      </c>
      <c r="B747" s="8"/>
      <c r="C747" s="5"/>
      <c r="D747" s="5"/>
      <c r="E747" s="5"/>
      <c r="F747" s="5"/>
      <c r="G747" s="6"/>
      <c r="H747" s="5"/>
    </row>
    <row r="748" spans="1:8" x14ac:dyDescent="0.45">
      <c r="A748">
        <v>740</v>
      </c>
      <c r="B748" s="8"/>
      <c r="C748" s="5"/>
      <c r="D748" s="5"/>
      <c r="E748" s="5"/>
      <c r="F748" s="5"/>
      <c r="G748" s="6"/>
      <c r="H748" s="5"/>
    </row>
    <row r="749" spans="1:8" x14ac:dyDescent="0.45">
      <c r="A749">
        <v>741</v>
      </c>
      <c r="B749" s="8"/>
      <c r="C749" s="5"/>
      <c r="D749" s="5"/>
      <c r="E749" s="5"/>
      <c r="F749" s="5"/>
      <c r="G749" s="6"/>
      <c r="H749" s="5"/>
    </row>
    <row r="750" spans="1:8" x14ac:dyDescent="0.45">
      <c r="A750">
        <v>742</v>
      </c>
      <c r="B750" s="8"/>
      <c r="C750" s="5"/>
      <c r="D750" s="5"/>
      <c r="E750" s="5"/>
      <c r="F750" s="5"/>
      <c r="G750" s="6"/>
      <c r="H750" s="5"/>
    </row>
    <row r="751" spans="1:8" x14ac:dyDescent="0.45">
      <c r="A751">
        <v>743</v>
      </c>
      <c r="B751" s="8"/>
      <c r="C751" s="5"/>
      <c r="D751" s="5"/>
      <c r="E751" s="5"/>
      <c r="F751" s="5"/>
      <c r="G751" s="6"/>
      <c r="H751" s="5"/>
    </row>
    <row r="752" spans="1:8" x14ac:dyDescent="0.45">
      <c r="A752">
        <v>744</v>
      </c>
      <c r="B752" s="8"/>
      <c r="C752" s="5"/>
      <c r="D752" s="5"/>
      <c r="E752" s="5"/>
      <c r="F752" s="5"/>
      <c r="G752" s="6"/>
      <c r="H752" s="5"/>
    </row>
    <row r="753" spans="1:8" x14ac:dyDescent="0.45">
      <c r="A753">
        <v>745</v>
      </c>
      <c r="B753" s="8"/>
      <c r="C753" s="5"/>
      <c r="D753" s="5"/>
      <c r="E753" s="5"/>
      <c r="F753" s="5"/>
      <c r="G753" s="6"/>
      <c r="H753" s="5"/>
    </row>
    <row r="754" spans="1:8" x14ac:dyDescent="0.45">
      <c r="A754">
        <v>746</v>
      </c>
      <c r="B754" s="8"/>
      <c r="C754" s="5"/>
      <c r="D754" s="5"/>
      <c r="E754" s="5"/>
      <c r="F754" s="5"/>
      <c r="G754" s="6"/>
      <c r="H754" s="5"/>
    </row>
    <row r="755" spans="1:8" x14ac:dyDescent="0.45">
      <c r="A755">
        <v>747</v>
      </c>
      <c r="B755" s="8"/>
      <c r="C755" s="5"/>
      <c r="D755" s="5"/>
      <c r="E755" s="5"/>
      <c r="F755" s="5"/>
      <c r="G755" s="6"/>
      <c r="H755" s="5"/>
    </row>
    <row r="756" spans="1:8" x14ac:dyDescent="0.45">
      <c r="A756">
        <v>748</v>
      </c>
      <c r="B756" s="8"/>
      <c r="C756" s="5"/>
      <c r="D756" s="5"/>
      <c r="E756" s="5"/>
      <c r="F756" s="5"/>
      <c r="G756" s="6"/>
      <c r="H756" s="5"/>
    </row>
    <row r="757" spans="1:8" x14ac:dyDescent="0.45">
      <c r="A757">
        <v>749</v>
      </c>
      <c r="B757" s="8"/>
      <c r="C757" s="5"/>
      <c r="D757" s="5"/>
      <c r="E757" s="5"/>
      <c r="F757" s="5"/>
      <c r="G757" s="6"/>
      <c r="H757" s="5"/>
    </row>
    <row r="758" spans="1:8" x14ac:dyDescent="0.45">
      <c r="A758">
        <v>750</v>
      </c>
      <c r="B758" s="8"/>
      <c r="C758" s="5"/>
      <c r="D758" s="5"/>
      <c r="E758" s="5"/>
      <c r="F758" s="5"/>
      <c r="G758" s="6"/>
      <c r="H758" s="5"/>
    </row>
    <row r="759" spans="1:8" x14ac:dyDescent="0.45">
      <c r="A759">
        <v>751</v>
      </c>
      <c r="B759" s="8"/>
      <c r="C759" s="5"/>
      <c r="D759" s="5"/>
      <c r="E759" s="5"/>
      <c r="F759" s="5"/>
      <c r="G759" s="6"/>
      <c r="H759" s="5"/>
    </row>
    <row r="760" spans="1:8" x14ac:dyDescent="0.45">
      <c r="A760">
        <v>752</v>
      </c>
      <c r="B760" s="8"/>
      <c r="C760" s="5"/>
      <c r="D760" s="5"/>
      <c r="E760" s="5"/>
      <c r="F760" s="5"/>
      <c r="G760" s="6"/>
      <c r="H760" s="5"/>
    </row>
    <row r="761" spans="1:8" x14ac:dyDescent="0.45">
      <c r="A761">
        <v>753</v>
      </c>
      <c r="B761" s="8"/>
      <c r="C761" s="5"/>
      <c r="D761" s="5"/>
      <c r="E761" s="5"/>
      <c r="F761" s="5"/>
      <c r="G761" s="6"/>
      <c r="H761" s="5"/>
    </row>
    <row r="762" spans="1:8" x14ac:dyDescent="0.45">
      <c r="A762">
        <v>754</v>
      </c>
      <c r="B762" s="8"/>
      <c r="C762" s="5"/>
      <c r="D762" s="5"/>
      <c r="E762" s="5"/>
      <c r="F762" s="5"/>
      <c r="G762" s="6"/>
      <c r="H762" s="5"/>
    </row>
    <row r="763" spans="1:8" x14ac:dyDescent="0.45">
      <c r="A763">
        <v>755</v>
      </c>
      <c r="B763" s="8"/>
      <c r="C763" s="5"/>
      <c r="D763" s="5"/>
      <c r="E763" s="5"/>
      <c r="F763" s="5"/>
      <c r="G763" s="6"/>
      <c r="H763" s="5"/>
    </row>
    <row r="764" spans="1:8" x14ac:dyDescent="0.45">
      <c r="A764">
        <v>756</v>
      </c>
      <c r="B764" s="8"/>
      <c r="C764" s="5"/>
      <c r="D764" s="5"/>
      <c r="E764" s="5"/>
      <c r="F764" s="5"/>
      <c r="G764" s="6"/>
      <c r="H764" s="5"/>
    </row>
    <row r="765" spans="1:8" x14ac:dyDescent="0.45">
      <c r="A765">
        <v>757</v>
      </c>
      <c r="B765" s="8"/>
      <c r="C765" s="5"/>
      <c r="D765" s="5"/>
      <c r="E765" s="5"/>
      <c r="F765" s="5"/>
      <c r="G765" s="6"/>
      <c r="H765" s="5"/>
    </row>
    <row r="766" spans="1:8" x14ac:dyDescent="0.45">
      <c r="A766">
        <v>758</v>
      </c>
      <c r="B766" s="8"/>
      <c r="C766" s="5"/>
      <c r="D766" s="5"/>
      <c r="E766" s="5"/>
      <c r="F766" s="5"/>
      <c r="G766" s="6"/>
      <c r="H766" s="5"/>
    </row>
    <row r="767" spans="1:8" x14ac:dyDescent="0.45">
      <c r="A767">
        <v>759</v>
      </c>
      <c r="B767" s="8"/>
      <c r="C767" s="5"/>
      <c r="D767" s="5"/>
      <c r="E767" s="5"/>
      <c r="F767" s="5"/>
      <c r="G767" s="6"/>
      <c r="H767" s="5"/>
    </row>
    <row r="768" spans="1:8" x14ac:dyDescent="0.45">
      <c r="A768">
        <v>760</v>
      </c>
      <c r="B768" s="8"/>
      <c r="C768" s="5"/>
      <c r="D768" s="5"/>
      <c r="E768" s="5"/>
      <c r="F768" s="5"/>
      <c r="G768" s="6"/>
      <c r="H768" s="5"/>
    </row>
    <row r="769" spans="1:8" x14ac:dyDescent="0.45">
      <c r="A769">
        <v>761</v>
      </c>
      <c r="B769" s="8"/>
      <c r="C769" s="5"/>
      <c r="D769" s="5"/>
      <c r="E769" s="5"/>
      <c r="F769" s="5"/>
      <c r="G769" s="6"/>
      <c r="H769" s="5"/>
    </row>
    <row r="770" spans="1:8" x14ac:dyDescent="0.45">
      <c r="A770">
        <v>762</v>
      </c>
      <c r="B770" s="8"/>
      <c r="C770" s="5"/>
      <c r="D770" s="5"/>
      <c r="E770" s="5"/>
      <c r="F770" s="5"/>
      <c r="G770" s="6"/>
      <c r="H770" s="5"/>
    </row>
    <row r="771" spans="1:8" x14ac:dyDescent="0.45">
      <c r="A771">
        <v>763</v>
      </c>
      <c r="B771" s="8"/>
      <c r="C771" s="5"/>
      <c r="D771" s="5"/>
      <c r="E771" s="5"/>
      <c r="F771" s="5"/>
      <c r="G771" s="6"/>
      <c r="H771" s="5"/>
    </row>
    <row r="772" spans="1:8" x14ac:dyDescent="0.45">
      <c r="A772">
        <v>764</v>
      </c>
      <c r="B772" s="8"/>
      <c r="C772" s="5"/>
      <c r="D772" s="5"/>
      <c r="E772" s="5"/>
      <c r="F772" s="5"/>
      <c r="G772" s="6"/>
      <c r="H772" s="5"/>
    </row>
    <row r="773" spans="1:8" x14ac:dyDescent="0.45">
      <c r="A773">
        <v>765</v>
      </c>
      <c r="B773" s="8"/>
      <c r="C773" s="5"/>
      <c r="D773" s="5"/>
      <c r="E773" s="5"/>
      <c r="F773" s="5"/>
      <c r="G773" s="6"/>
      <c r="H773" s="5"/>
    </row>
    <row r="774" spans="1:8" x14ac:dyDescent="0.45">
      <c r="A774">
        <v>766</v>
      </c>
      <c r="B774" s="8"/>
      <c r="C774" s="5"/>
      <c r="D774" s="5"/>
      <c r="E774" s="5"/>
      <c r="F774" s="5"/>
      <c r="G774" s="6"/>
      <c r="H774" s="5"/>
    </row>
    <row r="775" spans="1:8" x14ac:dyDescent="0.45">
      <c r="A775">
        <v>767</v>
      </c>
      <c r="B775" s="8"/>
      <c r="C775" s="5"/>
      <c r="D775" s="5"/>
      <c r="E775" s="5"/>
      <c r="F775" s="5"/>
      <c r="G775" s="6"/>
      <c r="H775" s="5"/>
    </row>
    <row r="776" spans="1:8" x14ac:dyDescent="0.45">
      <c r="A776">
        <v>768</v>
      </c>
      <c r="B776" s="8"/>
      <c r="C776" s="5"/>
      <c r="D776" s="5"/>
      <c r="E776" s="5"/>
      <c r="F776" s="5"/>
      <c r="G776" s="6"/>
      <c r="H776" s="5"/>
    </row>
    <row r="777" spans="1:8" x14ac:dyDescent="0.45">
      <c r="A777">
        <v>769</v>
      </c>
      <c r="B777" s="8"/>
      <c r="C777" s="5"/>
      <c r="D777" s="5"/>
      <c r="E777" s="5"/>
      <c r="F777" s="5"/>
      <c r="G777" s="6"/>
      <c r="H777" s="5"/>
    </row>
    <row r="778" spans="1:8" x14ac:dyDescent="0.45">
      <c r="A778">
        <v>770</v>
      </c>
      <c r="B778" s="8"/>
      <c r="C778" s="5"/>
      <c r="D778" s="5"/>
      <c r="E778" s="5"/>
      <c r="F778" s="5"/>
      <c r="G778" s="6"/>
      <c r="H778" s="5"/>
    </row>
    <row r="779" spans="1:8" x14ac:dyDescent="0.45">
      <c r="A779">
        <v>771</v>
      </c>
      <c r="B779" s="8"/>
      <c r="C779" s="5"/>
      <c r="D779" s="5"/>
      <c r="E779" s="5"/>
      <c r="F779" s="5"/>
      <c r="G779" s="6"/>
      <c r="H779" s="5"/>
    </row>
    <row r="780" spans="1:8" x14ac:dyDescent="0.45">
      <c r="A780">
        <v>772</v>
      </c>
      <c r="B780" s="8"/>
      <c r="C780" s="5"/>
      <c r="D780" s="5"/>
      <c r="E780" s="5"/>
      <c r="F780" s="5"/>
      <c r="G780" s="6"/>
      <c r="H780" s="5"/>
    </row>
    <row r="781" spans="1:8" x14ac:dyDescent="0.45">
      <c r="A781">
        <v>773</v>
      </c>
      <c r="B781" s="8"/>
      <c r="C781" s="5"/>
      <c r="D781" s="5"/>
      <c r="E781" s="5"/>
      <c r="F781" s="5"/>
      <c r="G781" s="6"/>
      <c r="H781" s="5"/>
    </row>
    <row r="782" spans="1:8" x14ac:dyDescent="0.45">
      <c r="A782">
        <v>774</v>
      </c>
      <c r="B782" s="8"/>
      <c r="C782" s="5"/>
      <c r="D782" s="5"/>
      <c r="E782" s="5"/>
      <c r="F782" s="5"/>
      <c r="G782" s="6"/>
      <c r="H782" s="5"/>
    </row>
    <row r="783" spans="1:8" x14ac:dyDescent="0.45">
      <c r="A783">
        <v>775</v>
      </c>
      <c r="B783" s="8"/>
      <c r="C783" s="5"/>
      <c r="D783" s="5"/>
      <c r="E783" s="5"/>
      <c r="F783" s="5"/>
      <c r="G783" s="6"/>
      <c r="H783" s="5"/>
    </row>
    <row r="784" spans="1:8" x14ac:dyDescent="0.45">
      <c r="A784">
        <v>776</v>
      </c>
      <c r="B784" s="8"/>
      <c r="C784" s="5"/>
      <c r="D784" s="5"/>
      <c r="E784" s="5"/>
      <c r="F784" s="5"/>
      <c r="G784" s="6"/>
      <c r="H784" s="5"/>
    </row>
    <row r="785" spans="1:8" x14ac:dyDescent="0.45">
      <c r="A785">
        <v>777</v>
      </c>
      <c r="B785" s="8"/>
      <c r="C785" s="5"/>
      <c r="D785" s="5"/>
      <c r="E785" s="5"/>
      <c r="F785" s="5"/>
      <c r="G785" s="6"/>
      <c r="H785" s="5"/>
    </row>
    <row r="786" spans="1:8" x14ac:dyDescent="0.45">
      <c r="A786">
        <v>778</v>
      </c>
      <c r="B786" s="8"/>
      <c r="C786" s="5"/>
      <c r="D786" s="5"/>
      <c r="E786" s="5"/>
      <c r="F786" s="5"/>
      <c r="G786" s="6"/>
      <c r="H786" s="5"/>
    </row>
    <row r="787" spans="1:8" x14ac:dyDescent="0.45">
      <c r="A787">
        <v>779</v>
      </c>
      <c r="B787" s="8"/>
      <c r="C787" s="5"/>
      <c r="D787" s="5"/>
      <c r="E787" s="5"/>
      <c r="F787" s="5"/>
      <c r="G787" s="6"/>
      <c r="H787" s="5"/>
    </row>
    <row r="788" spans="1:8" x14ac:dyDescent="0.45">
      <c r="A788">
        <v>780</v>
      </c>
      <c r="B788" s="8"/>
      <c r="C788" s="5"/>
      <c r="D788" s="5"/>
      <c r="E788" s="5"/>
      <c r="F788" s="5"/>
      <c r="G788" s="6"/>
      <c r="H788" s="5"/>
    </row>
    <row r="789" spans="1:8" x14ac:dyDescent="0.45">
      <c r="A789">
        <v>781</v>
      </c>
      <c r="B789" s="8"/>
      <c r="C789" s="5"/>
      <c r="D789" s="5"/>
      <c r="E789" s="5"/>
      <c r="F789" s="5"/>
      <c r="G789" s="6"/>
      <c r="H789" s="5"/>
    </row>
    <row r="790" spans="1:8" x14ac:dyDescent="0.45">
      <c r="A790">
        <v>782</v>
      </c>
      <c r="B790" s="8"/>
      <c r="C790" s="5"/>
      <c r="D790" s="5"/>
      <c r="E790" s="5"/>
      <c r="F790" s="5"/>
      <c r="G790" s="6"/>
      <c r="H790" s="5"/>
    </row>
    <row r="791" spans="1:8" x14ac:dyDescent="0.45">
      <c r="A791">
        <v>783</v>
      </c>
      <c r="B791" s="8"/>
      <c r="C791" s="5"/>
      <c r="D791" s="5"/>
      <c r="E791" s="5"/>
      <c r="F791" s="5"/>
      <c r="G791" s="6"/>
      <c r="H791" s="5"/>
    </row>
    <row r="792" spans="1:8" x14ac:dyDescent="0.45">
      <c r="A792">
        <v>784</v>
      </c>
      <c r="B792" s="8"/>
      <c r="C792" s="5"/>
      <c r="D792" s="5"/>
      <c r="E792" s="5"/>
      <c r="F792" s="5"/>
      <c r="G792" s="6"/>
      <c r="H792" s="5"/>
    </row>
    <row r="793" spans="1:8" x14ac:dyDescent="0.45">
      <c r="A793">
        <v>785</v>
      </c>
      <c r="B793" s="8"/>
      <c r="C793" s="5"/>
      <c r="D793" s="5"/>
      <c r="E793" s="5"/>
      <c r="F793" s="5"/>
      <c r="G793" s="6"/>
      <c r="H793" s="5"/>
    </row>
    <row r="794" spans="1:8" x14ac:dyDescent="0.45">
      <c r="A794">
        <v>786</v>
      </c>
      <c r="B794" s="8"/>
      <c r="C794" s="5"/>
      <c r="D794" s="5"/>
      <c r="E794" s="5"/>
      <c r="F794" s="5"/>
      <c r="G794" s="6"/>
      <c r="H794" s="5"/>
    </row>
    <row r="795" spans="1:8" x14ac:dyDescent="0.45">
      <c r="A795">
        <v>787</v>
      </c>
      <c r="B795" s="8"/>
      <c r="C795" s="5"/>
      <c r="D795" s="5"/>
      <c r="E795" s="5"/>
      <c r="F795" s="5"/>
      <c r="G795" s="6"/>
      <c r="H795" s="5"/>
    </row>
    <row r="796" spans="1:8" x14ac:dyDescent="0.45">
      <c r="A796">
        <v>788</v>
      </c>
      <c r="B796" s="8"/>
      <c r="C796" s="5"/>
      <c r="D796" s="5"/>
      <c r="E796" s="5"/>
      <c r="F796" s="5"/>
      <c r="G796" s="6"/>
      <c r="H796" s="5"/>
    </row>
    <row r="797" spans="1:8" x14ac:dyDescent="0.45">
      <c r="A797">
        <v>789</v>
      </c>
      <c r="B797" s="8"/>
      <c r="C797" s="5"/>
      <c r="D797" s="5"/>
      <c r="E797" s="5"/>
      <c r="F797" s="5"/>
      <c r="G797" s="6"/>
      <c r="H797" s="5"/>
    </row>
    <row r="798" spans="1:8" x14ac:dyDescent="0.45">
      <c r="A798">
        <v>790</v>
      </c>
      <c r="B798" s="8"/>
      <c r="C798" s="5"/>
      <c r="D798" s="5"/>
      <c r="E798" s="5"/>
      <c r="F798" s="5"/>
      <c r="G798" s="6"/>
      <c r="H798" s="5"/>
    </row>
    <row r="799" spans="1:8" x14ac:dyDescent="0.45">
      <c r="A799">
        <v>791</v>
      </c>
      <c r="B799" s="8"/>
      <c r="C799" s="5"/>
      <c r="D799" s="5"/>
      <c r="E799" s="5"/>
      <c r="F799" s="5"/>
      <c r="G799" s="6"/>
      <c r="H799" s="5"/>
    </row>
    <row r="800" spans="1:8" x14ac:dyDescent="0.45">
      <c r="A800">
        <v>792</v>
      </c>
      <c r="B800" s="8"/>
      <c r="C800" s="5"/>
      <c r="D800" s="5"/>
      <c r="E800" s="5"/>
      <c r="F800" s="5"/>
      <c r="G800" s="6"/>
      <c r="H800" s="5"/>
    </row>
    <row r="801" spans="1:8" x14ac:dyDescent="0.45">
      <c r="A801">
        <v>793</v>
      </c>
      <c r="B801" s="8"/>
      <c r="C801" s="5"/>
      <c r="D801" s="5"/>
      <c r="E801" s="5"/>
      <c r="F801" s="5"/>
      <c r="G801" s="6"/>
      <c r="H801" s="5"/>
    </row>
    <row r="802" spans="1:8" x14ac:dyDescent="0.45">
      <c r="A802">
        <v>794</v>
      </c>
      <c r="B802" s="8"/>
      <c r="C802" s="5"/>
      <c r="D802" s="5"/>
      <c r="E802" s="5"/>
      <c r="F802" s="5"/>
      <c r="G802" s="6"/>
      <c r="H802" s="5"/>
    </row>
    <row r="803" spans="1:8" x14ac:dyDescent="0.45">
      <c r="A803">
        <v>795</v>
      </c>
      <c r="B803" s="8"/>
      <c r="C803" s="5"/>
      <c r="D803" s="5"/>
      <c r="E803" s="5"/>
      <c r="F803" s="5"/>
      <c r="G803" s="6"/>
      <c r="H803" s="5"/>
    </row>
    <row r="804" spans="1:8" x14ac:dyDescent="0.45">
      <c r="A804">
        <v>796</v>
      </c>
      <c r="B804" s="8"/>
      <c r="C804" s="5"/>
      <c r="D804" s="5"/>
      <c r="E804" s="5"/>
      <c r="F804" s="5"/>
      <c r="G804" s="6"/>
      <c r="H804" s="5"/>
    </row>
    <row r="805" spans="1:8" x14ac:dyDescent="0.45">
      <c r="A805">
        <v>797</v>
      </c>
      <c r="B805" s="8"/>
      <c r="C805" s="5"/>
      <c r="D805" s="5"/>
      <c r="E805" s="5"/>
      <c r="F805" s="5"/>
      <c r="G805" s="6"/>
      <c r="H805" s="5"/>
    </row>
    <row r="806" spans="1:8" x14ac:dyDescent="0.45">
      <c r="A806">
        <v>798</v>
      </c>
      <c r="B806" s="8"/>
      <c r="C806" s="5"/>
      <c r="D806" s="5"/>
      <c r="E806" s="5"/>
      <c r="F806" s="5"/>
      <c r="G806" s="6"/>
      <c r="H806" s="5"/>
    </row>
    <row r="807" spans="1:8" x14ac:dyDescent="0.45">
      <c r="A807">
        <v>799</v>
      </c>
      <c r="B807" s="8"/>
      <c r="C807" s="5"/>
      <c r="D807" s="5"/>
      <c r="E807" s="5"/>
      <c r="F807" s="5"/>
      <c r="G807" s="6"/>
      <c r="H807" s="5"/>
    </row>
    <row r="808" spans="1:8" x14ac:dyDescent="0.45">
      <c r="A808">
        <v>800</v>
      </c>
      <c r="B808" s="8"/>
      <c r="C808" s="5"/>
      <c r="D808" s="5"/>
      <c r="E808" s="5"/>
      <c r="F808" s="5"/>
      <c r="G808" s="6"/>
      <c r="H808" s="5"/>
    </row>
    <row r="809" spans="1:8" x14ac:dyDescent="0.45">
      <c r="A809">
        <v>801</v>
      </c>
      <c r="B809" s="8"/>
      <c r="C809" s="5"/>
      <c r="D809" s="5"/>
      <c r="E809" s="5"/>
      <c r="F809" s="5"/>
      <c r="G809" s="6"/>
      <c r="H809" s="5"/>
    </row>
    <row r="810" spans="1:8" x14ac:dyDescent="0.45">
      <c r="A810">
        <v>802</v>
      </c>
      <c r="B810" s="8"/>
      <c r="C810" s="5"/>
      <c r="D810" s="5"/>
      <c r="E810" s="5"/>
      <c r="F810" s="5"/>
      <c r="G810" s="6"/>
      <c r="H810" s="5"/>
    </row>
    <row r="811" spans="1:8" x14ac:dyDescent="0.45">
      <c r="A811">
        <v>803</v>
      </c>
      <c r="B811" s="8"/>
      <c r="C811" s="5"/>
      <c r="D811" s="5"/>
      <c r="E811" s="5"/>
      <c r="F811" s="5"/>
      <c r="G811" s="6"/>
      <c r="H811" s="5"/>
    </row>
    <row r="812" spans="1:8" x14ac:dyDescent="0.45">
      <c r="A812">
        <v>804</v>
      </c>
      <c r="B812" s="8"/>
      <c r="C812" s="5"/>
      <c r="D812" s="5"/>
      <c r="E812" s="5"/>
      <c r="F812" s="5"/>
      <c r="G812" s="6"/>
      <c r="H812" s="5"/>
    </row>
    <row r="813" spans="1:8" x14ac:dyDescent="0.45">
      <c r="A813">
        <v>805</v>
      </c>
      <c r="B813" s="8"/>
      <c r="C813" s="5"/>
      <c r="D813" s="5"/>
      <c r="E813" s="5"/>
      <c r="F813" s="5"/>
      <c r="G813" s="6"/>
      <c r="H813" s="5"/>
    </row>
    <row r="814" spans="1:8" x14ac:dyDescent="0.45">
      <c r="A814">
        <v>806</v>
      </c>
      <c r="B814" s="8"/>
      <c r="C814" s="5"/>
      <c r="D814" s="5"/>
      <c r="E814" s="5"/>
      <c r="F814" s="5"/>
      <c r="G814" s="6"/>
      <c r="H814" s="5"/>
    </row>
    <row r="815" spans="1:8" x14ac:dyDescent="0.45">
      <c r="A815">
        <v>807</v>
      </c>
      <c r="B815" s="8"/>
      <c r="C815" s="5"/>
      <c r="D815" s="5"/>
      <c r="E815" s="5"/>
      <c r="F815" s="5"/>
      <c r="G815" s="6"/>
      <c r="H815" s="5"/>
    </row>
    <row r="816" spans="1:8" x14ac:dyDescent="0.45">
      <c r="A816">
        <v>808</v>
      </c>
      <c r="B816" s="8"/>
      <c r="C816" s="5"/>
      <c r="D816" s="5"/>
      <c r="E816" s="5"/>
      <c r="F816" s="5"/>
      <c r="G816" s="6"/>
      <c r="H816" s="5"/>
    </row>
    <row r="817" spans="1:8" x14ac:dyDescent="0.45">
      <c r="A817">
        <v>809</v>
      </c>
      <c r="B817" s="8"/>
      <c r="C817" s="5"/>
      <c r="D817" s="5"/>
      <c r="E817" s="5"/>
      <c r="F817" s="5"/>
      <c r="G817" s="6"/>
      <c r="H817" s="5"/>
    </row>
    <row r="818" spans="1:8" x14ac:dyDescent="0.45">
      <c r="A818">
        <v>810</v>
      </c>
      <c r="B818" s="8"/>
      <c r="C818" s="5"/>
      <c r="D818" s="5"/>
      <c r="E818" s="5"/>
      <c r="F818" s="5"/>
      <c r="G818" s="6"/>
      <c r="H818" s="5"/>
    </row>
    <row r="819" spans="1:8" x14ac:dyDescent="0.45">
      <c r="A819">
        <v>811</v>
      </c>
      <c r="B819" s="8"/>
      <c r="C819" s="5"/>
      <c r="D819" s="5"/>
      <c r="E819" s="5"/>
      <c r="F819" s="5"/>
      <c r="G819" s="6"/>
      <c r="H819" s="5"/>
    </row>
    <row r="820" spans="1:8" x14ac:dyDescent="0.45">
      <c r="A820">
        <v>812</v>
      </c>
      <c r="B820" s="8"/>
      <c r="C820" s="5"/>
      <c r="D820" s="5"/>
      <c r="E820" s="5"/>
      <c r="F820" s="5"/>
      <c r="G820" s="6"/>
      <c r="H820" s="5"/>
    </row>
    <row r="821" spans="1:8" x14ac:dyDescent="0.45">
      <c r="A821">
        <v>813</v>
      </c>
      <c r="B821" s="8"/>
      <c r="C821" s="5"/>
      <c r="D821" s="5"/>
      <c r="E821" s="5"/>
      <c r="F821" s="5"/>
      <c r="G821" s="6"/>
      <c r="H821" s="5"/>
    </row>
    <row r="822" spans="1:8" x14ac:dyDescent="0.45">
      <c r="A822">
        <v>814</v>
      </c>
      <c r="B822" s="8"/>
      <c r="C822" s="5"/>
      <c r="D822" s="5"/>
      <c r="E822" s="5"/>
      <c r="F822" s="5"/>
      <c r="G822" s="6"/>
      <c r="H822" s="5"/>
    </row>
    <row r="823" spans="1:8" x14ac:dyDescent="0.45">
      <c r="A823">
        <v>815</v>
      </c>
      <c r="B823" s="8"/>
      <c r="C823" s="5"/>
      <c r="D823" s="5"/>
      <c r="E823" s="5"/>
      <c r="F823" s="5"/>
      <c r="G823" s="6"/>
      <c r="H823" s="5"/>
    </row>
    <row r="824" spans="1:8" x14ac:dyDescent="0.45">
      <c r="A824">
        <v>816</v>
      </c>
      <c r="B824" s="8"/>
      <c r="C824" s="5"/>
      <c r="D824" s="5"/>
      <c r="E824" s="5"/>
      <c r="F824" s="5"/>
      <c r="G824" s="6"/>
      <c r="H824" s="5"/>
    </row>
    <row r="825" spans="1:8" x14ac:dyDescent="0.45">
      <c r="A825">
        <v>817</v>
      </c>
      <c r="B825" s="8"/>
      <c r="C825" s="5"/>
      <c r="D825" s="5"/>
      <c r="E825" s="5"/>
      <c r="F825" s="5"/>
      <c r="G825" s="6"/>
      <c r="H825" s="5"/>
    </row>
    <row r="826" spans="1:8" x14ac:dyDescent="0.45">
      <c r="A826">
        <v>818</v>
      </c>
      <c r="B826" s="8"/>
      <c r="C826" s="5"/>
      <c r="D826" s="5"/>
      <c r="E826" s="5"/>
      <c r="F826" s="5"/>
      <c r="G826" s="6"/>
      <c r="H826" s="5"/>
    </row>
    <row r="827" spans="1:8" x14ac:dyDescent="0.45">
      <c r="A827">
        <v>819</v>
      </c>
      <c r="B827" s="8"/>
      <c r="C827" s="5"/>
      <c r="D827" s="5"/>
      <c r="E827" s="5"/>
      <c r="F827" s="5"/>
      <c r="G827" s="6"/>
      <c r="H827" s="5"/>
    </row>
    <row r="828" spans="1:8" x14ac:dyDescent="0.45">
      <c r="A828">
        <v>820</v>
      </c>
      <c r="B828" s="8"/>
      <c r="C828" s="5"/>
      <c r="D828" s="5"/>
      <c r="E828" s="5"/>
      <c r="F828" s="5"/>
      <c r="G828" s="6"/>
      <c r="H828" s="5"/>
    </row>
    <row r="829" spans="1:8" x14ac:dyDescent="0.45">
      <c r="A829">
        <v>821</v>
      </c>
      <c r="B829" s="8"/>
      <c r="C829" s="5"/>
      <c r="D829" s="5"/>
      <c r="E829" s="5"/>
      <c r="F829" s="5"/>
      <c r="G829" s="6"/>
      <c r="H829" s="5"/>
    </row>
    <row r="830" spans="1:8" x14ac:dyDescent="0.45">
      <c r="A830">
        <v>822</v>
      </c>
      <c r="B830" s="8"/>
      <c r="C830" s="5"/>
      <c r="D830" s="5"/>
      <c r="E830" s="5"/>
      <c r="F830" s="5"/>
      <c r="G830" s="6"/>
      <c r="H830" s="5"/>
    </row>
    <row r="831" spans="1:8" x14ac:dyDescent="0.45">
      <c r="A831">
        <v>823</v>
      </c>
      <c r="B831" s="8"/>
      <c r="C831" s="5"/>
      <c r="D831" s="5"/>
      <c r="E831" s="5"/>
      <c r="F831" s="5"/>
      <c r="G831" s="6"/>
      <c r="H831" s="5"/>
    </row>
    <row r="832" spans="1:8" x14ac:dyDescent="0.45">
      <c r="A832">
        <v>824</v>
      </c>
      <c r="B832" s="8"/>
      <c r="C832" s="5"/>
      <c r="D832" s="5"/>
      <c r="E832" s="5"/>
      <c r="F832" s="5"/>
      <c r="G832" s="6"/>
      <c r="H832" s="5"/>
    </row>
    <row r="833" spans="1:8" x14ac:dyDescent="0.45">
      <c r="A833">
        <v>825</v>
      </c>
      <c r="B833" s="8"/>
      <c r="C833" s="5"/>
      <c r="D833" s="5"/>
      <c r="E833" s="5"/>
      <c r="F833" s="5"/>
      <c r="G833" s="6"/>
      <c r="H833" s="5"/>
    </row>
    <row r="834" spans="1:8" x14ac:dyDescent="0.45">
      <c r="A834">
        <v>826</v>
      </c>
      <c r="B834" s="8"/>
      <c r="C834" s="5"/>
      <c r="D834" s="5"/>
      <c r="E834" s="5"/>
      <c r="F834" s="5"/>
      <c r="G834" s="6"/>
      <c r="H834" s="5"/>
    </row>
    <row r="835" spans="1:8" x14ac:dyDescent="0.45">
      <c r="A835">
        <v>827</v>
      </c>
      <c r="B835" s="8"/>
      <c r="C835" s="5"/>
      <c r="D835" s="5"/>
      <c r="E835" s="5"/>
      <c r="F835" s="5"/>
      <c r="G835" s="6"/>
      <c r="H835" s="5"/>
    </row>
    <row r="836" spans="1:8" x14ac:dyDescent="0.45">
      <c r="A836">
        <v>828</v>
      </c>
      <c r="B836" s="8"/>
      <c r="C836" s="5"/>
      <c r="D836" s="5"/>
      <c r="E836" s="5"/>
      <c r="F836" s="5"/>
      <c r="G836" s="6"/>
      <c r="H836" s="5"/>
    </row>
    <row r="837" spans="1:8" x14ac:dyDescent="0.45">
      <c r="A837">
        <v>829</v>
      </c>
      <c r="B837" s="8"/>
      <c r="C837" s="5"/>
      <c r="D837" s="5"/>
      <c r="E837" s="5"/>
      <c r="F837" s="5"/>
      <c r="G837" s="6"/>
      <c r="H837" s="5"/>
    </row>
    <row r="838" spans="1:8" x14ac:dyDescent="0.45">
      <c r="A838">
        <v>830</v>
      </c>
      <c r="B838" s="8"/>
      <c r="C838" s="5"/>
      <c r="D838" s="5"/>
      <c r="E838" s="5"/>
      <c r="F838" s="5"/>
      <c r="G838" s="6"/>
      <c r="H838" s="5"/>
    </row>
    <row r="839" spans="1:8" x14ac:dyDescent="0.45">
      <c r="A839">
        <v>831</v>
      </c>
      <c r="B839" s="8"/>
      <c r="C839" s="5"/>
      <c r="D839" s="5"/>
      <c r="E839" s="5"/>
      <c r="F839" s="5"/>
      <c r="G839" s="6"/>
      <c r="H839" s="5"/>
    </row>
    <row r="840" spans="1:8" x14ac:dyDescent="0.45">
      <c r="A840">
        <v>832</v>
      </c>
      <c r="B840" s="8"/>
      <c r="C840" s="5"/>
      <c r="D840" s="5"/>
      <c r="E840" s="5"/>
      <c r="F840" s="5"/>
      <c r="G840" s="6"/>
      <c r="H840" s="5"/>
    </row>
    <row r="841" spans="1:8" x14ac:dyDescent="0.45">
      <c r="A841">
        <v>833</v>
      </c>
      <c r="B841" s="8"/>
      <c r="C841" s="5"/>
      <c r="D841" s="5"/>
      <c r="E841" s="5"/>
      <c r="F841" s="5"/>
      <c r="G841" s="6"/>
      <c r="H841" s="5"/>
    </row>
    <row r="842" spans="1:8" x14ac:dyDescent="0.45">
      <c r="A842">
        <v>834</v>
      </c>
      <c r="B842" s="8"/>
      <c r="C842" s="5"/>
      <c r="D842" s="5"/>
      <c r="E842" s="5"/>
      <c r="F842" s="5"/>
      <c r="G842" s="6"/>
      <c r="H842" s="5"/>
    </row>
    <row r="843" spans="1:8" x14ac:dyDescent="0.45">
      <c r="A843">
        <v>835</v>
      </c>
      <c r="B843" s="8"/>
      <c r="C843" s="5"/>
      <c r="D843" s="5"/>
      <c r="E843" s="5"/>
      <c r="F843" s="5"/>
      <c r="G843" s="6"/>
      <c r="H843" s="5"/>
    </row>
    <row r="844" spans="1:8" x14ac:dyDescent="0.45">
      <c r="A844">
        <v>836</v>
      </c>
      <c r="B844" s="8"/>
      <c r="C844" s="5"/>
      <c r="D844" s="5"/>
      <c r="E844" s="5"/>
      <c r="F844" s="5"/>
      <c r="G844" s="6"/>
      <c r="H844" s="5"/>
    </row>
    <row r="845" spans="1:8" x14ac:dyDescent="0.45">
      <c r="A845">
        <v>837</v>
      </c>
      <c r="B845" s="8"/>
      <c r="C845" s="5"/>
      <c r="D845" s="5"/>
      <c r="E845" s="5"/>
      <c r="F845" s="5"/>
      <c r="G845" s="6"/>
      <c r="H845" s="5"/>
    </row>
    <row r="846" spans="1:8" x14ac:dyDescent="0.45">
      <c r="A846">
        <v>838</v>
      </c>
      <c r="B846" s="8"/>
      <c r="C846" s="5"/>
      <c r="D846" s="5"/>
      <c r="E846" s="5"/>
      <c r="F846" s="5"/>
      <c r="G846" s="6"/>
      <c r="H846" s="5"/>
    </row>
    <row r="847" spans="1:8" x14ac:dyDescent="0.45">
      <c r="A847">
        <v>839</v>
      </c>
      <c r="B847" s="8"/>
      <c r="C847" s="5"/>
      <c r="D847" s="5"/>
      <c r="E847" s="5"/>
      <c r="F847" s="5"/>
      <c r="G847" s="6"/>
      <c r="H847" s="5"/>
    </row>
    <row r="848" spans="1:8" x14ac:dyDescent="0.45">
      <c r="A848">
        <v>840</v>
      </c>
      <c r="B848" s="8"/>
      <c r="C848" s="5"/>
      <c r="D848" s="5"/>
      <c r="E848" s="5"/>
      <c r="F848" s="5"/>
      <c r="G848" s="6"/>
      <c r="H848" s="5"/>
    </row>
    <row r="849" spans="1:8" x14ac:dyDescent="0.45">
      <c r="A849">
        <v>841</v>
      </c>
      <c r="B849" s="8"/>
      <c r="C849" s="5"/>
      <c r="D849" s="5"/>
      <c r="E849" s="5"/>
      <c r="F849" s="5"/>
      <c r="G849" s="6"/>
      <c r="H849" s="5"/>
    </row>
    <row r="850" spans="1:8" x14ac:dyDescent="0.45">
      <c r="A850">
        <v>842</v>
      </c>
      <c r="B850" s="8"/>
      <c r="C850" s="5"/>
      <c r="D850" s="5"/>
      <c r="E850" s="5"/>
      <c r="F850" s="5"/>
      <c r="G850" s="6"/>
      <c r="H850" s="5"/>
    </row>
    <row r="851" spans="1:8" x14ac:dyDescent="0.45">
      <c r="A851">
        <v>843</v>
      </c>
      <c r="B851" s="8"/>
      <c r="C851" s="5"/>
      <c r="D851" s="5"/>
      <c r="E851" s="5"/>
      <c r="F851" s="5"/>
      <c r="G851" s="6"/>
      <c r="H851" s="5"/>
    </row>
    <row r="852" spans="1:8" x14ac:dyDescent="0.45">
      <c r="A852">
        <v>844</v>
      </c>
      <c r="B852" s="8"/>
      <c r="C852" s="5"/>
      <c r="D852" s="5"/>
      <c r="E852" s="5"/>
      <c r="F852" s="5"/>
      <c r="G852" s="6"/>
      <c r="H852" s="5"/>
    </row>
    <row r="853" spans="1:8" x14ac:dyDescent="0.45">
      <c r="A853">
        <v>845</v>
      </c>
      <c r="B853" s="8"/>
      <c r="C853" s="5"/>
      <c r="D853" s="5"/>
      <c r="E853" s="5"/>
      <c r="F853" s="5"/>
      <c r="G853" s="6"/>
      <c r="H853" s="5"/>
    </row>
    <row r="854" spans="1:8" x14ac:dyDescent="0.45">
      <c r="A854">
        <v>846</v>
      </c>
      <c r="B854" s="8"/>
      <c r="C854" s="5"/>
      <c r="D854" s="5"/>
      <c r="E854" s="5"/>
      <c r="F854" s="5"/>
      <c r="G854" s="6"/>
      <c r="H854" s="5"/>
    </row>
    <row r="855" spans="1:8" x14ac:dyDescent="0.45">
      <c r="A855">
        <v>847</v>
      </c>
      <c r="B855" s="8"/>
      <c r="C855" s="5"/>
      <c r="D855" s="5"/>
      <c r="E855" s="5"/>
      <c r="F855" s="5"/>
      <c r="G855" s="6"/>
      <c r="H855" s="5"/>
    </row>
    <row r="856" spans="1:8" x14ac:dyDescent="0.45">
      <c r="A856">
        <v>848</v>
      </c>
      <c r="B856" s="8"/>
      <c r="C856" s="5"/>
      <c r="D856" s="5"/>
      <c r="E856" s="5"/>
      <c r="F856" s="5"/>
      <c r="G856" s="6"/>
      <c r="H856" s="5"/>
    </row>
    <row r="857" spans="1:8" x14ac:dyDescent="0.45">
      <c r="A857">
        <v>849</v>
      </c>
      <c r="B857" s="8"/>
      <c r="C857" s="5"/>
      <c r="D857" s="5"/>
      <c r="E857" s="5"/>
      <c r="F857" s="5"/>
      <c r="G857" s="6"/>
      <c r="H857" s="5"/>
    </row>
    <row r="858" spans="1:8" x14ac:dyDescent="0.45">
      <c r="A858">
        <v>850</v>
      </c>
      <c r="B858" s="8"/>
      <c r="C858" s="5"/>
      <c r="D858" s="5"/>
      <c r="E858" s="5"/>
      <c r="F858" s="5"/>
      <c r="G858" s="6"/>
      <c r="H858" s="5"/>
    </row>
    <row r="859" spans="1:8" x14ac:dyDescent="0.45">
      <c r="A859">
        <v>851</v>
      </c>
      <c r="B859" s="8"/>
      <c r="C859" s="5"/>
      <c r="D859" s="5"/>
      <c r="E859" s="5"/>
      <c r="F859" s="5"/>
      <c r="G859" s="6"/>
      <c r="H859" s="5"/>
    </row>
    <row r="860" spans="1:8" x14ac:dyDescent="0.45">
      <c r="A860">
        <v>852</v>
      </c>
      <c r="B860" s="8"/>
      <c r="C860" s="5"/>
      <c r="D860" s="5"/>
      <c r="E860" s="5"/>
      <c r="F860" s="5"/>
      <c r="G860" s="6"/>
      <c r="H860" s="5"/>
    </row>
    <row r="861" spans="1:8" x14ac:dyDescent="0.45">
      <c r="A861">
        <v>853</v>
      </c>
      <c r="B861" s="8"/>
      <c r="C861" s="5"/>
      <c r="D861" s="5"/>
      <c r="E861" s="5"/>
      <c r="F861" s="5"/>
      <c r="G861" s="6"/>
      <c r="H861" s="5"/>
    </row>
    <row r="862" spans="1:8" x14ac:dyDescent="0.45">
      <c r="A862">
        <v>854</v>
      </c>
      <c r="B862" s="8"/>
      <c r="C862" s="5"/>
      <c r="D862" s="5"/>
      <c r="E862" s="5"/>
      <c r="F862" s="5"/>
      <c r="G862" s="6"/>
      <c r="H862" s="5"/>
    </row>
    <row r="863" spans="1:8" x14ac:dyDescent="0.45">
      <c r="A863">
        <v>855</v>
      </c>
      <c r="B863" s="8"/>
      <c r="C863" s="5"/>
      <c r="D863" s="5"/>
      <c r="E863" s="5"/>
      <c r="F863" s="5"/>
      <c r="G863" s="6"/>
      <c r="H863" s="5"/>
    </row>
    <row r="864" spans="1:8" x14ac:dyDescent="0.45">
      <c r="A864">
        <v>856</v>
      </c>
      <c r="B864" s="8"/>
      <c r="C864" s="5"/>
      <c r="D864" s="5"/>
      <c r="E864" s="5"/>
      <c r="F864" s="5"/>
      <c r="G864" s="6"/>
      <c r="H864" s="5"/>
    </row>
    <row r="865" spans="1:8" x14ac:dyDescent="0.45">
      <c r="A865">
        <v>857</v>
      </c>
      <c r="B865" s="8"/>
      <c r="C865" s="5"/>
      <c r="D865" s="5"/>
      <c r="E865" s="5"/>
      <c r="F865" s="5"/>
      <c r="G865" s="6"/>
      <c r="H865" s="5"/>
    </row>
    <row r="866" spans="1:8" x14ac:dyDescent="0.45">
      <c r="A866">
        <v>858</v>
      </c>
      <c r="B866" s="8"/>
      <c r="C866" s="5"/>
      <c r="D866" s="5"/>
      <c r="E866" s="5"/>
      <c r="F866" s="5"/>
      <c r="G866" s="6"/>
      <c r="H866" s="5"/>
    </row>
    <row r="867" spans="1:8" x14ac:dyDescent="0.45">
      <c r="A867">
        <v>859</v>
      </c>
      <c r="B867" s="8"/>
      <c r="C867" s="5"/>
      <c r="D867" s="5"/>
      <c r="E867" s="5"/>
      <c r="F867" s="5"/>
      <c r="G867" s="6"/>
      <c r="H867" s="5"/>
    </row>
    <row r="868" spans="1:8" x14ac:dyDescent="0.45">
      <c r="A868">
        <v>860</v>
      </c>
      <c r="B868" s="8"/>
      <c r="C868" s="5"/>
      <c r="D868" s="5"/>
      <c r="E868" s="5"/>
      <c r="F868" s="5"/>
      <c r="G868" s="6"/>
      <c r="H868" s="5"/>
    </row>
    <row r="869" spans="1:8" x14ac:dyDescent="0.45">
      <c r="A869">
        <v>861</v>
      </c>
      <c r="B869" s="8"/>
      <c r="C869" s="5"/>
      <c r="D869" s="5"/>
      <c r="E869" s="5"/>
      <c r="F869" s="5"/>
      <c r="G869" s="6"/>
      <c r="H869" s="5"/>
    </row>
    <row r="870" spans="1:8" x14ac:dyDescent="0.45">
      <c r="A870">
        <v>862</v>
      </c>
      <c r="B870" s="8"/>
      <c r="C870" s="5"/>
      <c r="D870" s="5"/>
      <c r="E870" s="5"/>
      <c r="F870" s="5"/>
      <c r="G870" s="6"/>
      <c r="H870" s="5"/>
    </row>
    <row r="871" spans="1:8" x14ac:dyDescent="0.45">
      <c r="A871">
        <v>863</v>
      </c>
      <c r="B871" s="8"/>
      <c r="C871" s="5"/>
      <c r="D871" s="5"/>
      <c r="E871" s="5"/>
      <c r="F871" s="5"/>
      <c r="G871" s="6"/>
      <c r="H871" s="5"/>
    </row>
    <row r="872" spans="1:8" x14ac:dyDescent="0.45">
      <c r="A872">
        <v>864</v>
      </c>
      <c r="B872" s="8"/>
      <c r="C872" s="5"/>
      <c r="D872" s="5"/>
      <c r="E872" s="5"/>
      <c r="F872" s="5"/>
      <c r="G872" s="6"/>
      <c r="H872" s="5"/>
    </row>
    <row r="873" spans="1:8" x14ac:dyDescent="0.45">
      <c r="A873">
        <v>865</v>
      </c>
      <c r="B873" s="8"/>
      <c r="C873" s="5"/>
      <c r="D873" s="5"/>
      <c r="E873" s="5"/>
      <c r="F873" s="5"/>
      <c r="G873" s="6"/>
      <c r="H873" s="5"/>
    </row>
    <row r="874" spans="1:8" x14ac:dyDescent="0.45">
      <c r="A874">
        <v>866</v>
      </c>
      <c r="B874" s="8"/>
      <c r="C874" s="5"/>
      <c r="D874" s="5"/>
      <c r="E874" s="5"/>
      <c r="F874" s="5"/>
      <c r="G874" s="6"/>
      <c r="H874" s="5"/>
    </row>
    <row r="875" spans="1:8" x14ac:dyDescent="0.45">
      <c r="A875">
        <v>867</v>
      </c>
      <c r="B875" s="8"/>
      <c r="C875" s="5"/>
      <c r="D875" s="5"/>
      <c r="E875" s="5"/>
      <c r="F875" s="5"/>
      <c r="G875" s="6"/>
      <c r="H875" s="5"/>
    </row>
    <row r="876" spans="1:8" x14ac:dyDescent="0.45">
      <c r="A876">
        <v>868</v>
      </c>
      <c r="B876" s="8"/>
      <c r="C876" s="5"/>
      <c r="D876" s="5"/>
      <c r="E876" s="5"/>
      <c r="F876" s="5"/>
      <c r="G876" s="6"/>
      <c r="H876" s="5"/>
    </row>
    <row r="877" spans="1:8" x14ac:dyDescent="0.45">
      <c r="A877">
        <v>869</v>
      </c>
      <c r="B877" s="8"/>
      <c r="C877" s="5"/>
      <c r="D877" s="5"/>
      <c r="E877" s="5"/>
      <c r="F877" s="5"/>
      <c r="G877" s="6"/>
      <c r="H877" s="5"/>
    </row>
    <row r="878" spans="1:8" x14ac:dyDescent="0.45">
      <c r="A878">
        <v>870</v>
      </c>
      <c r="B878" s="8"/>
      <c r="C878" s="5"/>
      <c r="D878" s="5"/>
      <c r="E878" s="5"/>
      <c r="F878" s="5"/>
      <c r="G878" s="6"/>
      <c r="H878" s="5"/>
    </row>
    <row r="879" spans="1:8" x14ac:dyDescent="0.45">
      <c r="A879">
        <v>871</v>
      </c>
      <c r="B879" s="8"/>
      <c r="C879" s="5"/>
      <c r="D879" s="5"/>
      <c r="E879" s="5"/>
      <c r="F879" s="5"/>
      <c r="G879" s="6"/>
      <c r="H879" s="5"/>
    </row>
    <row r="880" spans="1:8" x14ac:dyDescent="0.45">
      <c r="A880">
        <v>872</v>
      </c>
      <c r="B880" s="8"/>
      <c r="C880" s="5"/>
      <c r="D880" s="5"/>
      <c r="E880" s="5"/>
      <c r="F880" s="5"/>
      <c r="G880" s="6"/>
      <c r="H880" s="5"/>
    </row>
    <row r="881" spans="1:8" x14ac:dyDescent="0.45">
      <c r="A881">
        <v>873</v>
      </c>
      <c r="B881" s="8"/>
      <c r="C881" s="5"/>
      <c r="D881" s="5"/>
      <c r="E881" s="5"/>
      <c r="F881" s="5"/>
      <c r="G881" s="6"/>
      <c r="H881" s="5"/>
    </row>
    <row r="882" spans="1:8" x14ac:dyDescent="0.45">
      <c r="A882">
        <v>874</v>
      </c>
      <c r="B882" s="8"/>
      <c r="C882" s="5"/>
      <c r="D882" s="5"/>
      <c r="E882" s="5"/>
      <c r="F882" s="5"/>
      <c r="G882" s="6"/>
      <c r="H882" s="5"/>
    </row>
    <row r="883" spans="1:8" x14ac:dyDescent="0.45">
      <c r="A883">
        <v>875</v>
      </c>
      <c r="B883" s="8"/>
      <c r="C883" s="5"/>
      <c r="D883" s="5"/>
      <c r="E883" s="5"/>
      <c r="F883" s="5"/>
      <c r="G883" s="6"/>
      <c r="H883" s="5"/>
    </row>
    <row r="884" spans="1:8" x14ac:dyDescent="0.45">
      <c r="A884">
        <v>876</v>
      </c>
      <c r="B884" s="8"/>
      <c r="C884" s="5"/>
      <c r="D884" s="5"/>
      <c r="E884" s="5"/>
      <c r="F884" s="5"/>
      <c r="G884" s="6"/>
      <c r="H884" s="5"/>
    </row>
    <row r="885" spans="1:8" x14ac:dyDescent="0.45">
      <c r="A885">
        <v>877</v>
      </c>
      <c r="B885" s="8"/>
      <c r="C885" s="5"/>
      <c r="D885" s="5"/>
      <c r="E885" s="5"/>
      <c r="F885" s="5"/>
      <c r="G885" s="6"/>
      <c r="H885" s="5"/>
    </row>
    <row r="886" spans="1:8" x14ac:dyDescent="0.45">
      <c r="A886">
        <v>878</v>
      </c>
      <c r="B886" s="8"/>
      <c r="C886" s="5"/>
      <c r="D886" s="5"/>
      <c r="E886" s="5"/>
      <c r="F886" s="5"/>
      <c r="G886" s="6"/>
      <c r="H886" s="5"/>
    </row>
    <row r="887" spans="1:8" x14ac:dyDescent="0.45">
      <c r="A887">
        <v>879</v>
      </c>
      <c r="B887" s="8"/>
      <c r="C887" s="5"/>
      <c r="D887" s="5"/>
      <c r="E887" s="5"/>
      <c r="F887" s="5"/>
      <c r="G887" s="6"/>
      <c r="H887" s="5"/>
    </row>
    <row r="888" spans="1:8" x14ac:dyDescent="0.45">
      <c r="A888">
        <v>880</v>
      </c>
      <c r="B888" s="8"/>
      <c r="C888" s="5"/>
      <c r="D888" s="5"/>
      <c r="E888" s="5"/>
      <c r="F888" s="5"/>
      <c r="G888" s="6"/>
      <c r="H888" s="5"/>
    </row>
    <row r="889" spans="1:8" x14ac:dyDescent="0.45">
      <c r="A889">
        <v>881</v>
      </c>
      <c r="B889" s="8"/>
      <c r="C889" s="5"/>
      <c r="D889" s="5"/>
      <c r="E889" s="5"/>
      <c r="F889" s="5"/>
      <c r="G889" s="6"/>
      <c r="H889" s="5"/>
    </row>
    <row r="890" spans="1:8" x14ac:dyDescent="0.45">
      <c r="A890">
        <v>882</v>
      </c>
      <c r="B890" s="8"/>
      <c r="C890" s="5"/>
      <c r="D890" s="5"/>
      <c r="E890" s="5"/>
      <c r="F890" s="5"/>
      <c r="G890" s="6"/>
      <c r="H890" s="5"/>
    </row>
    <row r="891" spans="1:8" x14ac:dyDescent="0.45">
      <c r="A891">
        <v>883</v>
      </c>
      <c r="B891" s="8"/>
      <c r="C891" s="5"/>
      <c r="D891" s="5"/>
      <c r="E891" s="5"/>
      <c r="F891" s="5"/>
      <c r="G891" s="6"/>
      <c r="H891" s="5"/>
    </row>
    <row r="892" spans="1:8" x14ac:dyDescent="0.45">
      <c r="A892">
        <v>884</v>
      </c>
      <c r="B892" s="8"/>
      <c r="C892" s="5"/>
      <c r="D892" s="5"/>
      <c r="E892" s="5"/>
      <c r="F892" s="5"/>
      <c r="G892" s="6"/>
      <c r="H892" s="5"/>
    </row>
    <row r="893" spans="1:8" x14ac:dyDescent="0.45">
      <c r="A893">
        <v>885</v>
      </c>
      <c r="B893" s="8"/>
      <c r="C893" s="5"/>
      <c r="D893" s="5"/>
      <c r="E893" s="5"/>
      <c r="F893" s="5"/>
      <c r="G893" s="6"/>
      <c r="H893" s="5"/>
    </row>
    <row r="894" spans="1:8" x14ac:dyDescent="0.45">
      <c r="A894">
        <v>886</v>
      </c>
      <c r="B894" s="8"/>
      <c r="C894" s="5"/>
      <c r="D894" s="5"/>
      <c r="E894" s="5"/>
      <c r="F894" s="5"/>
      <c r="G894" s="6"/>
      <c r="H894" s="5"/>
    </row>
    <row r="895" spans="1:8" x14ac:dyDescent="0.45">
      <c r="A895">
        <v>887</v>
      </c>
      <c r="B895" s="8"/>
      <c r="C895" s="5"/>
      <c r="D895" s="5"/>
      <c r="E895" s="5"/>
      <c r="F895" s="5"/>
      <c r="G895" s="6"/>
      <c r="H895" s="5"/>
    </row>
    <row r="896" spans="1:8" x14ac:dyDescent="0.45">
      <c r="A896">
        <v>888</v>
      </c>
      <c r="B896" s="8"/>
      <c r="C896" s="5"/>
      <c r="D896" s="5"/>
      <c r="E896" s="5"/>
      <c r="F896" s="5"/>
      <c r="G896" s="6"/>
      <c r="H896" s="5"/>
    </row>
    <row r="897" spans="1:8" x14ac:dyDescent="0.45">
      <c r="A897">
        <v>889</v>
      </c>
      <c r="B897" s="8"/>
      <c r="C897" s="5"/>
      <c r="D897" s="5"/>
      <c r="E897" s="5"/>
      <c r="F897" s="5"/>
      <c r="G897" s="6"/>
      <c r="H897" s="5"/>
    </row>
    <row r="898" spans="1:8" x14ac:dyDescent="0.45">
      <c r="A898">
        <v>890</v>
      </c>
      <c r="B898" s="8"/>
      <c r="C898" s="5"/>
      <c r="D898" s="5"/>
      <c r="E898" s="5"/>
      <c r="F898" s="5"/>
      <c r="G898" s="6"/>
      <c r="H898" s="5"/>
    </row>
    <row r="899" spans="1:8" x14ac:dyDescent="0.45">
      <c r="A899">
        <v>891</v>
      </c>
      <c r="B899" s="8"/>
      <c r="C899" s="5"/>
      <c r="D899" s="5"/>
      <c r="E899" s="5"/>
      <c r="F899" s="5"/>
      <c r="G899" s="6"/>
      <c r="H899" s="5"/>
    </row>
    <row r="900" spans="1:8" x14ac:dyDescent="0.45">
      <c r="A900">
        <v>892</v>
      </c>
      <c r="B900" s="8"/>
      <c r="C900" s="5"/>
      <c r="D900" s="5"/>
      <c r="E900" s="5"/>
      <c r="F900" s="5"/>
      <c r="G900" s="6"/>
      <c r="H900" s="5"/>
    </row>
    <row r="901" spans="1:8" x14ac:dyDescent="0.45">
      <c r="A901">
        <v>893</v>
      </c>
      <c r="B901" s="8"/>
      <c r="C901" s="5"/>
      <c r="D901" s="5"/>
      <c r="E901" s="5"/>
      <c r="F901" s="5"/>
      <c r="G901" s="6"/>
      <c r="H901" s="5"/>
    </row>
    <row r="902" spans="1:8" x14ac:dyDescent="0.45">
      <c r="A902">
        <v>894</v>
      </c>
      <c r="B902" s="8"/>
      <c r="C902" s="5"/>
      <c r="D902" s="5"/>
      <c r="E902" s="5"/>
      <c r="F902" s="5"/>
      <c r="G902" s="6"/>
      <c r="H902" s="5"/>
    </row>
    <row r="903" spans="1:8" x14ac:dyDescent="0.45">
      <c r="A903">
        <v>895</v>
      </c>
      <c r="B903" s="8"/>
      <c r="C903" s="5"/>
      <c r="D903" s="5"/>
      <c r="E903" s="5"/>
      <c r="F903" s="5"/>
      <c r="G903" s="6"/>
      <c r="H903" s="5"/>
    </row>
    <row r="904" spans="1:8" x14ac:dyDescent="0.45">
      <c r="A904">
        <v>896</v>
      </c>
      <c r="B904" s="8"/>
      <c r="C904" s="5"/>
      <c r="D904" s="5"/>
      <c r="E904" s="5"/>
      <c r="F904" s="5"/>
      <c r="G904" s="6"/>
      <c r="H904" s="5"/>
    </row>
    <row r="905" spans="1:8" x14ac:dyDescent="0.45">
      <c r="A905">
        <v>897</v>
      </c>
      <c r="B905" s="8"/>
      <c r="C905" s="5"/>
      <c r="D905" s="5"/>
      <c r="E905" s="5"/>
      <c r="F905" s="5"/>
      <c r="G905" s="6"/>
      <c r="H905" s="5"/>
    </row>
    <row r="906" spans="1:8" x14ac:dyDescent="0.45">
      <c r="A906">
        <v>898</v>
      </c>
      <c r="B906" s="8"/>
      <c r="C906" s="5"/>
      <c r="D906" s="5"/>
      <c r="E906" s="5"/>
      <c r="F906" s="5"/>
      <c r="G906" s="6"/>
      <c r="H906" s="5"/>
    </row>
    <row r="907" spans="1:8" x14ac:dyDescent="0.45">
      <c r="A907">
        <v>899</v>
      </c>
      <c r="B907" s="8"/>
      <c r="C907" s="5"/>
      <c r="D907" s="5"/>
      <c r="E907" s="5"/>
      <c r="F907" s="5"/>
      <c r="G907" s="6"/>
      <c r="H907" s="5"/>
    </row>
    <row r="908" spans="1:8" x14ac:dyDescent="0.45">
      <c r="A908">
        <v>900</v>
      </c>
      <c r="B908" s="8"/>
      <c r="C908" s="5"/>
      <c r="D908" s="5"/>
      <c r="E908" s="5"/>
      <c r="F908" s="5"/>
      <c r="G908" s="6"/>
      <c r="H908" s="5"/>
    </row>
    <row r="909" spans="1:8" x14ac:dyDescent="0.45">
      <c r="A909">
        <v>901</v>
      </c>
      <c r="B909" s="8"/>
      <c r="C909" s="5"/>
      <c r="D909" s="5"/>
      <c r="E909" s="5"/>
      <c r="F909" s="5"/>
      <c r="G909" s="6"/>
      <c r="H909" s="5"/>
    </row>
    <row r="910" spans="1:8" x14ac:dyDescent="0.45">
      <c r="A910">
        <v>902</v>
      </c>
      <c r="B910" s="8"/>
      <c r="C910" s="5"/>
      <c r="D910" s="5"/>
      <c r="E910" s="5"/>
      <c r="F910" s="5"/>
      <c r="G910" s="6"/>
      <c r="H910" s="5"/>
    </row>
    <row r="911" spans="1:8" x14ac:dyDescent="0.45">
      <c r="A911">
        <v>903</v>
      </c>
      <c r="B911" s="8"/>
      <c r="C911" s="5"/>
      <c r="D911" s="5"/>
      <c r="E911" s="5"/>
      <c r="F911" s="5"/>
      <c r="G911" s="6"/>
      <c r="H911" s="5"/>
    </row>
    <row r="912" spans="1:8" x14ac:dyDescent="0.45">
      <c r="A912">
        <v>904</v>
      </c>
      <c r="B912" s="8"/>
      <c r="C912" s="5"/>
      <c r="D912" s="5"/>
      <c r="E912" s="5"/>
      <c r="F912" s="5"/>
      <c r="G912" s="6"/>
      <c r="H912" s="5"/>
    </row>
    <row r="913" spans="1:8" x14ac:dyDescent="0.45">
      <c r="A913">
        <v>905</v>
      </c>
      <c r="B913" s="8"/>
      <c r="C913" s="5"/>
      <c r="D913" s="5"/>
      <c r="E913" s="5"/>
      <c r="F913" s="5"/>
      <c r="G913" s="6"/>
      <c r="H913" s="5"/>
    </row>
    <row r="914" spans="1:8" x14ac:dyDescent="0.45">
      <c r="A914">
        <v>906</v>
      </c>
      <c r="B914" s="8"/>
      <c r="C914" s="5"/>
      <c r="D914" s="5"/>
      <c r="E914" s="5"/>
      <c r="F914" s="5"/>
      <c r="G914" s="6"/>
      <c r="H914" s="5"/>
    </row>
    <row r="915" spans="1:8" x14ac:dyDescent="0.45">
      <c r="A915">
        <v>907</v>
      </c>
      <c r="B915" s="8"/>
      <c r="C915" s="5"/>
      <c r="D915" s="5"/>
      <c r="E915" s="5"/>
      <c r="F915" s="5"/>
      <c r="G915" s="6"/>
      <c r="H915" s="5"/>
    </row>
    <row r="916" spans="1:8" x14ac:dyDescent="0.45">
      <c r="A916">
        <v>908</v>
      </c>
      <c r="B916" s="8"/>
      <c r="C916" s="5"/>
      <c r="D916" s="5"/>
      <c r="E916" s="5"/>
      <c r="F916" s="5"/>
      <c r="G916" s="6"/>
      <c r="H916" s="5"/>
    </row>
    <row r="917" spans="1:8" x14ac:dyDescent="0.45">
      <c r="A917">
        <v>909</v>
      </c>
      <c r="B917" s="8"/>
      <c r="C917" s="5"/>
      <c r="D917" s="5"/>
      <c r="E917" s="5"/>
      <c r="F917" s="5"/>
      <c r="G917" s="6"/>
      <c r="H917" s="5"/>
    </row>
    <row r="918" spans="1:8" x14ac:dyDescent="0.45">
      <c r="A918">
        <v>910</v>
      </c>
      <c r="B918" s="8"/>
      <c r="C918" s="5"/>
      <c r="D918" s="5"/>
      <c r="E918" s="5"/>
      <c r="F918" s="5"/>
      <c r="G918" s="6"/>
      <c r="H918" s="5"/>
    </row>
    <row r="919" spans="1:8" x14ac:dyDescent="0.45">
      <c r="A919">
        <v>911</v>
      </c>
      <c r="B919" s="8"/>
      <c r="C919" s="5"/>
      <c r="D919" s="5"/>
      <c r="E919" s="5"/>
      <c r="F919" s="5"/>
      <c r="G919" s="6"/>
      <c r="H919" s="5"/>
    </row>
    <row r="920" spans="1:8" x14ac:dyDescent="0.45">
      <c r="A920">
        <v>912</v>
      </c>
      <c r="B920" s="8"/>
      <c r="C920" s="5"/>
      <c r="D920" s="5"/>
      <c r="E920" s="5"/>
      <c r="F920" s="5"/>
      <c r="G920" s="6"/>
      <c r="H920" s="5"/>
    </row>
    <row r="921" spans="1:8" x14ac:dyDescent="0.45">
      <c r="A921">
        <v>913</v>
      </c>
      <c r="B921" s="8"/>
      <c r="C921" s="5"/>
      <c r="D921" s="5"/>
      <c r="E921" s="5"/>
      <c r="F921" s="5"/>
      <c r="G921" s="6"/>
      <c r="H921" s="5"/>
    </row>
    <row r="922" spans="1:8" x14ac:dyDescent="0.45">
      <c r="A922">
        <v>914</v>
      </c>
      <c r="B922" s="8"/>
      <c r="C922" s="5"/>
      <c r="D922" s="5"/>
      <c r="E922" s="5"/>
      <c r="F922" s="5"/>
      <c r="G922" s="6"/>
      <c r="H922" s="5"/>
    </row>
    <row r="923" spans="1:8" x14ac:dyDescent="0.45">
      <c r="A923">
        <v>915</v>
      </c>
      <c r="B923" s="8"/>
      <c r="C923" s="5"/>
      <c r="D923" s="5"/>
      <c r="E923" s="5"/>
      <c r="F923" s="5"/>
      <c r="G923" s="6"/>
      <c r="H923" s="5"/>
    </row>
    <row r="924" spans="1:8" x14ac:dyDescent="0.45">
      <c r="A924">
        <v>916</v>
      </c>
      <c r="B924" s="8"/>
      <c r="C924" s="5"/>
      <c r="D924" s="5"/>
      <c r="E924" s="5"/>
      <c r="F924" s="5"/>
      <c r="G924" s="6"/>
      <c r="H924" s="5"/>
    </row>
    <row r="925" spans="1:8" x14ac:dyDescent="0.45">
      <c r="A925">
        <v>917</v>
      </c>
      <c r="B925" s="8"/>
      <c r="C925" s="5"/>
      <c r="D925" s="5"/>
      <c r="E925" s="5"/>
      <c r="F925" s="5"/>
      <c r="G925" s="6"/>
      <c r="H925" s="5"/>
    </row>
    <row r="926" spans="1:8" x14ac:dyDescent="0.45">
      <c r="A926">
        <v>918</v>
      </c>
      <c r="B926" s="8"/>
      <c r="C926" s="5"/>
      <c r="D926" s="5"/>
      <c r="E926" s="5"/>
      <c r="F926" s="5"/>
      <c r="G926" s="6"/>
      <c r="H926" s="5"/>
    </row>
    <row r="927" spans="1:8" x14ac:dyDescent="0.45">
      <c r="A927">
        <v>919</v>
      </c>
      <c r="B927" s="8"/>
      <c r="C927" s="5"/>
      <c r="D927" s="5"/>
      <c r="E927" s="5"/>
      <c r="F927" s="5"/>
      <c r="G927" s="6"/>
      <c r="H927" s="5"/>
    </row>
    <row r="928" spans="1:8" x14ac:dyDescent="0.45">
      <c r="A928">
        <v>920</v>
      </c>
      <c r="B928" s="8"/>
      <c r="C928" s="5"/>
      <c r="D928" s="5"/>
      <c r="E928" s="5"/>
      <c r="F928" s="5"/>
      <c r="G928" s="6"/>
      <c r="H928" s="5"/>
    </row>
    <row r="929" spans="1:8" x14ac:dyDescent="0.45">
      <c r="A929">
        <v>921</v>
      </c>
      <c r="B929" s="8"/>
      <c r="C929" s="5"/>
      <c r="D929" s="5"/>
      <c r="E929" s="5"/>
      <c r="F929" s="5"/>
      <c r="G929" s="6"/>
      <c r="H929" s="5"/>
    </row>
    <row r="930" spans="1:8" x14ac:dyDescent="0.45">
      <c r="A930">
        <v>922</v>
      </c>
      <c r="B930" s="8"/>
      <c r="C930" s="5"/>
      <c r="D930" s="5"/>
      <c r="E930" s="5"/>
      <c r="F930" s="5"/>
      <c r="G930" s="6"/>
      <c r="H930" s="5"/>
    </row>
    <row r="931" spans="1:8" x14ac:dyDescent="0.45">
      <c r="A931">
        <v>923</v>
      </c>
      <c r="B931" s="8"/>
      <c r="C931" s="5"/>
      <c r="D931" s="5"/>
      <c r="E931" s="5"/>
      <c r="F931" s="5"/>
      <c r="G931" s="6"/>
      <c r="H931" s="5"/>
    </row>
    <row r="932" spans="1:8" x14ac:dyDescent="0.45">
      <c r="A932">
        <v>924</v>
      </c>
      <c r="B932" s="8"/>
      <c r="C932" s="5"/>
      <c r="D932" s="5"/>
      <c r="E932" s="5"/>
      <c r="F932" s="5"/>
      <c r="G932" s="6"/>
      <c r="H932" s="5"/>
    </row>
    <row r="933" spans="1:8" x14ac:dyDescent="0.45">
      <c r="A933">
        <v>925</v>
      </c>
      <c r="B933" s="8"/>
      <c r="C933" s="5"/>
      <c r="D933" s="5"/>
      <c r="E933" s="5"/>
      <c r="F933" s="5"/>
      <c r="G933" s="6"/>
      <c r="H933" s="5"/>
    </row>
    <row r="934" spans="1:8" x14ac:dyDescent="0.45">
      <c r="A934">
        <v>926</v>
      </c>
      <c r="B934" s="8"/>
      <c r="C934" s="5"/>
      <c r="D934" s="5"/>
      <c r="E934" s="5"/>
      <c r="F934" s="5"/>
      <c r="G934" s="6"/>
      <c r="H934" s="5"/>
    </row>
    <row r="935" spans="1:8" x14ac:dyDescent="0.45">
      <c r="A935">
        <v>927</v>
      </c>
      <c r="B935" s="8"/>
      <c r="C935" s="5"/>
      <c r="D935" s="5"/>
      <c r="E935" s="5"/>
      <c r="F935" s="5"/>
      <c r="G935" s="6"/>
      <c r="H935" s="5"/>
    </row>
    <row r="936" spans="1:8" x14ac:dyDescent="0.45">
      <c r="A936">
        <v>928</v>
      </c>
      <c r="B936" s="8"/>
      <c r="C936" s="5"/>
      <c r="D936" s="5"/>
      <c r="E936" s="5"/>
      <c r="F936" s="5"/>
      <c r="G936" s="6"/>
      <c r="H936" s="5"/>
    </row>
    <row r="937" spans="1:8" x14ac:dyDescent="0.45">
      <c r="A937">
        <v>929</v>
      </c>
      <c r="B937" s="8"/>
      <c r="C937" s="5"/>
      <c r="D937" s="5"/>
      <c r="E937" s="5"/>
      <c r="F937" s="5"/>
      <c r="G937" s="6"/>
      <c r="H937" s="5"/>
    </row>
    <row r="938" spans="1:8" x14ac:dyDescent="0.45">
      <c r="A938">
        <v>930</v>
      </c>
      <c r="B938" s="8"/>
      <c r="C938" s="5"/>
      <c r="D938" s="5"/>
      <c r="E938" s="5"/>
      <c r="F938" s="5"/>
      <c r="G938" s="6"/>
      <c r="H938" s="5"/>
    </row>
    <row r="939" spans="1:8" x14ac:dyDescent="0.45">
      <c r="A939">
        <v>931</v>
      </c>
      <c r="B939" s="8"/>
      <c r="C939" s="5"/>
      <c r="D939" s="5"/>
      <c r="E939" s="5"/>
      <c r="F939" s="5"/>
      <c r="G939" s="6"/>
      <c r="H939" s="5"/>
    </row>
    <row r="940" spans="1:8" x14ac:dyDescent="0.45">
      <c r="A940">
        <v>932</v>
      </c>
      <c r="B940" s="8"/>
      <c r="C940" s="5"/>
      <c r="D940" s="5"/>
      <c r="E940" s="5"/>
      <c r="F940" s="5"/>
      <c r="G940" s="6"/>
      <c r="H940" s="5"/>
    </row>
    <row r="941" spans="1:8" x14ac:dyDescent="0.45">
      <c r="A941">
        <v>933</v>
      </c>
      <c r="B941" s="8"/>
      <c r="C941" s="5"/>
      <c r="D941" s="5"/>
      <c r="E941" s="5"/>
      <c r="F941" s="5"/>
      <c r="G941" s="6"/>
      <c r="H941" s="5"/>
    </row>
    <row r="942" spans="1:8" x14ac:dyDescent="0.45">
      <c r="A942">
        <v>934</v>
      </c>
      <c r="B942" s="8"/>
      <c r="C942" s="5"/>
      <c r="D942" s="5"/>
      <c r="E942" s="5"/>
      <c r="F942" s="5"/>
      <c r="G942" s="6"/>
      <c r="H942" s="5"/>
    </row>
    <row r="943" spans="1:8" x14ac:dyDescent="0.45">
      <c r="A943">
        <v>935</v>
      </c>
      <c r="B943" s="8"/>
      <c r="C943" s="5"/>
      <c r="D943" s="5"/>
      <c r="E943" s="5"/>
      <c r="F943" s="5"/>
      <c r="G943" s="6"/>
      <c r="H943" s="5"/>
    </row>
    <row r="944" spans="1:8" x14ac:dyDescent="0.45">
      <c r="A944">
        <v>936</v>
      </c>
      <c r="B944" s="8"/>
      <c r="C944" s="5"/>
      <c r="D944" s="5"/>
      <c r="E944" s="5"/>
      <c r="F944" s="5"/>
      <c r="G944" s="6"/>
      <c r="H944" s="5"/>
    </row>
    <row r="945" spans="1:8" x14ac:dyDescent="0.45">
      <c r="A945">
        <v>937</v>
      </c>
      <c r="B945" s="8"/>
      <c r="C945" s="5"/>
      <c r="D945" s="5"/>
      <c r="E945" s="5"/>
      <c r="F945" s="5"/>
      <c r="G945" s="6"/>
      <c r="H945" s="5"/>
    </row>
    <row r="946" spans="1:8" x14ac:dyDescent="0.45">
      <c r="A946">
        <v>938</v>
      </c>
      <c r="B946" s="8"/>
      <c r="C946" s="5"/>
      <c r="D946" s="5"/>
      <c r="E946" s="5"/>
      <c r="F946" s="5"/>
      <c r="G946" s="6"/>
      <c r="H946" s="5"/>
    </row>
    <row r="947" spans="1:8" x14ac:dyDescent="0.45">
      <c r="A947">
        <v>939</v>
      </c>
      <c r="B947" s="8"/>
      <c r="C947" s="5"/>
      <c r="D947" s="5"/>
      <c r="E947" s="5"/>
      <c r="F947" s="5"/>
      <c r="G947" s="6"/>
      <c r="H947" s="5"/>
    </row>
    <row r="948" spans="1:8" x14ac:dyDescent="0.45">
      <c r="A948">
        <v>940</v>
      </c>
      <c r="B948" s="8"/>
      <c r="C948" s="5"/>
      <c r="D948" s="5"/>
      <c r="E948" s="5"/>
      <c r="F948" s="5"/>
      <c r="G948" s="6"/>
      <c r="H948" s="5"/>
    </row>
    <row r="949" spans="1:8" x14ac:dyDescent="0.45">
      <c r="A949">
        <v>941</v>
      </c>
      <c r="B949" s="8"/>
      <c r="C949" s="5"/>
      <c r="D949" s="5"/>
      <c r="E949" s="5"/>
      <c r="F949" s="5"/>
      <c r="G949" s="6"/>
      <c r="H949" s="5"/>
    </row>
    <row r="950" spans="1:8" x14ac:dyDescent="0.45">
      <c r="A950">
        <v>942</v>
      </c>
      <c r="B950" s="8"/>
      <c r="C950" s="5"/>
      <c r="D950" s="5"/>
      <c r="E950" s="5"/>
      <c r="F950" s="5"/>
      <c r="G950" s="6"/>
      <c r="H950" s="5"/>
    </row>
    <row r="951" spans="1:8" x14ac:dyDescent="0.45">
      <c r="A951">
        <v>943</v>
      </c>
      <c r="B951" s="8"/>
      <c r="C951" s="5"/>
      <c r="D951" s="5"/>
      <c r="E951" s="5"/>
      <c r="F951" s="5"/>
      <c r="G951" s="6"/>
      <c r="H951" s="5"/>
    </row>
    <row r="952" spans="1:8" x14ac:dyDescent="0.45">
      <c r="A952">
        <v>944</v>
      </c>
      <c r="B952" s="8"/>
      <c r="C952" s="5"/>
      <c r="D952" s="5"/>
      <c r="E952" s="5"/>
      <c r="F952" s="5"/>
      <c r="G952" s="6"/>
      <c r="H952" s="5"/>
    </row>
    <row r="953" spans="1:8" x14ac:dyDescent="0.45">
      <c r="A953">
        <v>945</v>
      </c>
      <c r="B953" s="8"/>
      <c r="C953" s="5"/>
      <c r="D953" s="5"/>
      <c r="E953" s="5"/>
      <c r="F953" s="5"/>
      <c r="G953" s="6"/>
      <c r="H953" s="5"/>
    </row>
    <row r="954" spans="1:8" x14ac:dyDescent="0.45">
      <c r="A954">
        <v>946</v>
      </c>
      <c r="B954" s="8"/>
      <c r="C954" s="5"/>
      <c r="D954" s="5"/>
      <c r="E954" s="5"/>
      <c r="F954" s="5"/>
      <c r="G954" s="6"/>
      <c r="H954" s="5"/>
    </row>
    <row r="955" spans="1:8" x14ac:dyDescent="0.45">
      <c r="A955">
        <v>947</v>
      </c>
      <c r="B955" s="8"/>
      <c r="C955" s="5"/>
      <c r="D955" s="5"/>
      <c r="E955" s="5"/>
      <c r="F955" s="5"/>
      <c r="G955" s="6"/>
      <c r="H955" s="5"/>
    </row>
    <row r="956" spans="1:8" x14ac:dyDescent="0.45">
      <c r="A956">
        <v>948</v>
      </c>
      <c r="B956" s="8"/>
      <c r="C956" s="5"/>
      <c r="D956" s="5"/>
      <c r="E956" s="5"/>
      <c r="F956" s="5"/>
      <c r="G956" s="6"/>
      <c r="H956" s="5"/>
    </row>
    <row r="957" spans="1:8" x14ac:dyDescent="0.45">
      <c r="A957">
        <v>949</v>
      </c>
      <c r="B957" s="8"/>
      <c r="C957" s="5"/>
      <c r="D957" s="5"/>
      <c r="E957" s="5"/>
      <c r="F957" s="5"/>
      <c r="G957" s="6"/>
      <c r="H957" s="5"/>
    </row>
    <row r="958" spans="1:8" x14ac:dyDescent="0.45">
      <c r="A958">
        <v>950</v>
      </c>
      <c r="B958" s="8"/>
      <c r="C958" s="5"/>
      <c r="D958" s="5"/>
      <c r="E958" s="5"/>
      <c r="F958" s="5"/>
      <c r="G958" s="6"/>
      <c r="H958" s="5"/>
    </row>
    <row r="959" spans="1:8" x14ac:dyDescent="0.45">
      <c r="A959">
        <v>951</v>
      </c>
      <c r="B959" s="8"/>
      <c r="C959" s="5"/>
      <c r="D959" s="5"/>
      <c r="E959" s="5"/>
      <c r="F959" s="5"/>
      <c r="G959" s="6"/>
      <c r="H959" s="5"/>
    </row>
    <row r="960" spans="1:8" x14ac:dyDescent="0.45">
      <c r="A960">
        <v>952</v>
      </c>
      <c r="B960" s="8"/>
      <c r="C960" s="5"/>
      <c r="D960" s="5"/>
      <c r="E960" s="5"/>
      <c r="F960" s="5"/>
      <c r="G960" s="6"/>
      <c r="H960" s="5"/>
    </row>
    <row r="961" spans="1:8" x14ac:dyDescent="0.45">
      <c r="A961">
        <v>953</v>
      </c>
      <c r="B961" s="8"/>
      <c r="C961" s="5"/>
      <c r="D961" s="5"/>
      <c r="E961" s="5"/>
      <c r="F961" s="5"/>
      <c r="G961" s="6"/>
      <c r="H961" s="5"/>
    </row>
    <row r="962" spans="1:8" x14ac:dyDescent="0.45">
      <c r="A962">
        <v>954</v>
      </c>
      <c r="B962" s="8"/>
      <c r="C962" s="5"/>
      <c r="D962" s="5"/>
      <c r="E962" s="5"/>
      <c r="F962" s="5"/>
      <c r="G962" s="6"/>
      <c r="H962" s="5"/>
    </row>
    <row r="963" spans="1:8" x14ac:dyDescent="0.45">
      <c r="A963">
        <v>955</v>
      </c>
      <c r="B963" s="8"/>
      <c r="C963" s="5"/>
      <c r="D963" s="5"/>
      <c r="E963" s="5"/>
      <c r="F963" s="5"/>
      <c r="G963" s="6"/>
      <c r="H963" s="5"/>
    </row>
    <row r="964" spans="1:8" x14ac:dyDescent="0.45">
      <c r="A964">
        <v>956</v>
      </c>
      <c r="B964" s="8"/>
      <c r="C964" s="5"/>
      <c r="D964" s="5"/>
      <c r="E964" s="5"/>
      <c r="F964" s="5"/>
      <c r="G964" s="6"/>
      <c r="H964" s="5"/>
    </row>
    <row r="965" spans="1:8" x14ac:dyDescent="0.45">
      <c r="A965">
        <v>957</v>
      </c>
      <c r="B965" s="8"/>
      <c r="C965" s="5"/>
      <c r="D965" s="5"/>
      <c r="E965" s="5"/>
      <c r="F965" s="5"/>
      <c r="G965" s="6"/>
      <c r="H965" s="5"/>
    </row>
    <row r="966" spans="1:8" x14ac:dyDescent="0.45">
      <c r="A966">
        <v>958</v>
      </c>
      <c r="B966" s="8"/>
      <c r="C966" s="5"/>
      <c r="D966" s="5"/>
      <c r="E966" s="5"/>
      <c r="F966" s="5"/>
      <c r="G966" s="6"/>
      <c r="H966" s="5"/>
    </row>
    <row r="967" spans="1:8" x14ac:dyDescent="0.45">
      <c r="A967">
        <v>959</v>
      </c>
      <c r="B967" s="8"/>
      <c r="C967" s="5"/>
      <c r="D967" s="5"/>
      <c r="E967" s="5"/>
      <c r="F967" s="5"/>
      <c r="G967" s="6"/>
      <c r="H967" s="5"/>
    </row>
    <row r="968" spans="1:8" x14ac:dyDescent="0.45">
      <c r="A968">
        <v>960</v>
      </c>
      <c r="B968" s="8"/>
      <c r="C968" s="5"/>
      <c r="D968" s="5"/>
      <c r="E968" s="5"/>
      <c r="F968" s="5"/>
      <c r="G968" s="6"/>
      <c r="H968" s="5"/>
    </row>
    <row r="969" spans="1:8" x14ac:dyDescent="0.45">
      <c r="A969">
        <v>961</v>
      </c>
      <c r="B969" s="8"/>
      <c r="C969" s="5"/>
      <c r="D969" s="5"/>
      <c r="E969" s="5"/>
      <c r="F969" s="5"/>
      <c r="G969" s="6"/>
      <c r="H969" s="5"/>
    </row>
    <row r="970" spans="1:8" x14ac:dyDescent="0.45">
      <c r="A970">
        <v>962</v>
      </c>
      <c r="B970" s="8"/>
      <c r="C970" s="5"/>
      <c r="D970" s="5"/>
      <c r="E970" s="5"/>
      <c r="F970" s="5"/>
      <c r="G970" s="6"/>
      <c r="H970" s="5"/>
    </row>
    <row r="971" spans="1:8" x14ac:dyDescent="0.45">
      <c r="A971">
        <v>963</v>
      </c>
      <c r="B971" s="8"/>
      <c r="C971" s="5"/>
      <c r="D971" s="5"/>
      <c r="E971" s="5"/>
      <c r="F971" s="5"/>
      <c r="G971" s="6"/>
      <c r="H971" s="5"/>
    </row>
    <row r="972" spans="1:8" x14ac:dyDescent="0.45">
      <c r="A972">
        <v>964</v>
      </c>
      <c r="B972" s="8"/>
      <c r="C972" s="5"/>
      <c r="D972" s="5"/>
      <c r="E972" s="5"/>
      <c r="F972" s="5"/>
      <c r="G972" s="6"/>
      <c r="H972" s="5"/>
    </row>
    <row r="973" spans="1:8" x14ac:dyDescent="0.45">
      <c r="A973">
        <v>965</v>
      </c>
      <c r="B973" s="8"/>
      <c r="C973" s="5"/>
      <c r="D973" s="5"/>
      <c r="E973" s="5"/>
      <c r="F973" s="5"/>
      <c r="G973" s="6"/>
      <c r="H973" s="5"/>
    </row>
    <row r="974" spans="1:8" x14ac:dyDescent="0.45">
      <c r="A974">
        <v>966</v>
      </c>
      <c r="B974" s="8"/>
      <c r="C974" s="5"/>
      <c r="D974" s="5"/>
      <c r="E974" s="5"/>
      <c r="F974" s="5"/>
      <c r="G974" s="6"/>
      <c r="H974" s="5"/>
    </row>
    <row r="975" spans="1:8" x14ac:dyDescent="0.45">
      <c r="A975">
        <v>967</v>
      </c>
      <c r="B975" s="8"/>
      <c r="C975" s="5"/>
      <c r="D975" s="5"/>
      <c r="E975" s="5"/>
      <c r="F975" s="5"/>
      <c r="G975" s="6"/>
      <c r="H975" s="5"/>
    </row>
    <row r="976" spans="1:8" x14ac:dyDescent="0.45">
      <c r="A976">
        <v>968</v>
      </c>
      <c r="B976" s="8"/>
      <c r="C976" s="5"/>
      <c r="D976" s="5"/>
      <c r="E976" s="5"/>
      <c r="F976" s="5"/>
      <c r="G976" s="6"/>
      <c r="H976" s="5"/>
    </row>
    <row r="977" spans="1:8" x14ac:dyDescent="0.45">
      <c r="A977">
        <v>969</v>
      </c>
      <c r="B977" s="8"/>
      <c r="C977" s="5"/>
      <c r="D977" s="5"/>
      <c r="E977" s="5"/>
      <c r="F977" s="5"/>
      <c r="G977" s="6"/>
      <c r="H977" s="5"/>
    </row>
    <row r="978" spans="1:8" x14ac:dyDescent="0.45">
      <c r="A978">
        <v>970</v>
      </c>
      <c r="B978" s="8"/>
      <c r="C978" s="5"/>
      <c r="D978" s="5"/>
      <c r="E978" s="5"/>
      <c r="F978" s="5"/>
      <c r="G978" s="6"/>
      <c r="H978" s="5"/>
    </row>
    <row r="979" spans="1:8" x14ac:dyDescent="0.45">
      <c r="A979">
        <v>971</v>
      </c>
      <c r="B979" s="8"/>
      <c r="C979" s="5"/>
      <c r="D979" s="5"/>
      <c r="E979" s="5"/>
      <c r="F979" s="5"/>
      <c r="G979" s="6"/>
      <c r="H979" s="5"/>
    </row>
    <row r="980" spans="1:8" x14ac:dyDescent="0.45">
      <c r="A980">
        <v>972</v>
      </c>
      <c r="B980" s="8"/>
      <c r="C980" s="5"/>
      <c r="D980" s="5"/>
      <c r="E980" s="5"/>
      <c r="F980" s="5"/>
      <c r="G980" s="6"/>
      <c r="H980" s="5"/>
    </row>
    <row r="981" spans="1:8" x14ac:dyDescent="0.45">
      <c r="A981">
        <v>973</v>
      </c>
      <c r="B981" s="8"/>
      <c r="C981" s="5"/>
      <c r="D981" s="5"/>
      <c r="E981" s="5"/>
      <c r="F981" s="5"/>
      <c r="G981" s="6"/>
      <c r="H981" s="5"/>
    </row>
    <row r="982" spans="1:8" x14ac:dyDescent="0.45">
      <c r="A982">
        <v>974</v>
      </c>
      <c r="B982" s="8"/>
      <c r="C982" s="5"/>
      <c r="D982" s="5"/>
      <c r="E982" s="5"/>
      <c r="F982" s="5"/>
      <c r="G982" s="6"/>
      <c r="H982" s="5"/>
    </row>
    <row r="983" spans="1:8" x14ac:dyDescent="0.45">
      <c r="A983">
        <v>975</v>
      </c>
      <c r="B983" s="8"/>
      <c r="C983" s="5"/>
      <c r="D983" s="5"/>
      <c r="E983" s="5"/>
      <c r="F983" s="5"/>
      <c r="G983" s="6"/>
      <c r="H983" s="5"/>
    </row>
    <row r="984" spans="1:8" x14ac:dyDescent="0.45">
      <c r="A984">
        <v>976</v>
      </c>
      <c r="B984" s="8"/>
      <c r="C984" s="5"/>
      <c r="D984" s="5"/>
      <c r="E984" s="5"/>
      <c r="F984" s="5"/>
      <c r="G984" s="6"/>
      <c r="H984" s="5"/>
    </row>
    <row r="985" spans="1:8" x14ac:dyDescent="0.45">
      <c r="A985">
        <v>977</v>
      </c>
      <c r="B985" s="8"/>
      <c r="C985" s="5"/>
      <c r="D985" s="5"/>
      <c r="E985" s="5"/>
      <c r="F985" s="5"/>
      <c r="G985" s="6"/>
      <c r="H985" s="5"/>
    </row>
    <row r="986" spans="1:8" x14ac:dyDescent="0.45">
      <c r="A986">
        <v>978</v>
      </c>
      <c r="B986" s="8"/>
      <c r="C986" s="5"/>
      <c r="D986" s="5"/>
      <c r="E986" s="5"/>
      <c r="F986" s="5"/>
      <c r="G986" s="6"/>
      <c r="H986" s="5"/>
    </row>
    <row r="987" spans="1:8" x14ac:dyDescent="0.45">
      <c r="A987">
        <v>979</v>
      </c>
      <c r="B987" s="8"/>
      <c r="C987" s="5"/>
      <c r="D987" s="5"/>
      <c r="E987" s="5"/>
      <c r="F987" s="5"/>
      <c r="G987" s="6"/>
      <c r="H987" s="5"/>
    </row>
    <row r="988" spans="1:8" x14ac:dyDescent="0.45">
      <c r="A988">
        <v>980</v>
      </c>
      <c r="B988" s="8"/>
      <c r="C988" s="5"/>
      <c r="D988" s="5"/>
      <c r="E988" s="5"/>
      <c r="F988" s="5"/>
      <c r="G988" s="6"/>
      <c r="H988" s="5"/>
    </row>
    <row r="989" spans="1:8" x14ac:dyDescent="0.45">
      <c r="A989">
        <v>981</v>
      </c>
      <c r="B989" s="8"/>
      <c r="C989" s="5"/>
      <c r="D989" s="5"/>
      <c r="E989" s="5"/>
      <c r="F989" s="5"/>
      <c r="G989" s="6"/>
      <c r="H989" s="5"/>
    </row>
    <row r="990" spans="1:8" x14ac:dyDescent="0.45">
      <c r="A990">
        <v>982</v>
      </c>
      <c r="B990" s="8"/>
      <c r="C990" s="5"/>
      <c r="D990" s="5"/>
      <c r="E990" s="5"/>
      <c r="F990" s="5"/>
      <c r="G990" s="6"/>
      <c r="H990" s="5"/>
    </row>
    <row r="991" spans="1:8" x14ac:dyDescent="0.45">
      <c r="A991">
        <v>983</v>
      </c>
      <c r="B991" s="8"/>
      <c r="C991" s="5"/>
      <c r="D991" s="5"/>
      <c r="E991" s="5"/>
      <c r="F991" s="5"/>
      <c r="G991" s="6"/>
      <c r="H991" s="5"/>
    </row>
    <row r="992" spans="1:8" x14ac:dyDescent="0.45">
      <c r="A992">
        <v>984</v>
      </c>
      <c r="B992" s="8"/>
      <c r="C992" s="5"/>
      <c r="D992" s="5"/>
      <c r="E992" s="5"/>
      <c r="F992" s="5"/>
      <c r="G992" s="6"/>
      <c r="H992" s="5"/>
    </row>
    <row r="993" spans="1:8" x14ac:dyDescent="0.45">
      <c r="A993">
        <v>985</v>
      </c>
      <c r="B993" s="8"/>
      <c r="C993" s="5"/>
      <c r="D993" s="5"/>
      <c r="E993" s="5"/>
      <c r="F993" s="5"/>
      <c r="G993" s="6"/>
      <c r="H993" s="5"/>
    </row>
    <row r="994" spans="1:8" x14ac:dyDescent="0.45">
      <c r="A994">
        <v>986</v>
      </c>
      <c r="B994" s="8"/>
      <c r="C994" s="5"/>
      <c r="D994" s="5"/>
      <c r="E994" s="5"/>
      <c r="F994" s="5"/>
      <c r="G994" s="6"/>
      <c r="H994" s="5"/>
    </row>
    <row r="995" spans="1:8" x14ac:dyDescent="0.45">
      <c r="A995">
        <v>987</v>
      </c>
      <c r="B995" s="8"/>
      <c r="C995" s="5"/>
      <c r="D995" s="5"/>
      <c r="E995" s="5"/>
      <c r="F995" s="5"/>
      <c r="G995" s="6"/>
      <c r="H995" s="5"/>
    </row>
    <row r="996" spans="1:8" x14ac:dyDescent="0.45">
      <c r="A996">
        <v>988</v>
      </c>
      <c r="B996" s="8"/>
      <c r="C996" s="5"/>
      <c r="D996" s="5"/>
      <c r="E996" s="5"/>
      <c r="F996" s="5"/>
      <c r="G996" s="6"/>
      <c r="H996" s="5"/>
    </row>
    <row r="997" spans="1:8" x14ac:dyDescent="0.45">
      <c r="A997">
        <v>989</v>
      </c>
      <c r="B997" s="8"/>
      <c r="C997" s="5"/>
      <c r="D997" s="5"/>
      <c r="E997" s="5"/>
      <c r="F997" s="5"/>
      <c r="G997" s="6"/>
      <c r="H997" s="5"/>
    </row>
    <row r="998" spans="1:8" x14ac:dyDescent="0.45">
      <c r="A998">
        <v>990</v>
      </c>
      <c r="B998" s="8"/>
      <c r="C998" s="5"/>
      <c r="D998" s="5"/>
      <c r="E998" s="5"/>
      <c r="F998" s="5"/>
      <c r="G998" s="6"/>
      <c r="H998" s="5"/>
    </row>
    <row r="999" spans="1:8" x14ac:dyDescent="0.45">
      <c r="A999">
        <v>991</v>
      </c>
      <c r="B999" s="8"/>
      <c r="C999" s="5"/>
      <c r="D999" s="5"/>
      <c r="E999" s="5"/>
      <c r="F999" s="5"/>
      <c r="G999" s="6"/>
      <c r="H999" s="5"/>
    </row>
    <row r="1000" spans="1:8" x14ac:dyDescent="0.45">
      <c r="A1000">
        <v>992</v>
      </c>
      <c r="B1000" s="8"/>
      <c r="C1000" s="5"/>
      <c r="D1000" s="5"/>
      <c r="E1000" s="5"/>
      <c r="F1000" s="5"/>
      <c r="G1000" s="6"/>
      <c r="H1000" s="5"/>
    </row>
    <row r="1001" spans="1:8" x14ac:dyDescent="0.45">
      <c r="A1001">
        <v>993</v>
      </c>
      <c r="B1001" s="8"/>
      <c r="C1001" s="5"/>
      <c r="D1001" s="5"/>
      <c r="E1001" s="5"/>
      <c r="F1001" s="5"/>
      <c r="G1001" s="6"/>
      <c r="H1001" s="5"/>
    </row>
    <row r="1002" spans="1:8" x14ac:dyDescent="0.45">
      <c r="A1002">
        <v>994</v>
      </c>
      <c r="B1002" s="8"/>
      <c r="C1002" s="5"/>
      <c r="D1002" s="5"/>
      <c r="E1002" s="5"/>
      <c r="F1002" s="5"/>
      <c r="G1002" s="6"/>
      <c r="H1002" s="5"/>
    </row>
    <row r="1003" spans="1:8" x14ac:dyDescent="0.45">
      <c r="A1003">
        <v>995</v>
      </c>
      <c r="B1003" s="8"/>
      <c r="C1003" s="5"/>
      <c r="D1003" s="5"/>
      <c r="E1003" s="5"/>
      <c r="F1003" s="5"/>
      <c r="G1003" s="6"/>
      <c r="H1003" s="5"/>
    </row>
    <row r="1004" spans="1:8" x14ac:dyDescent="0.45">
      <c r="A1004">
        <v>996</v>
      </c>
      <c r="B1004" s="8"/>
      <c r="C1004" s="5"/>
      <c r="D1004" s="5"/>
      <c r="E1004" s="5"/>
      <c r="F1004" s="5"/>
      <c r="G1004" s="6"/>
      <c r="H1004" s="5"/>
    </row>
    <row r="1005" spans="1:8" x14ac:dyDescent="0.45">
      <c r="A1005">
        <v>997</v>
      </c>
      <c r="B1005" s="8"/>
      <c r="C1005" s="5"/>
      <c r="D1005" s="5"/>
      <c r="E1005" s="5"/>
      <c r="F1005" s="5"/>
      <c r="G1005" s="6"/>
      <c r="H1005" s="5"/>
    </row>
    <row r="1006" spans="1:8" x14ac:dyDescent="0.45">
      <c r="A1006">
        <v>998</v>
      </c>
      <c r="B1006" s="8"/>
      <c r="C1006" s="5"/>
      <c r="D1006" s="5"/>
      <c r="E1006" s="5"/>
      <c r="F1006" s="5"/>
      <c r="G1006" s="6"/>
      <c r="H1006" s="5"/>
    </row>
    <row r="1007" spans="1:8" x14ac:dyDescent="0.45">
      <c r="A1007">
        <v>999</v>
      </c>
      <c r="B1007" s="8"/>
      <c r="C1007" s="5"/>
      <c r="D1007" s="5"/>
      <c r="E1007" s="5"/>
      <c r="F1007" s="5"/>
      <c r="G1007" s="6"/>
      <c r="H1007" s="5"/>
    </row>
    <row r="1008" spans="1:8" x14ac:dyDescent="0.45">
      <c r="A1008">
        <v>1000</v>
      </c>
      <c r="B1008" s="8"/>
      <c r="C1008" s="5"/>
      <c r="D1008" s="5"/>
      <c r="E1008" s="5"/>
      <c r="F1008" s="5"/>
      <c r="G1008" s="6"/>
      <c r="H1008" s="5"/>
    </row>
  </sheetData>
  <autoFilter ref="A3:H1008" xr:uid="{00000000-0001-0000-0200-000000000000}"/>
  <dataValidations count="4">
    <dataValidation type="list" allowBlank="1" sqref="C4:C1008" xr:uid="{00000000-0002-0000-0200-000000000000}">
      <formula1>"BEPAARI,DUKANDAR,CAPITAL,LOAN,AMANAT,ADVANCE,EXPENSE,ZAKAT,OTHER"</formula1>
    </dataValidation>
    <dataValidation type="list" allowBlank="1" sqref="D4:D1008" xr:uid="{00000000-0002-0000-0200-000001000000}">
      <formula1>"PAYMENT,RECEIPT,MOTOR,BHUSSA,GAWALI,CASH_ADV,DISCOUNT,TAKEN,WITHDRAWN,REPAID,GIVEN,RECEIVED,MANDI,TRAVEL,FOOD,SALARY,BF_DISC,JB_PAID,MHN_PERSONAL,PROVISION,PAID,MISC,OTHER"</formula1>
    </dataValidation>
    <dataValidation type="list" allowBlank="1" sqref="H4:H1008" xr:uid="{00000000-0002-0000-0200-000002000000}">
      <formula1>"CASH,BANK,UPI,TRANSFER"</formula1>
    </dataValidation>
    <dataValidation type="list" allowBlank="1" sqref="E4:E1008" xr:uid="{00000000-0002-0000-0200-000003000000}">
      <formula1>INDIRECT($C4)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S59"/>
  <sheetViews>
    <sheetView topLeftCell="A4" workbookViewId="0">
      <selection activeCell="H9" sqref="H9"/>
    </sheetView>
  </sheetViews>
  <sheetFormatPr defaultRowHeight="14.25" x14ac:dyDescent="0.45"/>
  <cols>
    <col min="1" max="1" width="4" customWidth="1"/>
    <col min="2" max="2" width="18" customWidth="1"/>
    <col min="3" max="3" width="6" customWidth="1"/>
    <col min="4" max="4" width="8" customWidth="1"/>
    <col min="5" max="5" width="10" customWidth="1"/>
    <col min="6" max="6" width="12" customWidth="1"/>
    <col min="7" max="7" width="6" customWidth="1"/>
    <col min="8" max="8" width="10" customWidth="1"/>
    <col min="9" max="10" width="8" customWidth="1"/>
    <col min="11" max="13" width="9" customWidth="1"/>
    <col min="14" max="14" width="10" customWidth="1"/>
    <col min="15" max="15" width="8" customWidth="1"/>
    <col min="16" max="16" width="11" customWidth="1"/>
    <col min="17" max="17" width="12" customWidth="1"/>
    <col min="18" max="18" width="11" customWidth="1"/>
    <col min="19" max="19" width="12" customWidth="1"/>
  </cols>
  <sheetData>
    <row r="1" spans="1:19" ht="18" x14ac:dyDescent="0.55000000000000004">
      <c r="A1" s="1" t="s">
        <v>118</v>
      </c>
    </row>
    <row r="2" spans="1:19" x14ac:dyDescent="0.45">
      <c r="A2" s="11" t="s">
        <v>119</v>
      </c>
    </row>
    <row r="4" spans="1:19" ht="28.5" x14ac:dyDescent="0.45">
      <c r="A4" s="2" t="s">
        <v>5</v>
      </c>
      <c r="B4" s="2" t="s">
        <v>97</v>
      </c>
      <c r="C4" s="2" t="s">
        <v>7</v>
      </c>
      <c r="D4" s="2" t="s">
        <v>120</v>
      </c>
      <c r="E4" s="2" t="s">
        <v>121</v>
      </c>
      <c r="F4" s="2" t="s">
        <v>122</v>
      </c>
      <c r="G4" s="2" t="s">
        <v>99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</row>
    <row r="5" spans="1:19" x14ac:dyDescent="0.45">
      <c r="A5">
        <v>1</v>
      </c>
      <c r="B5" t="str">
        <f>IF(Masters!$B$3="","",Masters!$B$3)</f>
        <v>ABUL HASAN</v>
      </c>
      <c r="C5">
        <f>IF(B5="","",Masters!$C$3)</f>
        <v>4</v>
      </c>
      <c r="D5" s="12" t="str">
        <f>IF(B5="","",IF(Masters!$D$3="","",Masters!$D$3))</f>
        <v/>
      </c>
      <c r="E5" s="12">
        <f>IF(B5="",0,Masters!$E$3)</f>
        <v>7550</v>
      </c>
      <c r="F5" s="12">
        <f>SUMIF(Daily_Sales!$C$4:$C$503,B5,Daily_Sales!$G$4:$G$503)</f>
        <v>742000</v>
      </c>
      <c r="G5" s="14">
        <f>SUMIF(Daily_Sales!$C$4:$C$503,B5,Daily_Sales!$E$4:$E$503)</f>
        <v>62</v>
      </c>
      <c r="H5" s="12">
        <f t="shared" ref="H5:H36" si="0">IF(B5="",0,IF(D5&lt;&gt;"",D5*G5,F5*C5/100))</f>
        <v>29680</v>
      </c>
      <c r="I5" s="9">
        <f>IF(G5&gt;0,Masters!$Y$3,0)</f>
        <v>100</v>
      </c>
      <c r="J5" s="9">
        <f>G5*Masters!$Y$4</f>
        <v>620</v>
      </c>
      <c r="K5" s="12">
        <f>SUMIFS(Cash_Book!$G$4:$G$1008,Cash_Book!$C$4:$C$1008,"BEPAARI",Cash_Book!$D$4:$D$1008,"MOTOR",Cash_Book!$E$4:$E$1008,B5)</f>
        <v>15120</v>
      </c>
      <c r="L5" s="12">
        <f>SUMIFS(Cash_Book!$G$4:$G$1008,Cash_Book!$C$4:$C$1008,"BEPAARI",Cash_Book!$D$4:$D$1008,"BHUSSA",Cash_Book!$E$4:$E$1008,B5)</f>
        <v>300</v>
      </c>
      <c r="M5" s="12">
        <f>SUMIFS(Cash_Book!$G$4:$G$1008,Cash_Book!$C$4:$C$1008,"BEPAARI",Cash_Book!$D$4:$D$1008,"GAWALI",Cash_Book!$E$4:$E$1008,B5)</f>
        <v>3780</v>
      </c>
      <c r="N5" s="12">
        <f>SUMIFS(Cash_Book!$G$4:$G$1008,Cash_Book!$C$4:$C$1008,"BEPAARI",Cash_Book!$D$4:$D$1008,"CASH_ADV",Cash_Book!$E$4:$E$1008,B5)</f>
        <v>0</v>
      </c>
      <c r="O5" s="12">
        <f>SUMIFS(Cash_Book!$G$4:$G$1008,Cash_Book!$C$4:$C$1008,"BEPAARI",Cash_Book!$D$4:$D$1008,"OTHER",Cash_Book!$E$4:$E$1008,B5)</f>
        <v>0</v>
      </c>
      <c r="P5" s="9">
        <f t="shared" ref="P5:P36" si="1">SUM(H5:O5)</f>
        <v>49600</v>
      </c>
      <c r="Q5" s="9">
        <f t="shared" ref="Q5:Q36" si="2">IF(B5="","",F5-P5+E5)</f>
        <v>699950</v>
      </c>
      <c r="R5" s="12">
        <f>SUMIFS(Cash_Book!$G$4:$G$1008,Cash_Book!$C$4:$C$1008,"BEPAARI",Cash_Book!$D$4:$D$1008,"PAYMENT",Cash_Book!$E$4:$E$1008,B5)</f>
        <v>556524</v>
      </c>
      <c r="S5" s="15">
        <f t="shared" ref="S5:S36" si="3">IF(B5="","",Q5-R5)</f>
        <v>143426</v>
      </c>
    </row>
    <row r="6" spans="1:19" x14ac:dyDescent="0.45">
      <c r="A6">
        <v>2</v>
      </c>
      <c r="B6" t="str">
        <f>IF(Masters!$B$4="","",Masters!$B$4)</f>
        <v>SHARAFAT</v>
      </c>
      <c r="C6">
        <f>IF(B6="","",Masters!$C$4)</f>
        <v>4</v>
      </c>
      <c r="D6" s="12" t="str">
        <f>IF(B6="","",IF(Masters!$D$4="","",Masters!$D$4))</f>
        <v/>
      </c>
      <c r="E6" s="12">
        <f>IF(B6="",0,Masters!$E$4)</f>
        <v>0</v>
      </c>
      <c r="F6" s="12">
        <f>SUMIF(Daily_Sales!$C$4:$C$503,B6,Daily_Sales!$G$4:$G$503)</f>
        <v>0</v>
      </c>
      <c r="G6" s="14">
        <f>SUMIF(Daily_Sales!$C$4:$C$503,B6,Daily_Sales!$E$4:$E$503)</f>
        <v>0</v>
      </c>
      <c r="H6" s="12">
        <f t="shared" si="0"/>
        <v>0</v>
      </c>
      <c r="I6" s="9">
        <f>IF(G6&gt;0,Masters!$Y$3,0)</f>
        <v>0</v>
      </c>
      <c r="J6" s="9">
        <f>G6*Masters!$Y$4</f>
        <v>0</v>
      </c>
      <c r="K6" s="12">
        <f>SUMIFS(Cash_Book!$G$4:$G$1008,Cash_Book!$C$4:$C$1008,"BEPAARI",Cash_Book!$D$4:$D$1008,"MOTOR",Cash_Book!$E$4:$E$1008,B6)</f>
        <v>0</v>
      </c>
      <c r="L6" s="12">
        <f>SUMIFS(Cash_Book!$G$4:$G$1008,Cash_Book!$C$4:$C$1008,"BEPAARI",Cash_Book!$D$4:$D$1008,"BHUSSA",Cash_Book!$E$4:$E$1008,B6)</f>
        <v>0</v>
      </c>
      <c r="M6" s="12">
        <f>SUMIFS(Cash_Book!$G$4:$G$1008,Cash_Book!$C$4:$C$1008,"BEPAARI",Cash_Book!$D$4:$D$1008,"GAWALI",Cash_Book!$E$4:$E$1008,B6)</f>
        <v>0</v>
      </c>
      <c r="N6" s="12">
        <f>SUMIFS(Cash_Book!$G$4:$G$1008,Cash_Book!$C$4:$C$1008,"BEPAARI",Cash_Book!$D$4:$D$1008,"CASH_ADV",Cash_Book!$E$4:$E$1008,B6)</f>
        <v>0</v>
      </c>
      <c r="O6" s="12">
        <f>SUMIFS(Cash_Book!$G$4:$G$1008,Cash_Book!$C$4:$C$1008,"BEPAARI",Cash_Book!$D$4:$D$1008,"OTHER",Cash_Book!$E$4:$E$1008,B6)</f>
        <v>0</v>
      </c>
      <c r="P6" s="9">
        <f t="shared" si="1"/>
        <v>0</v>
      </c>
      <c r="Q6" s="9">
        <f t="shared" si="2"/>
        <v>0</v>
      </c>
      <c r="R6" s="12">
        <f>SUMIFS(Cash_Book!$G$4:$G$1008,Cash_Book!$C$4:$C$1008,"BEPAARI",Cash_Book!$D$4:$D$1008,"PAYMENT",Cash_Book!$E$4:$E$1008,B6)</f>
        <v>0</v>
      </c>
      <c r="S6" s="15">
        <f t="shared" si="3"/>
        <v>0</v>
      </c>
    </row>
    <row r="7" spans="1:19" x14ac:dyDescent="0.45">
      <c r="A7">
        <v>3</v>
      </c>
      <c r="B7" t="str">
        <f>IF(Masters!$B$5="","",Masters!$B$5)</f>
        <v>JUNAID</v>
      </c>
      <c r="C7">
        <f>IF(B7="","",Masters!$C$5)</f>
        <v>4</v>
      </c>
      <c r="D7" s="12" t="str">
        <f>IF(B7="","",IF(Masters!$D$5="","",Masters!$D$5))</f>
        <v/>
      </c>
      <c r="E7" s="12">
        <f>IF(B7="",0,Masters!$E$5)</f>
        <v>0</v>
      </c>
      <c r="F7" s="12">
        <f>SUMIF(Daily_Sales!$C$4:$C$503,B7,Daily_Sales!$G$4:$G$503)</f>
        <v>858950</v>
      </c>
      <c r="G7" s="14">
        <f>SUMIF(Daily_Sales!$C$4:$C$503,B7,Daily_Sales!$E$4:$E$503)</f>
        <v>94</v>
      </c>
      <c r="H7" s="12">
        <f t="shared" si="0"/>
        <v>34358</v>
      </c>
      <c r="I7" s="9">
        <f>IF(G7&gt;0,Masters!$Y$3,0)</f>
        <v>100</v>
      </c>
      <c r="J7" s="9">
        <f>G7*Masters!$Y$4</f>
        <v>940</v>
      </c>
      <c r="K7" s="12">
        <f>SUMIFS(Cash_Book!$G$4:$G$1008,Cash_Book!$C$4:$C$1008,"BEPAARI",Cash_Book!$D$4:$D$1008,"MOTOR",Cash_Book!$E$4:$E$1008,B7)</f>
        <v>11760</v>
      </c>
      <c r="L7" s="12">
        <f>SUMIFS(Cash_Book!$G$4:$G$1008,Cash_Book!$C$4:$C$1008,"BEPAARI",Cash_Book!$D$4:$D$1008,"BHUSSA",Cash_Book!$E$4:$E$1008,B7)</f>
        <v>250</v>
      </c>
      <c r="M7" s="12">
        <f>SUMIFS(Cash_Book!$G$4:$G$1008,Cash_Book!$C$4:$C$1008,"BEPAARI",Cash_Book!$D$4:$D$1008,"GAWALI",Cash_Book!$E$4:$E$1008,B7)</f>
        <v>5640</v>
      </c>
      <c r="N7" s="12">
        <f>SUMIFS(Cash_Book!$G$4:$G$1008,Cash_Book!$C$4:$C$1008,"BEPAARI",Cash_Book!$D$4:$D$1008,"CASH_ADV",Cash_Book!$E$4:$E$1008,B7)</f>
        <v>0</v>
      </c>
      <c r="O7" s="12">
        <f>SUMIFS(Cash_Book!$G$4:$G$1008,Cash_Book!$C$4:$C$1008,"BEPAARI",Cash_Book!$D$4:$D$1008,"OTHER",Cash_Book!$E$4:$E$1008,B7)</f>
        <v>0</v>
      </c>
      <c r="P7" s="9">
        <f t="shared" si="1"/>
        <v>53048</v>
      </c>
      <c r="Q7" s="9">
        <f t="shared" si="2"/>
        <v>805902</v>
      </c>
      <c r="R7" s="12">
        <f>SUMIFS(Cash_Book!$G$4:$G$1008,Cash_Book!$C$4:$C$1008,"BEPAARI",Cash_Book!$D$4:$D$1008,"PAYMENT",Cash_Book!$E$4:$E$1008,B7)</f>
        <v>610500</v>
      </c>
      <c r="S7" s="15">
        <f t="shared" si="3"/>
        <v>195402</v>
      </c>
    </row>
    <row r="8" spans="1:19" x14ac:dyDescent="0.45">
      <c r="A8">
        <v>4</v>
      </c>
      <c r="B8" t="str">
        <f>IF(Masters!$B$6="","",Masters!$B$6)</f>
        <v>ANNU SHARIF</v>
      </c>
      <c r="C8">
        <f>IF(B8="","",Masters!$C$6)</f>
        <v>4</v>
      </c>
      <c r="D8" s="12" t="str">
        <f>IF(B8="","",IF(Masters!$D$6="","",Masters!$D$6))</f>
        <v/>
      </c>
      <c r="E8" s="12">
        <f>IF(B8="",0,Masters!$E$6)</f>
        <v>0</v>
      </c>
      <c r="F8" s="12">
        <f>SUMIF(Daily_Sales!$C$4:$C$503,B8,Daily_Sales!$G$4:$G$503)</f>
        <v>0</v>
      </c>
      <c r="G8" s="14">
        <f>SUMIF(Daily_Sales!$C$4:$C$503,B8,Daily_Sales!$E$4:$E$503)</f>
        <v>0</v>
      </c>
      <c r="H8" s="12">
        <f t="shared" si="0"/>
        <v>0</v>
      </c>
      <c r="I8" s="9">
        <f>IF(G8&gt;0,Masters!$Y$3,0)</f>
        <v>0</v>
      </c>
      <c r="J8" s="9">
        <f>G8*Masters!$Y$4</f>
        <v>0</v>
      </c>
      <c r="K8" s="12">
        <f>SUMIFS(Cash_Book!$G$4:$G$1008,Cash_Book!$C$4:$C$1008,"BEPAARI",Cash_Book!$D$4:$D$1008,"MOTOR",Cash_Book!$E$4:$E$1008,B8)</f>
        <v>0</v>
      </c>
      <c r="L8" s="12">
        <f>SUMIFS(Cash_Book!$G$4:$G$1008,Cash_Book!$C$4:$C$1008,"BEPAARI",Cash_Book!$D$4:$D$1008,"BHUSSA",Cash_Book!$E$4:$E$1008,B8)</f>
        <v>0</v>
      </c>
      <c r="M8" s="12">
        <f>SUMIFS(Cash_Book!$G$4:$G$1008,Cash_Book!$C$4:$C$1008,"BEPAARI",Cash_Book!$D$4:$D$1008,"GAWALI",Cash_Book!$E$4:$E$1008,B8)</f>
        <v>0</v>
      </c>
      <c r="N8" s="12">
        <f>SUMIFS(Cash_Book!$G$4:$G$1008,Cash_Book!$C$4:$C$1008,"BEPAARI",Cash_Book!$D$4:$D$1008,"CASH_ADV",Cash_Book!$E$4:$E$1008,B8)</f>
        <v>0</v>
      </c>
      <c r="O8" s="12">
        <f>SUMIFS(Cash_Book!$G$4:$G$1008,Cash_Book!$C$4:$C$1008,"BEPAARI",Cash_Book!$D$4:$D$1008,"OTHER",Cash_Book!$E$4:$E$1008,B8)</f>
        <v>0</v>
      </c>
      <c r="P8" s="9">
        <f t="shared" si="1"/>
        <v>0</v>
      </c>
      <c r="Q8" s="9">
        <f t="shared" si="2"/>
        <v>0</v>
      </c>
      <c r="R8" s="12">
        <f>SUMIFS(Cash_Book!$G$4:$G$1008,Cash_Book!$C$4:$C$1008,"BEPAARI",Cash_Book!$D$4:$D$1008,"PAYMENT",Cash_Book!$E$4:$E$1008,B8)</f>
        <v>0</v>
      </c>
      <c r="S8" s="15">
        <f t="shared" si="3"/>
        <v>0</v>
      </c>
    </row>
    <row r="9" spans="1:19" x14ac:dyDescent="0.45">
      <c r="A9">
        <v>5</v>
      </c>
      <c r="B9" t="str">
        <f>IF(Masters!$B$7="","",Masters!$B$7)</f>
        <v>GAYYUR</v>
      </c>
      <c r="C9">
        <f>IF(B9="","",Masters!$C$7)</f>
        <v>4</v>
      </c>
      <c r="D9" s="12" t="str">
        <f>IF(B9="","",IF(Masters!$D$7="","",Masters!$D$7))</f>
        <v/>
      </c>
      <c r="E9" s="12">
        <f>IF(B9="",0,Masters!$E$7)</f>
        <v>142530</v>
      </c>
      <c r="F9" s="12">
        <f>SUMIF(Daily_Sales!$C$4:$C$503,B9,Daily_Sales!$G$4:$G$503)</f>
        <v>439750</v>
      </c>
      <c r="G9" s="14">
        <f>SUMIF(Daily_Sales!$C$4:$C$503,B9,Daily_Sales!$E$4:$E$503)</f>
        <v>37</v>
      </c>
      <c r="H9" s="12">
        <f t="shared" si="0"/>
        <v>17590</v>
      </c>
      <c r="I9" s="9">
        <f>IF(G9&gt;0,Masters!$Y$3,0)</f>
        <v>100</v>
      </c>
      <c r="J9" s="9">
        <f>G9*Masters!$Y$4</f>
        <v>370</v>
      </c>
      <c r="K9" s="12">
        <f>SUMIFS(Cash_Book!$G$4:$G$1008,Cash_Book!$C$4:$C$1008,"BEPAARI",Cash_Book!$D$4:$D$1008,"MOTOR",Cash_Book!$E$4:$E$1008,B9)</f>
        <v>10320</v>
      </c>
      <c r="L9" s="12">
        <f>SUMIFS(Cash_Book!$G$4:$G$1008,Cash_Book!$C$4:$C$1008,"BEPAARI",Cash_Book!$D$4:$D$1008,"BHUSSA",Cash_Book!$E$4:$E$1008,B9)</f>
        <v>0</v>
      </c>
      <c r="M9" s="12">
        <f>SUMIFS(Cash_Book!$G$4:$G$1008,Cash_Book!$C$4:$C$1008,"BEPAARI",Cash_Book!$D$4:$D$1008,"GAWALI",Cash_Book!$E$4:$E$1008,B9)</f>
        <v>8660</v>
      </c>
      <c r="N9" s="12">
        <f>SUMIFS(Cash_Book!$G$4:$G$1008,Cash_Book!$C$4:$C$1008,"BEPAARI",Cash_Book!$D$4:$D$1008,"CASH_ADV",Cash_Book!$E$4:$E$1008,B9)</f>
        <v>0</v>
      </c>
      <c r="O9" s="12">
        <f>SUMIFS(Cash_Book!$G$4:$G$1008,Cash_Book!$C$4:$C$1008,"BEPAARI",Cash_Book!$D$4:$D$1008,"OTHER",Cash_Book!$E$4:$E$1008,B9)</f>
        <v>0</v>
      </c>
      <c r="P9" s="9">
        <f t="shared" si="1"/>
        <v>37040</v>
      </c>
      <c r="Q9" s="9">
        <f t="shared" si="2"/>
        <v>545240</v>
      </c>
      <c r="R9" s="12">
        <f>SUMIFS(Cash_Book!$G$4:$G$1008,Cash_Book!$C$4:$C$1008,"BEPAARI",Cash_Book!$D$4:$D$1008,"PAYMENT",Cash_Book!$E$4:$E$1008,B9)</f>
        <v>282530</v>
      </c>
      <c r="S9" s="15">
        <f t="shared" si="3"/>
        <v>262710</v>
      </c>
    </row>
    <row r="10" spans="1:19" x14ac:dyDescent="0.45">
      <c r="A10">
        <v>6</v>
      </c>
      <c r="B10" t="str">
        <f>IF(Masters!$B$8="","",Masters!$B$8)</f>
        <v>KISHOR</v>
      </c>
      <c r="C10">
        <f>IF(B10="","",Masters!$C$8)</f>
        <v>4</v>
      </c>
      <c r="D10" s="12" t="str">
        <f>IF(B10="","",IF(Masters!$D$8="","",Masters!$D$8))</f>
        <v/>
      </c>
      <c r="E10" s="12">
        <f>IF(B10="",0,Masters!$E$8)</f>
        <v>-152964</v>
      </c>
      <c r="F10" s="12">
        <f>SUMIF(Daily_Sales!$C$4:$C$503,B10,Daily_Sales!$G$4:$G$503)</f>
        <v>464000</v>
      </c>
      <c r="G10" s="14">
        <f>SUMIF(Daily_Sales!$C$4:$C$503,B10,Daily_Sales!$E$4:$E$503)</f>
        <v>32</v>
      </c>
      <c r="H10" s="12">
        <f t="shared" si="0"/>
        <v>18560</v>
      </c>
      <c r="I10" s="9">
        <f>IF(G10&gt;0,Masters!$Y$3,0)</f>
        <v>100</v>
      </c>
      <c r="J10" s="9">
        <f>G10*Masters!$Y$4</f>
        <v>320</v>
      </c>
      <c r="K10" s="12">
        <f>SUMIFS(Cash_Book!$G$4:$G$1008,Cash_Book!$C$4:$C$1008,"BEPAARI",Cash_Book!$D$4:$D$1008,"MOTOR",Cash_Book!$E$4:$E$1008,B10)</f>
        <v>7680</v>
      </c>
      <c r="L10" s="12">
        <f>SUMIFS(Cash_Book!$G$4:$G$1008,Cash_Book!$C$4:$C$1008,"BEPAARI",Cash_Book!$D$4:$D$1008,"BHUSSA",Cash_Book!$E$4:$E$1008,B10)</f>
        <v>150</v>
      </c>
      <c r="M10" s="12">
        <f>SUMIFS(Cash_Book!$G$4:$G$1008,Cash_Book!$C$4:$C$1008,"BEPAARI",Cash_Book!$D$4:$D$1008,"GAWALI",Cash_Book!$E$4:$E$1008,B10)</f>
        <v>1920</v>
      </c>
      <c r="N10" s="12">
        <f>SUMIFS(Cash_Book!$G$4:$G$1008,Cash_Book!$C$4:$C$1008,"BEPAARI",Cash_Book!$D$4:$D$1008,"CASH_ADV",Cash_Book!$E$4:$E$1008,B10)</f>
        <v>0</v>
      </c>
      <c r="O10" s="12">
        <f>SUMIFS(Cash_Book!$G$4:$G$1008,Cash_Book!$C$4:$C$1008,"BEPAARI",Cash_Book!$D$4:$D$1008,"OTHER",Cash_Book!$E$4:$E$1008,B10)</f>
        <v>0</v>
      </c>
      <c r="P10" s="9">
        <f t="shared" si="1"/>
        <v>28730</v>
      </c>
      <c r="Q10" s="9">
        <f t="shared" si="2"/>
        <v>282306</v>
      </c>
      <c r="R10" s="12">
        <f>SUMIFS(Cash_Book!$G$4:$G$1008,Cash_Book!$C$4:$C$1008,"BEPAARI",Cash_Book!$D$4:$D$1008,"PAYMENT",Cash_Book!$E$4:$E$1008,B10)</f>
        <v>280000</v>
      </c>
      <c r="S10" s="15">
        <f t="shared" si="3"/>
        <v>2306</v>
      </c>
    </row>
    <row r="11" spans="1:19" x14ac:dyDescent="0.45">
      <c r="A11">
        <v>7</v>
      </c>
      <c r="B11" t="str">
        <f>IF(Masters!$B$9="","",Masters!$B$9)</f>
        <v>MAULANA</v>
      </c>
      <c r="C11">
        <f>IF(B11="","",Masters!$C$9)</f>
        <v>4</v>
      </c>
      <c r="D11" s="12" t="str">
        <f>IF(B11="","",IF(Masters!$D$9="","",Masters!$D$9))</f>
        <v/>
      </c>
      <c r="E11" s="12">
        <f>IF(B11="",0,Masters!$E$9)</f>
        <v>35330</v>
      </c>
      <c r="F11" s="12">
        <f>SUMIF(Daily_Sales!$C$4:$C$503,B11,Daily_Sales!$G$4:$G$503)</f>
        <v>444350</v>
      </c>
      <c r="G11" s="14">
        <f>SUMIF(Daily_Sales!$C$4:$C$503,B11,Daily_Sales!$E$4:$E$503)</f>
        <v>41</v>
      </c>
      <c r="H11" s="12">
        <f t="shared" si="0"/>
        <v>17774</v>
      </c>
      <c r="I11" s="9">
        <f>IF(G11&gt;0,Masters!$Y$3,0)</f>
        <v>100</v>
      </c>
      <c r="J11" s="9">
        <f>G11*Masters!$Y$4</f>
        <v>410</v>
      </c>
      <c r="K11" s="12">
        <f>SUMIFS(Cash_Book!$G$4:$G$1008,Cash_Book!$C$4:$C$1008,"BEPAARI",Cash_Book!$D$4:$D$1008,"MOTOR",Cash_Book!$E$4:$E$1008,B11)</f>
        <v>10100</v>
      </c>
      <c r="L11" s="12">
        <f>SUMIFS(Cash_Book!$G$4:$G$1008,Cash_Book!$C$4:$C$1008,"BEPAARI",Cash_Book!$D$4:$D$1008,"BHUSSA",Cash_Book!$E$4:$E$1008,B11)</f>
        <v>0</v>
      </c>
      <c r="M11" s="12">
        <f>SUMIFS(Cash_Book!$G$4:$G$1008,Cash_Book!$C$4:$C$1008,"BEPAARI",Cash_Book!$D$4:$D$1008,"GAWALI",Cash_Book!$E$4:$E$1008,B11)</f>
        <v>2460</v>
      </c>
      <c r="N11" s="12">
        <f>SUMIFS(Cash_Book!$G$4:$G$1008,Cash_Book!$C$4:$C$1008,"BEPAARI",Cash_Book!$D$4:$D$1008,"CASH_ADV",Cash_Book!$E$4:$E$1008,B11)</f>
        <v>0</v>
      </c>
      <c r="O11" s="12">
        <f>SUMIFS(Cash_Book!$G$4:$G$1008,Cash_Book!$C$4:$C$1008,"BEPAARI",Cash_Book!$D$4:$D$1008,"OTHER",Cash_Book!$E$4:$E$1008,B11)</f>
        <v>0</v>
      </c>
      <c r="P11" s="9">
        <f t="shared" si="1"/>
        <v>30844</v>
      </c>
      <c r="Q11" s="9">
        <f t="shared" si="2"/>
        <v>448836</v>
      </c>
      <c r="R11" s="12">
        <f>SUMIFS(Cash_Book!$G$4:$G$1008,Cash_Book!$C$4:$C$1008,"BEPAARI",Cash_Book!$D$4:$D$1008,"PAYMENT",Cash_Book!$E$4:$E$1008,B11)</f>
        <v>300000</v>
      </c>
      <c r="S11" s="15">
        <f t="shared" si="3"/>
        <v>148836</v>
      </c>
    </row>
    <row r="12" spans="1:19" x14ac:dyDescent="0.45">
      <c r="A12">
        <v>8</v>
      </c>
      <c r="B12" t="str">
        <f>IF(Masters!$B$10="","",Masters!$B$10)</f>
        <v>SALIM RAJ</v>
      </c>
      <c r="C12">
        <f>IF(B12="","",Masters!$C$10)</f>
        <v>4</v>
      </c>
      <c r="D12" s="12" t="str">
        <f>IF(B12="","",IF(Masters!$D$10="","",Masters!$D$10))</f>
        <v/>
      </c>
      <c r="E12" s="12">
        <f>IF(B12="",0,Masters!$E$10)</f>
        <v>0</v>
      </c>
      <c r="F12" s="12">
        <f>SUMIF(Daily_Sales!$C$4:$C$503,B12,Daily_Sales!$G$4:$G$503)</f>
        <v>195500</v>
      </c>
      <c r="G12" s="14">
        <f>SUMIF(Daily_Sales!$C$4:$C$503,B12,Daily_Sales!$E$4:$E$503)</f>
        <v>17</v>
      </c>
      <c r="H12" s="12">
        <f t="shared" si="0"/>
        <v>7820</v>
      </c>
      <c r="I12" s="9">
        <f>IF(G12&gt;0,Masters!$Y$3,0)</f>
        <v>100</v>
      </c>
      <c r="J12" s="9">
        <f>G12*Masters!$Y$4</f>
        <v>170</v>
      </c>
      <c r="K12" s="12">
        <f>SUMIFS(Cash_Book!$G$4:$G$1008,Cash_Book!$C$4:$C$1008,"BEPAARI",Cash_Book!$D$4:$D$1008,"MOTOR",Cash_Book!$E$4:$E$1008,B12)</f>
        <v>4080</v>
      </c>
      <c r="L12" s="12">
        <f>SUMIFS(Cash_Book!$G$4:$G$1008,Cash_Book!$C$4:$C$1008,"BEPAARI",Cash_Book!$D$4:$D$1008,"BHUSSA",Cash_Book!$E$4:$E$1008,B12)</f>
        <v>0</v>
      </c>
      <c r="M12" s="12">
        <f>SUMIFS(Cash_Book!$G$4:$G$1008,Cash_Book!$C$4:$C$1008,"BEPAARI",Cash_Book!$D$4:$D$1008,"GAWALI",Cash_Book!$E$4:$E$1008,B12)</f>
        <v>1020</v>
      </c>
      <c r="N12" s="12">
        <f>SUMIFS(Cash_Book!$G$4:$G$1008,Cash_Book!$C$4:$C$1008,"BEPAARI",Cash_Book!$D$4:$D$1008,"CASH_ADV",Cash_Book!$E$4:$E$1008,B12)</f>
        <v>0</v>
      </c>
      <c r="O12" s="12">
        <f>SUMIFS(Cash_Book!$G$4:$G$1008,Cash_Book!$C$4:$C$1008,"BEPAARI",Cash_Book!$D$4:$D$1008,"OTHER",Cash_Book!$E$4:$E$1008,B12)</f>
        <v>0</v>
      </c>
      <c r="P12" s="9">
        <f t="shared" si="1"/>
        <v>13190</v>
      </c>
      <c r="Q12" s="9">
        <f t="shared" si="2"/>
        <v>182310</v>
      </c>
      <c r="R12" s="12">
        <f>SUMIFS(Cash_Book!$G$4:$G$1008,Cash_Book!$C$4:$C$1008,"BEPAARI",Cash_Book!$D$4:$D$1008,"PAYMENT",Cash_Book!$E$4:$E$1008,B12)</f>
        <v>0</v>
      </c>
      <c r="S12" s="15">
        <f t="shared" si="3"/>
        <v>182310</v>
      </c>
    </row>
    <row r="13" spans="1:19" x14ac:dyDescent="0.45">
      <c r="A13">
        <v>9</v>
      </c>
      <c r="B13" t="str">
        <f>IF(Masters!$B$11="","",Masters!$B$11)</f>
        <v>ANAS RAJ</v>
      </c>
      <c r="C13">
        <f>IF(B13="","",Masters!$C$11)</f>
        <v>4</v>
      </c>
      <c r="D13" s="12" t="str">
        <f>IF(B13="","",IF(Masters!$D$11="","",Masters!$D$11))</f>
        <v/>
      </c>
      <c r="E13" s="12">
        <f>IF(B13="",0,Masters!$E$11)</f>
        <v>0</v>
      </c>
      <c r="F13" s="12">
        <f>SUMIF(Daily_Sales!$C$4:$C$503,B13,Daily_Sales!$G$4:$G$503)</f>
        <v>334600</v>
      </c>
      <c r="G13" s="14">
        <f>SUMIF(Daily_Sales!$C$4:$C$503,B13,Daily_Sales!$E$4:$E$503)</f>
        <v>33</v>
      </c>
      <c r="H13" s="12">
        <f t="shared" si="0"/>
        <v>13384</v>
      </c>
      <c r="I13" s="9">
        <f>IF(G13&gt;0,Masters!$Y$3,0)</f>
        <v>100</v>
      </c>
      <c r="J13" s="9">
        <f>G13*Masters!$Y$4</f>
        <v>330</v>
      </c>
      <c r="K13" s="12">
        <f>SUMIFS(Cash_Book!$G$4:$G$1008,Cash_Book!$C$4:$C$1008,"BEPAARI",Cash_Book!$D$4:$D$1008,"MOTOR",Cash_Book!$E$4:$E$1008,B13)</f>
        <v>7920</v>
      </c>
      <c r="L13" s="12">
        <f>SUMIFS(Cash_Book!$G$4:$G$1008,Cash_Book!$C$4:$C$1008,"BEPAARI",Cash_Book!$D$4:$D$1008,"BHUSSA",Cash_Book!$E$4:$E$1008,B13)</f>
        <v>200</v>
      </c>
      <c r="M13" s="12">
        <f>SUMIFS(Cash_Book!$G$4:$G$1008,Cash_Book!$C$4:$C$1008,"BEPAARI",Cash_Book!$D$4:$D$1008,"GAWALI",Cash_Book!$E$4:$E$1008,B13)</f>
        <v>1980</v>
      </c>
      <c r="N13" s="12">
        <f>SUMIFS(Cash_Book!$G$4:$G$1008,Cash_Book!$C$4:$C$1008,"BEPAARI",Cash_Book!$D$4:$D$1008,"CASH_ADV",Cash_Book!$E$4:$E$1008,B13)</f>
        <v>0</v>
      </c>
      <c r="O13" s="12">
        <f>SUMIFS(Cash_Book!$G$4:$G$1008,Cash_Book!$C$4:$C$1008,"BEPAARI",Cash_Book!$D$4:$D$1008,"OTHER",Cash_Book!$E$4:$E$1008,B13)</f>
        <v>0</v>
      </c>
      <c r="P13" s="9">
        <f t="shared" si="1"/>
        <v>23914</v>
      </c>
      <c r="Q13" s="9">
        <f t="shared" si="2"/>
        <v>310686</v>
      </c>
      <c r="R13" s="12">
        <f>SUMIFS(Cash_Book!$G$4:$G$1008,Cash_Book!$C$4:$C$1008,"BEPAARI",Cash_Book!$D$4:$D$1008,"PAYMENT",Cash_Book!$E$4:$E$1008,B13)</f>
        <v>310686</v>
      </c>
      <c r="S13" s="15">
        <f t="shared" si="3"/>
        <v>0</v>
      </c>
    </row>
    <row r="14" spans="1:19" x14ac:dyDescent="0.45">
      <c r="A14">
        <v>10</v>
      </c>
      <c r="B14" t="str">
        <f>IF(Masters!$B$12="","",Masters!$B$12)</f>
        <v>AYAZ</v>
      </c>
      <c r="C14">
        <f>IF(B14="","",Masters!$C$12)</f>
        <v>4</v>
      </c>
      <c r="D14" s="12" t="str">
        <f>IF(B14="","",IF(Masters!$D$12="","",Masters!$D$12))</f>
        <v/>
      </c>
      <c r="E14" s="12">
        <f>IF(B14="",0,Masters!$E$12)</f>
        <v>1530</v>
      </c>
      <c r="F14" s="12">
        <f>SUMIF(Daily_Sales!$C$4:$C$503,B14,Daily_Sales!$G$4:$G$503)</f>
        <v>0</v>
      </c>
      <c r="G14" s="14">
        <f>SUMIF(Daily_Sales!$C$4:$C$503,B14,Daily_Sales!$E$4:$E$503)</f>
        <v>0</v>
      </c>
      <c r="H14" s="12">
        <f t="shared" si="0"/>
        <v>0</v>
      </c>
      <c r="I14" s="9">
        <f>IF(G14&gt;0,Masters!$Y$3,0)</f>
        <v>0</v>
      </c>
      <c r="J14" s="9">
        <f>G14*Masters!$Y$4</f>
        <v>0</v>
      </c>
      <c r="K14" s="12">
        <f>SUMIFS(Cash_Book!$G$4:$G$1008,Cash_Book!$C$4:$C$1008,"BEPAARI",Cash_Book!$D$4:$D$1008,"MOTOR",Cash_Book!$E$4:$E$1008,B14)</f>
        <v>0</v>
      </c>
      <c r="L14" s="12">
        <f>SUMIFS(Cash_Book!$G$4:$G$1008,Cash_Book!$C$4:$C$1008,"BEPAARI",Cash_Book!$D$4:$D$1008,"BHUSSA",Cash_Book!$E$4:$E$1008,B14)</f>
        <v>0</v>
      </c>
      <c r="M14" s="12">
        <f>SUMIFS(Cash_Book!$G$4:$G$1008,Cash_Book!$C$4:$C$1008,"BEPAARI",Cash_Book!$D$4:$D$1008,"GAWALI",Cash_Book!$E$4:$E$1008,B14)</f>
        <v>0</v>
      </c>
      <c r="N14" s="12">
        <f>SUMIFS(Cash_Book!$G$4:$G$1008,Cash_Book!$C$4:$C$1008,"BEPAARI",Cash_Book!$D$4:$D$1008,"CASH_ADV",Cash_Book!$E$4:$E$1008,B14)</f>
        <v>0</v>
      </c>
      <c r="O14" s="12">
        <f>SUMIFS(Cash_Book!$G$4:$G$1008,Cash_Book!$C$4:$C$1008,"BEPAARI",Cash_Book!$D$4:$D$1008,"OTHER",Cash_Book!$E$4:$E$1008,B14)</f>
        <v>0</v>
      </c>
      <c r="P14" s="9">
        <f t="shared" si="1"/>
        <v>0</v>
      </c>
      <c r="Q14" s="9">
        <f t="shared" si="2"/>
        <v>1530</v>
      </c>
      <c r="R14" s="12">
        <f>SUMIFS(Cash_Book!$G$4:$G$1008,Cash_Book!$C$4:$C$1008,"BEPAARI",Cash_Book!$D$4:$D$1008,"PAYMENT",Cash_Book!$E$4:$E$1008,B14)</f>
        <v>0</v>
      </c>
      <c r="S14" s="15">
        <f t="shared" si="3"/>
        <v>1530</v>
      </c>
    </row>
    <row r="15" spans="1:19" x14ac:dyDescent="0.45">
      <c r="A15">
        <v>11</v>
      </c>
      <c r="B15" t="str">
        <f>IF(Masters!$B$13="","",Masters!$B$13)</f>
        <v>NEERAJ</v>
      </c>
      <c r="C15">
        <f>IF(B15="","",Masters!$C$13)</f>
        <v>4</v>
      </c>
      <c r="D15" s="12" t="str">
        <f>IF(B15="","",IF(Masters!$D$13="","",Masters!$D$13))</f>
        <v/>
      </c>
      <c r="E15" s="12">
        <f>IF(B15="",0,Masters!$E$13)</f>
        <v>0</v>
      </c>
      <c r="F15" s="12">
        <f>SUMIF(Daily_Sales!$C$4:$C$503,B15,Daily_Sales!$G$4:$G$503)</f>
        <v>320800</v>
      </c>
      <c r="G15" s="14">
        <f>SUMIF(Daily_Sales!$C$4:$C$503,B15,Daily_Sales!$E$4:$E$503)</f>
        <v>35</v>
      </c>
      <c r="H15" s="12">
        <f t="shared" si="0"/>
        <v>12832</v>
      </c>
      <c r="I15" s="9">
        <f>IF(G15&gt;0,Masters!$Y$3,0)</f>
        <v>100</v>
      </c>
      <c r="J15" s="9">
        <f>G15*Masters!$Y$4</f>
        <v>350</v>
      </c>
      <c r="K15" s="12">
        <f>SUMIFS(Cash_Book!$G$4:$G$1008,Cash_Book!$C$4:$C$1008,"BEPAARI",Cash_Book!$D$4:$D$1008,"MOTOR",Cash_Book!$E$4:$E$1008,B15)</f>
        <v>8400</v>
      </c>
      <c r="L15" s="12">
        <f>SUMIFS(Cash_Book!$G$4:$G$1008,Cash_Book!$C$4:$C$1008,"BEPAARI",Cash_Book!$D$4:$D$1008,"BHUSSA",Cash_Book!$E$4:$E$1008,B15)</f>
        <v>0</v>
      </c>
      <c r="M15" s="12">
        <f>SUMIFS(Cash_Book!$G$4:$G$1008,Cash_Book!$C$4:$C$1008,"BEPAARI",Cash_Book!$D$4:$D$1008,"GAWALI",Cash_Book!$E$4:$E$1008,B15)</f>
        <v>5300</v>
      </c>
      <c r="N15" s="12">
        <f>SUMIFS(Cash_Book!$G$4:$G$1008,Cash_Book!$C$4:$C$1008,"BEPAARI",Cash_Book!$D$4:$D$1008,"CASH_ADV",Cash_Book!$E$4:$E$1008,B15)</f>
        <v>0</v>
      </c>
      <c r="O15" s="12">
        <f>SUMIFS(Cash_Book!$G$4:$G$1008,Cash_Book!$C$4:$C$1008,"BEPAARI",Cash_Book!$D$4:$D$1008,"OTHER",Cash_Book!$E$4:$E$1008,B15)</f>
        <v>0</v>
      </c>
      <c r="P15" s="9">
        <f t="shared" si="1"/>
        <v>26982</v>
      </c>
      <c r="Q15" s="9">
        <f t="shared" si="2"/>
        <v>293818</v>
      </c>
      <c r="R15" s="12">
        <f>SUMIFS(Cash_Book!$G$4:$G$1008,Cash_Book!$C$4:$C$1008,"BEPAARI",Cash_Book!$D$4:$D$1008,"PAYMENT",Cash_Book!$E$4:$E$1008,B15)</f>
        <v>232670</v>
      </c>
      <c r="S15" s="15">
        <f t="shared" si="3"/>
        <v>61148</v>
      </c>
    </row>
    <row r="16" spans="1:19" x14ac:dyDescent="0.45">
      <c r="A16">
        <v>12</v>
      </c>
      <c r="B16" t="str">
        <f>IF(Masters!$B$14="","",Masters!$B$14)</f>
        <v>CHINTU SHUJALPUR</v>
      </c>
      <c r="C16">
        <f>IF(B16="","",Masters!$C$14)</f>
        <v>4</v>
      </c>
      <c r="D16" s="12" t="str">
        <f>IF(B16="","",IF(Masters!$D$14="","",Masters!$D$14))</f>
        <v/>
      </c>
      <c r="E16" s="12">
        <f>IF(B16="",0,Masters!$E$14)</f>
        <v>0</v>
      </c>
      <c r="F16" s="12">
        <f>SUMIF(Daily_Sales!$C$4:$C$503,B16,Daily_Sales!$G$4:$G$503)</f>
        <v>574300</v>
      </c>
      <c r="G16" s="14">
        <f>SUMIF(Daily_Sales!$C$4:$C$503,B16,Daily_Sales!$E$4:$E$503)</f>
        <v>58</v>
      </c>
      <c r="H16" s="12">
        <f t="shared" si="0"/>
        <v>22972</v>
      </c>
      <c r="I16" s="9">
        <f>IF(G16&gt;0,Masters!$Y$3,0)</f>
        <v>100</v>
      </c>
      <c r="J16" s="9">
        <f>G16*Masters!$Y$4</f>
        <v>580</v>
      </c>
      <c r="K16" s="12">
        <f>SUMIFS(Cash_Book!$G$4:$G$1008,Cash_Book!$C$4:$C$1008,"BEPAARI",Cash_Book!$D$4:$D$1008,"MOTOR",Cash_Book!$E$4:$E$1008,B16)</f>
        <v>15600</v>
      </c>
      <c r="L16" s="12">
        <f>SUMIFS(Cash_Book!$G$4:$G$1008,Cash_Book!$C$4:$C$1008,"BEPAARI",Cash_Book!$D$4:$D$1008,"BHUSSA",Cash_Book!$E$4:$E$1008,B16)</f>
        <v>400</v>
      </c>
      <c r="M16" s="12">
        <f>SUMIFS(Cash_Book!$G$4:$G$1008,Cash_Book!$C$4:$C$1008,"BEPAARI",Cash_Book!$D$4:$D$1008,"GAWALI",Cash_Book!$E$4:$E$1008,B16)</f>
        <v>3540</v>
      </c>
      <c r="N16" s="12">
        <f>SUMIFS(Cash_Book!$G$4:$G$1008,Cash_Book!$C$4:$C$1008,"BEPAARI",Cash_Book!$D$4:$D$1008,"CASH_ADV",Cash_Book!$E$4:$E$1008,B16)</f>
        <v>0</v>
      </c>
      <c r="O16" s="12">
        <f>SUMIFS(Cash_Book!$G$4:$G$1008,Cash_Book!$C$4:$C$1008,"BEPAARI",Cash_Book!$D$4:$D$1008,"OTHER",Cash_Book!$E$4:$E$1008,B16)</f>
        <v>0</v>
      </c>
      <c r="P16" s="9">
        <f t="shared" si="1"/>
        <v>43192</v>
      </c>
      <c r="Q16" s="9">
        <f t="shared" si="2"/>
        <v>531108</v>
      </c>
      <c r="R16" s="12">
        <f>SUMIFS(Cash_Book!$G$4:$G$1008,Cash_Book!$C$4:$C$1008,"BEPAARI",Cash_Book!$D$4:$D$1008,"PAYMENT",Cash_Book!$E$4:$E$1008,B16)</f>
        <v>460024</v>
      </c>
      <c r="S16" s="15">
        <f t="shared" si="3"/>
        <v>71084</v>
      </c>
    </row>
    <row r="17" spans="1:19" x14ac:dyDescent="0.45">
      <c r="A17">
        <v>13</v>
      </c>
      <c r="B17" t="str">
        <f>IF(Masters!$B$15="","",Masters!$B$15)</f>
        <v>SANNA</v>
      </c>
      <c r="C17">
        <f>IF(B17="","",Masters!$C$15)</f>
        <v>4</v>
      </c>
      <c r="D17" s="12" t="str">
        <f>IF(B17="","",IF(Masters!$D$15="","",Masters!$D$15))</f>
        <v/>
      </c>
      <c r="E17" s="12">
        <f>IF(B17="",0,Masters!$E$15)</f>
        <v>-14048</v>
      </c>
      <c r="F17" s="12">
        <f>SUMIF(Daily_Sales!$C$4:$C$503,B17,Daily_Sales!$G$4:$G$503)</f>
        <v>0</v>
      </c>
      <c r="G17" s="14">
        <f>SUMIF(Daily_Sales!$C$4:$C$503,B17,Daily_Sales!$E$4:$E$503)</f>
        <v>0</v>
      </c>
      <c r="H17" s="12">
        <f t="shared" si="0"/>
        <v>0</v>
      </c>
      <c r="I17" s="9">
        <f>IF(G17&gt;0,Masters!$Y$3,0)</f>
        <v>0</v>
      </c>
      <c r="J17" s="9">
        <f>G17*Masters!$Y$4</f>
        <v>0</v>
      </c>
      <c r="K17" s="12">
        <f>SUMIFS(Cash_Book!$G$4:$G$1008,Cash_Book!$C$4:$C$1008,"BEPAARI",Cash_Book!$D$4:$D$1008,"MOTOR",Cash_Book!$E$4:$E$1008,B17)</f>
        <v>0</v>
      </c>
      <c r="L17" s="12">
        <f>SUMIFS(Cash_Book!$G$4:$G$1008,Cash_Book!$C$4:$C$1008,"BEPAARI",Cash_Book!$D$4:$D$1008,"BHUSSA",Cash_Book!$E$4:$E$1008,B17)</f>
        <v>0</v>
      </c>
      <c r="M17" s="12">
        <f>SUMIFS(Cash_Book!$G$4:$G$1008,Cash_Book!$C$4:$C$1008,"BEPAARI",Cash_Book!$D$4:$D$1008,"GAWALI",Cash_Book!$E$4:$E$1008,B17)</f>
        <v>0</v>
      </c>
      <c r="N17" s="12">
        <f>SUMIFS(Cash_Book!$G$4:$G$1008,Cash_Book!$C$4:$C$1008,"BEPAARI",Cash_Book!$D$4:$D$1008,"CASH_ADV",Cash_Book!$E$4:$E$1008,B17)</f>
        <v>0</v>
      </c>
      <c r="O17" s="12">
        <f>SUMIFS(Cash_Book!$G$4:$G$1008,Cash_Book!$C$4:$C$1008,"BEPAARI",Cash_Book!$D$4:$D$1008,"OTHER",Cash_Book!$E$4:$E$1008,B17)</f>
        <v>0</v>
      </c>
      <c r="P17" s="9">
        <f t="shared" si="1"/>
        <v>0</v>
      </c>
      <c r="Q17" s="9">
        <f t="shared" si="2"/>
        <v>-14048</v>
      </c>
      <c r="R17" s="12">
        <f>SUMIFS(Cash_Book!$G$4:$G$1008,Cash_Book!$C$4:$C$1008,"BEPAARI",Cash_Book!$D$4:$D$1008,"PAYMENT",Cash_Book!$E$4:$E$1008,B17)</f>
        <v>0</v>
      </c>
      <c r="S17" s="15">
        <f t="shared" si="3"/>
        <v>-14048</v>
      </c>
    </row>
    <row r="18" spans="1:19" x14ac:dyDescent="0.45">
      <c r="A18">
        <v>14</v>
      </c>
      <c r="B18" t="str">
        <f>IF(Masters!$B$16="","",Masters!$B$16)</f>
        <v>WAHID</v>
      </c>
      <c r="C18">
        <f>IF(B18="","",Masters!$C$16)</f>
        <v>4</v>
      </c>
      <c r="D18" s="12" t="str">
        <f>IF(B18="","",IF(Masters!$D$16="","",Masters!$D$16))</f>
        <v/>
      </c>
      <c r="E18" s="12">
        <f>IF(B18="",0,Masters!$E$16)</f>
        <v>-4661</v>
      </c>
      <c r="F18" s="12">
        <f>SUMIF(Daily_Sales!$C$4:$C$503,B18,Daily_Sales!$G$4:$G$503)</f>
        <v>0</v>
      </c>
      <c r="G18" s="14">
        <f>SUMIF(Daily_Sales!$C$4:$C$503,B18,Daily_Sales!$E$4:$E$503)</f>
        <v>0</v>
      </c>
      <c r="H18" s="12">
        <f t="shared" si="0"/>
        <v>0</v>
      </c>
      <c r="I18" s="9">
        <f>IF(G18&gt;0,Masters!$Y$3,0)</f>
        <v>0</v>
      </c>
      <c r="J18" s="9">
        <f>G18*Masters!$Y$4</f>
        <v>0</v>
      </c>
      <c r="K18" s="12">
        <f>SUMIFS(Cash_Book!$G$4:$G$1008,Cash_Book!$C$4:$C$1008,"BEPAARI",Cash_Book!$D$4:$D$1008,"MOTOR",Cash_Book!$E$4:$E$1008,B18)</f>
        <v>0</v>
      </c>
      <c r="L18" s="12">
        <f>SUMIFS(Cash_Book!$G$4:$G$1008,Cash_Book!$C$4:$C$1008,"BEPAARI",Cash_Book!$D$4:$D$1008,"BHUSSA",Cash_Book!$E$4:$E$1008,B18)</f>
        <v>0</v>
      </c>
      <c r="M18" s="12">
        <f>SUMIFS(Cash_Book!$G$4:$G$1008,Cash_Book!$C$4:$C$1008,"BEPAARI",Cash_Book!$D$4:$D$1008,"GAWALI",Cash_Book!$E$4:$E$1008,B18)</f>
        <v>0</v>
      </c>
      <c r="N18" s="12">
        <f>SUMIFS(Cash_Book!$G$4:$G$1008,Cash_Book!$C$4:$C$1008,"BEPAARI",Cash_Book!$D$4:$D$1008,"CASH_ADV",Cash_Book!$E$4:$E$1008,B18)</f>
        <v>0</v>
      </c>
      <c r="O18" s="12">
        <f>SUMIFS(Cash_Book!$G$4:$G$1008,Cash_Book!$C$4:$C$1008,"BEPAARI",Cash_Book!$D$4:$D$1008,"OTHER",Cash_Book!$E$4:$E$1008,B18)</f>
        <v>0</v>
      </c>
      <c r="P18" s="9">
        <f t="shared" si="1"/>
        <v>0</v>
      </c>
      <c r="Q18" s="9">
        <f t="shared" si="2"/>
        <v>-4661</v>
      </c>
      <c r="R18" s="12">
        <f>SUMIFS(Cash_Book!$G$4:$G$1008,Cash_Book!$C$4:$C$1008,"BEPAARI",Cash_Book!$D$4:$D$1008,"PAYMENT",Cash_Book!$E$4:$E$1008,B18)</f>
        <v>0</v>
      </c>
      <c r="S18" s="15">
        <f t="shared" si="3"/>
        <v>-4661</v>
      </c>
    </row>
    <row r="19" spans="1:19" x14ac:dyDescent="0.45">
      <c r="A19">
        <v>15</v>
      </c>
      <c r="B19" t="str">
        <f>IF(Masters!$B$17="","",Masters!$B$17)</f>
        <v>MANSOOR</v>
      </c>
      <c r="C19">
        <f>IF(B19="","",Masters!$C$17)</f>
        <v>4</v>
      </c>
      <c r="D19" s="12" t="str">
        <f>IF(B19="","",IF(Masters!$D$17="","",Masters!$D$17))</f>
        <v/>
      </c>
      <c r="E19" s="12">
        <f>IF(B19="",0,Masters!$E$17)</f>
        <v>-9845</v>
      </c>
      <c r="F19" s="12">
        <f>SUMIF(Daily_Sales!$C$4:$C$503,B19,Daily_Sales!$G$4:$G$503)</f>
        <v>0</v>
      </c>
      <c r="G19" s="14">
        <f>SUMIF(Daily_Sales!$C$4:$C$503,B19,Daily_Sales!$E$4:$E$503)</f>
        <v>0</v>
      </c>
      <c r="H19" s="12">
        <f t="shared" si="0"/>
        <v>0</v>
      </c>
      <c r="I19" s="9">
        <f>IF(G19&gt;0,Masters!$Y$3,0)</f>
        <v>0</v>
      </c>
      <c r="J19" s="9">
        <f>G19*Masters!$Y$4</f>
        <v>0</v>
      </c>
      <c r="K19" s="12">
        <f>SUMIFS(Cash_Book!$G$4:$G$1008,Cash_Book!$C$4:$C$1008,"BEPAARI",Cash_Book!$D$4:$D$1008,"MOTOR",Cash_Book!$E$4:$E$1008,B19)</f>
        <v>0</v>
      </c>
      <c r="L19" s="12">
        <f>SUMIFS(Cash_Book!$G$4:$G$1008,Cash_Book!$C$4:$C$1008,"BEPAARI",Cash_Book!$D$4:$D$1008,"BHUSSA",Cash_Book!$E$4:$E$1008,B19)</f>
        <v>0</v>
      </c>
      <c r="M19" s="12">
        <f>SUMIFS(Cash_Book!$G$4:$G$1008,Cash_Book!$C$4:$C$1008,"BEPAARI",Cash_Book!$D$4:$D$1008,"GAWALI",Cash_Book!$E$4:$E$1008,B19)</f>
        <v>0</v>
      </c>
      <c r="N19" s="12">
        <f>SUMIFS(Cash_Book!$G$4:$G$1008,Cash_Book!$C$4:$C$1008,"BEPAARI",Cash_Book!$D$4:$D$1008,"CASH_ADV",Cash_Book!$E$4:$E$1008,B19)</f>
        <v>0</v>
      </c>
      <c r="O19" s="12">
        <f>SUMIFS(Cash_Book!$G$4:$G$1008,Cash_Book!$C$4:$C$1008,"BEPAARI",Cash_Book!$D$4:$D$1008,"OTHER",Cash_Book!$E$4:$E$1008,B19)</f>
        <v>0</v>
      </c>
      <c r="P19" s="9">
        <f t="shared" si="1"/>
        <v>0</v>
      </c>
      <c r="Q19" s="9">
        <f t="shared" si="2"/>
        <v>-9845</v>
      </c>
      <c r="R19" s="12">
        <f>SUMIFS(Cash_Book!$G$4:$G$1008,Cash_Book!$C$4:$C$1008,"BEPAARI",Cash_Book!$D$4:$D$1008,"PAYMENT",Cash_Book!$E$4:$E$1008,B19)</f>
        <v>0</v>
      </c>
      <c r="S19" s="15">
        <f t="shared" si="3"/>
        <v>-9845</v>
      </c>
    </row>
    <row r="20" spans="1:19" x14ac:dyDescent="0.45">
      <c r="A20">
        <v>16</v>
      </c>
      <c r="B20" t="str">
        <f>IF(Masters!$B$18="","",Masters!$B$18)</f>
        <v>AYAZ PREVIOUS BAL</v>
      </c>
      <c r="C20">
        <f>IF(B20="","",Masters!$C$18)</f>
        <v>4</v>
      </c>
      <c r="D20" s="12" t="str">
        <f>IF(B20="","",IF(Masters!$D$18="","",Masters!$D$18))</f>
        <v/>
      </c>
      <c r="E20" s="12">
        <f>IF(B20="",0,Masters!$E$18)</f>
        <v>-88000</v>
      </c>
      <c r="F20" s="12">
        <f>SUMIF(Daily_Sales!$C$4:$C$503,B20,Daily_Sales!$G$4:$G$503)</f>
        <v>0</v>
      </c>
      <c r="G20" s="14">
        <f>SUMIF(Daily_Sales!$C$4:$C$503,B20,Daily_Sales!$E$4:$E$503)</f>
        <v>0</v>
      </c>
      <c r="H20" s="12">
        <f t="shared" si="0"/>
        <v>0</v>
      </c>
      <c r="I20" s="9">
        <f>IF(G20&gt;0,Masters!$Y$3,0)</f>
        <v>0</v>
      </c>
      <c r="J20" s="9">
        <f>G20*Masters!$Y$4</f>
        <v>0</v>
      </c>
      <c r="K20" s="12">
        <f>SUMIFS(Cash_Book!$G$4:$G$1008,Cash_Book!$C$4:$C$1008,"BEPAARI",Cash_Book!$D$4:$D$1008,"MOTOR",Cash_Book!$E$4:$E$1008,B20)</f>
        <v>0</v>
      </c>
      <c r="L20" s="12">
        <f>SUMIFS(Cash_Book!$G$4:$G$1008,Cash_Book!$C$4:$C$1008,"BEPAARI",Cash_Book!$D$4:$D$1008,"BHUSSA",Cash_Book!$E$4:$E$1008,B20)</f>
        <v>0</v>
      </c>
      <c r="M20" s="12">
        <f>SUMIFS(Cash_Book!$G$4:$G$1008,Cash_Book!$C$4:$C$1008,"BEPAARI",Cash_Book!$D$4:$D$1008,"GAWALI",Cash_Book!$E$4:$E$1008,B20)</f>
        <v>0</v>
      </c>
      <c r="N20" s="12">
        <f>SUMIFS(Cash_Book!$G$4:$G$1008,Cash_Book!$C$4:$C$1008,"BEPAARI",Cash_Book!$D$4:$D$1008,"CASH_ADV",Cash_Book!$E$4:$E$1008,B20)</f>
        <v>0</v>
      </c>
      <c r="O20" s="12">
        <f>SUMIFS(Cash_Book!$G$4:$G$1008,Cash_Book!$C$4:$C$1008,"BEPAARI",Cash_Book!$D$4:$D$1008,"OTHER",Cash_Book!$E$4:$E$1008,B20)</f>
        <v>0</v>
      </c>
      <c r="P20" s="9">
        <f t="shared" si="1"/>
        <v>0</v>
      </c>
      <c r="Q20" s="9">
        <f t="shared" si="2"/>
        <v>-88000</v>
      </c>
      <c r="R20" s="12">
        <f>SUMIFS(Cash_Book!$G$4:$G$1008,Cash_Book!$C$4:$C$1008,"BEPAARI",Cash_Book!$D$4:$D$1008,"PAYMENT",Cash_Book!$E$4:$E$1008,B20)</f>
        <v>0</v>
      </c>
      <c r="S20" s="15">
        <f t="shared" si="3"/>
        <v>-88000</v>
      </c>
    </row>
    <row r="21" spans="1:19" x14ac:dyDescent="0.45">
      <c r="A21">
        <v>17</v>
      </c>
      <c r="B21" t="str">
        <f>IF(Masters!$B$19="","",Masters!$B$19)</f>
        <v>SHAKIL SHUJALPUR</v>
      </c>
      <c r="C21">
        <f>IF(B21="","",Masters!$C$19)</f>
        <v>4</v>
      </c>
      <c r="D21" s="12" t="str">
        <f>IF(B21="","",IF(Masters!$D$19="","",Masters!$D$19))</f>
        <v/>
      </c>
      <c r="E21" s="12">
        <f>IF(B21="",0,Masters!$E$19)</f>
        <v>660</v>
      </c>
      <c r="F21" s="12">
        <f>SUMIF(Daily_Sales!$C$4:$C$503,B21,Daily_Sales!$G$4:$G$503)</f>
        <v>0</v>
      </c>
      <c r="G21" s="14">
        <f>SUMIF(Daily_Sales!$C$4:$C$503,B21,Daily_Sales!$E$4:$E$503)</f>
        <v>0</v>
      </c>
      <c r="H21" s="12">
        <f t="shared" si="0"/>
        <v>0</v>
      </c>
      <c r="I21" s="9">
        <f>IF(G21&gt;0,Masters!$Y$3,0)</f>
        <v>0</v>
      </c>
      <c r="J21" s="9">
        <f>G21*Masters!$Y$4</f>
        <v>0</v>
      </c>
      <c r="K21" s="12">
        <f>SUMIFS(Cash_Book!$G$4:$G$1008,Cash_Book!$C$4:$C$1008,"BEPAARI",Cash_Book!$D$4:$D$1008,"MOTOR",Cash_Book!$E$4:$E$1008,B21)</f>
        <v>0</v>
      </c>
      <c r="L21" s="12">
        <f>SUMIFS(Cash_Book!$G$4:$G$1008,Cash_Book!$C$4:$C$1008,"BEPAARI",Cash_Book!$D$4:$D$1008,"BHUSSA",Cash_Book!$E$4:$E$1008,B21)</f>
        <v>0</v>
      </c>
      <c r="M21" s="12">
        <f>SUMIFS(Cash_Book!$G$4:$G$1008,Cash_Book!$C$4:$C$1008,"BEPAARI",Cash_Book!$D$4:$D$1008,"GAWALI",Cash_Book!$E$4:$E$1008,B21)</f>
        <v>0</v>
      </c>
      <c r="N21" s="12">
        <f>SUMIFS(Cash_Book!$G$4:$G$1008,Cash_Book!$C$4:$C$1008,"BEPAARI",Cash_Book!$D$4:$D$1008,"CASH_ADV",Cash_Book!$E$4:$E$1008,B21)</f>
        <v>0</v>
      </c>
      <c r="O21" s="12">
        <f>SUMIFS(Cash_Book!$G$4:$G$1008,Cash_Book!$C$4:$C$1008,"BEPAARI",Cash_Book!$D$4:$D$1008,"OTHER",Cash_Book!$E$4:$E$1008,B21)</f>
        <v>0</v>
      </c>
      <c r="P21" s="9">
        <f t="shared" si="1"/>
        <v>0</v>
      </c>
      <c r="Q21" s="9">
        <f t="shared" si="2"/>
        <v>660</v>
      </c>
      <c r="R21" s="12">
        <f>SUMIFS(Cash_Book!$G$4:$G$1008,Cash_Book!$C$4:$C$1008,"BEPAARI",Cash_Book!$D$4:$D$1008,"PAYMENT",Cash_Book!$E$4:$E$1008,B21)</f>
        <v>0</v>
      </c>
      <c r="S21" s="15">
        <f t="shared" si="3"/>
        <v>660</v>
      </c>
    </row>
    <row r="22" spans="1:19" x14ac:dyDescent="0.45">
      <c r="A22">
        <v>18</v>
      </c>
      <c r="B22" t="str">
        <f>IF(Masters!$B$20="","",Masters!$B$20)</f>
        <v>USMAN</v>
      </c>
      <c r="C22">
        <f>IF(B22="","",Masters!$C$20)</f>
        <v>4</v>
      </c>
      <c r="D22" s="12" t="str">
        <f>IF(B22="","",IF(Masters!$D$20="","",Masters!$D$20))</f>
        <v/>
      </c>
      <c r="E22" s="12">
        <f>IF(B22="",0,Masters!$E$20)</f>
        <v>40440</v>
      </c>
      <c r="F22" s="12">
        <f>SUMIF(Daily_Sales!$C$4:$C$503,B22,Daily_Sales!$G$4:$G$503)</f>
        <v>225000</v>
      </c>
      <c r="G22" s="14">
        <f>SUMIF(Daily_Sales!$C$4:$C$503,B22,Daily_Sales!$E$4:$E$503)</f>
        <v>15</v>
      </c>
      <c r="H22" s="12">
        <f t="shared" si="0"/>
        <v>9000</v>
      </c>
      <c r="I22" s="9">
        <f>IF(G22&gt;0,Masters!$Y$3,0)</f>
        <v>100</v>
      </c>
      <c r="J22" s="9">
        <f>G22*Masters!$Y$4</f>
        <v>150</v>
      </c>
      <c r="K22" s="12">
        <f>SUMIFS(Cash_Book!$G$4:$G$1008,Cash_Book!$C$4:$C$1008,"BEPAARI",Cash_Book!$D$4:$D$1008,"MOTOR",Cash_Book!$E$4:$E$1008,B22)</f>
        <v>8090</v>
      </c>
      <c r="L22" s="12">
        <f>SUMIFS(Cash_Book!$G$4:$G$1008,Cash_Book!$C$4:$C$1008,"BEPAARI",Cash_Book!$D$4:$D$1008,"BHUSSA",Cash_Book!$E$4:$E$1008,B22)</f>
        <v>130</v>
      </c>
      <c r="M22" s="12">
        <f>SUMIFS(Cash_Book!$G$4:$G$1008,Cash_Book!$C$4:$C$1008,"BEPAARI",Cash_Book!$D$4:$D$1008,"GAWALI",Cash_Book!$E$4:$E$1008,B22)</f>
        <v>1980</v>
      </c>
      <c r="N22" s="12">
        <f>SUMIFS(Cash_Book!$G$4:$G$1008,Cash_Book!$C$4:$C$1008,"BEPAARI",Cash_Book!$D$4:$D$1008,"CASH_ADV",Cash_Book!$E$4:$E$1008,B22)</f>
        <v>0</v>
      </c>
      <c r="O22" s="12">
        <f>SUMIFS(Cash_Book!$G$4:$G$1008,Cash_Book!$C$4:$C$1008,"BEPAARI",Cash_Book!$D$4:$D$1008,"OTHER",Cash_Book!$E$4:$E$1008,B22)</f>
        <v>0</v>
      </c>
      <c r="P22" s="9">
        <f t="shared" si="1"/>
        <v>19450</v>
      </c>
      <c r="Q22" s="9">
        <f t="shared" si="2"/>
        <v>245990</v>
      </c>
      <c r="R22" s="12">
        <f>SUMIFS(Cash_Book!$G$4:$G$1008,Cash_Book!$C$4:$C$1008,"BEPAARI",Cash_Book!$D$4:$D$1008,"PAYMENT",Cash_Book!$E$4:$E$1008,B22)</f>
        <v>240000</v>
      </c>
      <c r="S22" s="15">
        <f t="shared" si="3"/>
        <v>5990</v>
      </c>
    </row>
    <row r="23" spans="1:19" x14ac:dyDescent="0.45">
      <c r="A23">
        <v>19</v>
      </c>
      <c r="B23" t="str">
        <f>IF(Masters!$B$21="","",Masters!$B$21)</f>
        <v>JUNAID AMANAT</v>
      </c>
      <c r="C23">
        <f>IF(B23="","",Masters!$C$21)</f>
        <v>4</v>
      </c>
      <c r="D23" s="12" t="str">
        <f>IF(B23="","",IF(Masters!$D$21="","",Masters!$D$21))</f>
        <v/>
      </c>
      <c r="E23" s="12">
        <f>IF(B23="",0,Masters!$E$21)</f>
        <v>-100000</v>
      </c>
      <c r="F23" s="12">
        <f>SUMIF(Daily_Sales!$C$4:$C$503,B23,Daily_Sales!$G$4:$G$503)</f>
        <v>0</v>
      </c>
      <c r="G23" s="14">
        <f>SUMIF(Daily_Sales!$C$4:$C$503,B23,Daily_Sales!$E$4:$E$503)</f>
        <v>0</v>
      </c>
      <c r="H23" s="12">
        <f t="shared" si="0"/>
        <v>0</v>
      </c>
      <c r="I23" s="9">
        <f>IF(G23&gt;0,Masters!$Y$3,0)</f>
        <v>0</v>
      </c>
      <c r="J23" s="9">
        <f>G23*Masters!$Y$4</f>
        <v>0</v>
      </c>
      <c r="K23" s="12">
        <f>SUMIFS(Cash_Book!$G$4:$G$1008,Cash_Book!$C$4:$C$1008,"BEPAARI",Cash_Book!$D$4:$D$1008,"MOTOR",Cash_Book!$E$4:$E$1008,B23)</f>
        <v>0</v>
      </c>
      <c r="L23" s="12">
        <f>SUMIFS(Cash_Book!$G$4:$G$1008,Cash_Book!$C$4:$C$1008,"BEPAARI",Cash_Book!$D$4:$D$1008,"BHUSSA",Cash_Book!$E$4:$E$1008,B23)</f>
        <v>0</v>
      </c>
      <c r="M23" s="12">
        <f>SUMIFS(Cash_Book!$G$4:$G$1008,Cash_Book!$C$4:$C$1008,"BEPAARI",Cash_Book!$D$4:$D$1008,"GAWALI",Cash_Book!$E$4:$E$1008,B23)</f>
        <v>0</v>
      </c>
      <c r="N23" s="12">
        <f>SUMIFS(Cash_Book!$G$4:$G$1008,Cash_Book!$C$4:$C$1008,"BEPAARI",Cash_Book!$D$4:$D$1008,"CASH_ADV",Cash_Book!$E$4:$E$1008,B23)</f>
        <v>0</v>
      </c>
      <c r="O23" s="12">
        <f>SUMIFS(Cash_Book!$G$4:$G$1008,Cash_Book!$C$4:$C$1008,"BEPAARI",Cash_Book!$D$4:$D$1008,"OTHER",Cash_Book!$E$4:$E$1008,B23)</f>
        <v>0</v>
      </c>
      <c r="P23" s="9">
        <f t="shared" si="1"/>
        <v>0</v>
      </c>
      <c r="Q23" s="9">
        <f t="shared" si="2"/>
        <v>-100000</v>
      </c>
      <c r="R23" s="12">
        <f>SUMIFS(Cash_Book!$G$4:$G$1008,Cash_Book!$C$4:$C$1008,"BEPAARI",Cash_Book!$D$4:$D$1008,"PAYMENT",Cash_Book!$E$4:$E$1008,B23)</f>
        <v>0</v>
      </c>
      <c r="S23" s="15">
        <f t="shared" si="3"/>
        <v>-100000</v>
      </c>
    </row>
    <row r="24" spans="1:19" x14ac:dyDescent="0.45">
      <c r="A24">
        <v>20</v>
      </c>
      <c r="B24" t="str">
        <f>IF(Masters!$B$22="","",Masters!$B$22)</f>
        <v>SHARIF RAJ</v>
      </c>
      <c r="C24">
        <f>IF(B24="","",Masters!$C$22)</f>
        <v>4</v>
      </c>
      <c r="D24" s="12" t="str">
        <f>IF(B24="","",IF(Masters!$D$22="","",Masters!$D$22))</f>
        <v/>
      </c>
      <c r="E24" s="12">
        <f>IF(B24="",0,Masters!$E$22)</f>
        <v>0</v>
      </c>
      <c r="F24" s="12">
        <f>SUMIF(Daily_Sales!$C$4:$C$503,B24,Daily_Sales!$G$4:$G$503)</f>
        <v>362750</v>
      </c>
      <c r="G24" s="14">
        <f>SUMIF(Daily_Sales!$C$4:$C$503,B24,Daily_Sales!$E$4:$E$503)</f>
        <v>42</v>
      </c>
      <c r="H24" s="12">
        <f t="shared" si="0"/>
        <v>14510</v>
      </c>
      <c r="I24" s="9">
        <f>IF(G24&gt;0,Masters!$Y$3,0)</f>
        <v>100</v>
      </c>
      <c r="J24" s="9">
        <f>G24*Masters!$Y$4</f>
        <v>420</v>
      </c>
      <c r="K24" s="12">
        <f>SUMIFS(Cash_Book!$G$4:$G$1008,Cash_Book!$C$4:$C$1008,"BEPAARI",Cash_Book!$D$4:$D$1008,"MOTOR",Cash_Book!$E$4:$E$1008,B24)</f>
        <v>10080</v>
      </c>
      <c r="L24" s="12">
        <f>SUMIFS(Cash_Book!$G$4:$G$1008,Cash_Book!$C$4:$C$1008,"BEPAARI",Cash_Book!$D$4:$D$1008,"BHUSSA",Cash_Book!$E$4:$E$1008,B24)</f>
        <v>100</v>
      </c>
      <c r="M24" s="12">
        <f>SUMIFS(Cash_Book!$G$4:$G$1008,Cash_Book!$C$4:$C$1008,"BEPAARI",Cash_Book!$D$4:$D$1008,"GAWALI",Cash_Book!$E$4:$E$1008,B24)</f>
        <v>2520</v>
      </c>
      <c r="N24" s="12">
        <f>SUMIFS(Cash_Book!$G$4:$G$1008,Cash_Book!$C$4:$C$1008,"BEPAARI",Cash_Book!$D$4:$D$1008,"CASH_ADV",Cash_Book!$E$4:$E$1008,B24)</f>
        <v>0</v>
      </c>
      <c r="O24" s="12">
        <f>SUMIFS(Cash_Book!$G$4:$G$1008,Cash_Book!$C$4:$C$1008,"BEPAARI",Cash_Book!$D$4:$D$1008,"OTHER",Cash_Book!$E$4:$E$1008,B24)</f>
        <v>0</v>
      </c>
      <c r="P24" s="9">
        <f t="shared" si="1"/>
        <v>27730</v>
      </c>
      <c r="Q24" s="9">
        <f t="shared" si="2"/>
        <v>335020</v>
      </c>
      <c r="R24" s="12">
        <f>SUMIFS(Cash_Book!$G$4:$G$1008,Cash_Book!$C$4:$C$1008,"BEPAARI",Cash_Book!$D$4:$D$1008,"PAYMENT",Cash_Book!$E$4:$E$1008,B24)</f>
        <v>304630</v>
      </c>
      <c r="S24" s="15">
        <f t="shared" si="3"/>
        <v>30390</v>
      </c>
    </row>
    <row r="25" spans="1:19" x14ac:dyDescent="0.45">
      <c r="A25">
        <v>21</v>
      </c>
      <c r="B25" t="str">
        <f>IF(Masters!$B$23="","",Masters!$B$23)</f>
        <v/>
      </c>
      <c r="C25" t="str">
        <f>IF(B25="","",Masters!$C$23)</f>
        <v/>
      </c>
      <c r="D25" s="12" t="str">
        <f>IF(B25="","",IF(Masters!$D$23="","",Masters!$D$23))</f>
        <v/>
      </c>
      <c r="E25" s="12">
        <f>IF(B25="",0,Masters!$E$23)</f>
        <v>0</v>
      </c>
      <c r="F25" s="12">
        <f>SUMIF(Daily_Sales!$C$4:$C$503,B25,Daily_Sales!$G$4:$G$503)</f>
        <v>0</v>
      </c>
      <c r="G25" s="14">
        <f>SUMIF(Daily_Sales!$C$4:$C$503,B25,Daily_Sales!$E$4:$E$503)</f>
        <v>0</v>
      </c>
      <c r="H25" s="12">
        <f t="shared" si="0"/>
        <v>0</v>
      </c>
      <c r="I25" s="9">
        <f>IF(G25&gt;0,Masters!$Y$3,0)</f>
        <v>0</v>
      </c>
      <c r="J25" s="9">
        <f>G25*Masters!$Y$4</f>
        <v>0</v>
      </c>
      <c r="K25" s="12">
        <f>SUMIFS(Cash_Book!$G$4:$G$1008,Cash_Book!$C$4:$C$1008,"BEPAARI",Cash_Book!$D$4:$D$1008,"MOTOR",Cash_Book!$E$4:$E$1008,B25)</f>
        <v>0</v>
      </c>
      <c r="L25" s="12">
        <f>SUMIFS(Cash_Book!$G$4:$G$1008,Cash_Book!$C$4:$C$1008,"BEPAARI",Cash_Book!$D$4:$D$1008,"BHUSSA",Cash_Book!$E$4:$E$1008,B25)</f>
        <v>0</v>
      </c>
      <c r="M25" s="12">
        <f>SUMIFS(Cash_Book!$G$4:$G$1008,Cash_Book!$C$4:$C$1008,"BEPAARI",Cash_Book!$D$4:$D$1008,"GAWALI",Cash_Book!$E$4:$E$1008,B25)</f>
        <v>0</v>
      </c>
      <c r="N25" s="12">
        <f>SUMIFS(Cash_Book!$G$4:$G$1008,Cash_Book!$C$4:$C$1008,"BEPAARI",Cash_Book!$D$4:$D$1008,"CASH_ADV",Cash_Book!$E$4:$E$1008,B25)</f>
        <v>0</v>
      </c>
      <c r="O25" s="12">
        <f>SUMIFS(Cash_Book!$G$4:$G$1008,Cash_Book!$C$4:$C$1008,"BEPAARI",Cash_Book!$D$4:$D$1008,"OTHER",Cash_Book!$E$4:$E$1008,B25)</f>
        <v>0</v>
      </c>
      <c r="P25" s="9">
        <f t="shared" si="1"/>
        <v>0</v>
      </c>
      <c r="Q25" s="9" t="str">
        <f t="shared" si="2"/>
        <v/>
      </c>
      <c r="R25" s="12">
        <f>SUMIFS(Cash_Book!$G$4:$G$1008,Cash_Book!$C$4:$C$1008,"BEPAARI",Cash_Book!$D$4:$D$1008,"PAYMENT",Cash_Book!$E$4:$E$1008,B25)</f>
        <v>0</v>
      </c>
      <c r="S25" s="15" t="str">
        <f t="shared" si="3"/>
        <v/>
      </c>
    </row>
    <row r="26" spans="1:19" x14ac:dyDescent="0.45">
      <c r="A26">
        <v>22</v>
      </c>
      <c r="B26" t="str">
        <f>IF(Masters!$B$24="","",Masters!$B$24)</f>
        <v/>
      </c>
      <c r="C26" t="str">
        <f>IF(B26="","",Masters!$C$24)</f>
        <v/>
      </c>
      <c r="D26" s="12" t="str">
        <f>IF(B26="","",IF(Masters!$D$24="","",Masters!$D$24))</f>
        <v/>
      </c>
      <c r="E26" s="12">
        <f>IF(B26="",0,Masters!$E$24)</f>
        <v>0</v>
      </c>
      <c r="F26" s="12">
        <f>SUMIF(Daily_Sales!$C$4:$C$503,B26,Daily_Sales!$G$4:$G$503)</f>
        <v>0</v>
      </c>
      <c r="G26" s="14">
        <f>SUMIF(Daily_Sales!$C$4:$C$503,B26,Daily_Sales!$E$4:$E$503)</f>
        <v>0</v>
      </c>
      <c r="H26" s="12">
        <f t="shared" si="0"/>
        <v>0</v>
      </c>
      <c r="I26" s="9">
        <f>IF(G26&gt;0,Masters!$Y$3,0)</f>
        <v>0</v>
      </c>
      <c r="J26" s="9">
        <f>G26*Masters!$Y$4</f>
        <v>0</v>
      </c>
      <c r="K26" s="12">
        <f>SUMIFS(Cash_Book!$G$4:$G$1008,Cash_Book!$C$4:$C$1008,"BEPAARI",Cash_Book!$D$4:$D$1008,"MOTOR",Cash_Book!$E$4:$E$1008,B26)</f>
        <v>0</v>
      </c>
      <c r="L26" s="12">
        <f>SUMIFS(Cash_Book!$G$4:$G$1008,Cash_Book!$C$4:$C$1008,"BEPAARI",Cash_Book!$D$4:$D$1008,"BHUSSA",Cash_Book!$E$4:$E$1008,B26)</f>
        <v>0</v>
      </c>
      <c r="M26" s="12">
        <f>SUMIFS(Cash_Book!$G$4:$G$1008,Cash_Book!$C$4:$C$1008,"BEPAARI",Cash_Book!$D$4:$D$1008,"GAWALI",Cash_Book!$E$4:$E$1008,B26)</f>
        <v>0</v>
      </c>
      <c r="N26" s="12">
        <f>SUMIFS(Cash_Book!$G$4:$G$1008,Cash_Book!$C$4:$C$1008,"BEPAARI",Cash_Book!$D$4:$D$1008,"CASH_ADV",Cash_Book!$E$4:$E$1008,B26)</f>
        <v>0</v>
      </c>
      <c r="O26" s="12">
        <f>SUMIFS(Cash_Book!$G$4:$G$1008,Cash_Book!$C$4:$C$1008,"BEPAARI",Cash_Book!$D$4:$D$1008,"OTHER",Cash_Book!$E$4:$E$1008,B26)</f>
        <v>0</v>
      </c>
      <c r="P26" s="9">
        <f t="shared" si="1"/>
        <v>0</v>
      </c>
      <c r="Q26" s="9" t="str">
        <f t="shared" si="2"/>
        <v/>
      </c>
      <c r="R26" s="12">
        <f>SUMIFS(Cash_Book!$G$4:$G$1008,Cash_Book!$C$4:$C$1008,"BEPAARI",Cash_Book!$D$4:$D$1008,"PAYMENT",Cash_Book!$E$4:$E$1008,B26)</f>
        <v>0</v>
      </c>
      <c r="S26" s="15" t="str">
        <f t="shared" si="3"/>
        <v/>
      </c>
    </row>
    <row r="27" spans="1:19" x14ac:dyDescent="0.45">
      <c r="A27">
        <v>23</v>
      </c>
      <c r="B27" t="str">
        <f>IF(Masters!$B$25="","",Masters!$B$25)</f>
        <v/>
      </c>
      <c r="C27" t="str">
        <f>IF(B27="","",Masters!$C$25)</f>
        <v/>
      </c>
      <c r="D27" s="12" t="str">
        <f>IF(B27="","",IF(Masters!$D$25="","",Masters!$D$25))</f>
        <v/>
      </c>
      <c r="E27" s="12">
        <f>IF(B27="",0,Masters!$E$25)</f>
        <v>0</v>
      </c>
      <c r="F27" s="12">
        <f>SUMIF(Daily_Sales!$C$4:$C$503,B27,Daily_Sales!$G$4:$G$503)</f>
        <v>0</v>
      </c>
      <c r="G27" s="14">
        <f>SUMIF(Daily_Sales!$C$4:$C$503,B27,Daily_Sales!$E$4:$E$503)</f>
        <v>0</v>
      </c>
      <c r="H27" s="12">
        <f t="shared" si="0"/>
        <v>0</v>
      </c>
      <c r="I27" s="9">
        <f>IF(G27&gt;0,Masters!$Y$3,0)</f>
        <v>0</v>
      </c>
      <c r="J27" s="9">
        <f>G27*Masters!$Y$4</f>
        <v>0</v>
      </c>
      <c r="K27" s="12">
        <f>SUMIFS(Cash_Book!$G$4:$G$1008,Cash_Book!$C$4:$C$1008,"BEPAARI",Cash_Book!$D$4:$D$1008,"MOTOR",Cash_Book!$E$4:$E$1008,B27)</f>
        <v>0</v>
      </c>
      <c r="L27" s="12">
        <f>SUMIFS(Cash_Book!$G$4:$G$1008,Cash_Book!$C$4:$C$1008,"BEPAARI",Cash_Book!$D$4:$D$1008,"BHUSSA",Cash_Book!$E$4:$E$1008,B27)</f>
        <v>0</v>
      </c>
      <c r="M27" s="12">
        <f>SUMIFS(Cash_Book!$G$4:$G$1008,Cash_Book!$C$4:$C$1008,"BEPAARI",Cash_Book!$D$4:$D$1008,"GAWALI",Cash_Book!$E$4:$E$1008,B27)</f>
        <v>0</v>
      </c>
      <c r="N27" s="12">
        <f>SUMIFS(Cash_Book!$G$4:$G$1008,Cash_Book!$C$4:$C$1008,"BEPAARI",Cash_Book!$D$4:$D$1008,"CASH_ADV",Cash_Book!$E$4:$E$1008,B27)</f>
        <v>0</v>
      </c>
      <c r="O27" s="12">
        <f>SUMIFS(Cash_Book!$G$4:$G$1008,Cash_Book!$C$4:$C$1008,"BEPAARI",Cash_Book!$D$4:$D$1008,"OTHER",Cash_Book!$E$4:$E$1008,B27)</f>
        <v>0</v>
      </c>
      <c r="P27" s="9">
        <f t="shared" si="1"/>
        <v>0</v>
      </c>
      <c r="Q27" s="9" t="str">
        <f t="shared" si="2"/>
        <v/>
      </c>
      <c r="R27" s="12">
        <f>SUMIFS(Cash_Book!$G$4:$G$1008,Cash_Book!$C$4:$C$1008,"BEPAARI",Cash_Book!$D$4:$D$1008,"PAYMENT",Cash_Book!$E$4:$E$1008,B27)</f>
        <v>0</v>
      </c>
      <c r="S27" s="15" t="str">
        <f t="shared" si="3"/>
        <v/>
      </c>
    </row>
    <row r="28" spans="1:19" x14ac:dyDescent="0.45">
      <c r="A28">
        <v>24</v>
      </c>
      <c r="B28" t="str">
        <f>IF(Masters!$B$26="","",Masters!$B$26)</f>
        <v/>
      </c>
      <c r="C28" t="str">
        <f>IF(B28="","",Masters!$C$26)</f>
        <v/>
      </c>
      <c r="D28" s="12" t="str">
        <f>IF(B28="","",IF(Masters!$D$26="","",Masters!$D$26))</f>
        <v/>
      </c>
      <c r="E28" s="12">
        <f>IF(B28="",0,Masters!$E$26)</f>
        <v>0</v>
      </c>
      <c r="F28" s="12">
        <f>SUMIF(Daily_Sales!$C$4:$C$503,B28,Daily_Sales!$G$4:$G$503)</f>
        <v>0</v>
      </c>
      <c r="G28" s="14">
        <f>SUMIF(Daily_Sales!$C$4:$C$503,B28,Daily_Sales!$E$4:$E$503)</f>
        <v>0</v>
      </c>
      <c r="H28" s="12">
        <f t="shared" si="0"/>
        <v>0</v>
      </c>
      <c r="I28" s="9">
        <f>IF(G28&gt;0,Masters!$Y$3,0)</f>
        <v>0</v>
      </c>
      <c r="J28" s="9">
        <f>G28*Masters!$Y$4</f>
        <v>0</v>
      </c>
      <c r="K28" s="12">
        <f>SUMIFS(Cash_Book!$G$4:$G$1008,Cash_Book!$C$4:$C$1008,"BEPAARI",Cash_Book!$D$4:$D$1008,"MOTOR",Cash_Book!$E$4:$E$1008,B28)</f>
        <v>0</v>
      </c>
      <c r="L28" s="12">
        <f>SUMIFS(Cash_Book!$G$4:$G$1008,Cash_Book!$C$4:$C$1008,"BEPAARI",Cash_Book!$D$4:$D$1008,"BHUSSA",Cash_Book!$E$4:$E$1008,B28)</f>
        <v>0</v>
      </c>
      <c r="M28" s="12">
        <f>SUMIFS(Cash_Book!$G$4:$G$1008,Cash_Book!$C$4:$C$1008,"BEPAARI",Cash_Book!$D$4:$D$1008,"GAWALI",Cash_Book!$E$4:$E$1008,B28)</f>
        <v>0</v>
      </c>
      <c r="N28" s="12">
        <f>SUMIFS(Cash_Book!$G$4:$G$1008,Cash_Book!$C$4:$C$1008,"BEPAARI",Cash_Book!$D$4:$D$1008,"CASH_ADV",Cash_Book!$E$4:$E$1008,B28)</f>
        <v>0</v>
      </c>
      <c r="O28" s="12">
        <f>SUMIFS(Cash_Book!$G$4:$G$1008,Cash_Book!$C$4:$C$1008,"BEPAARI",Cash_Book!$D$4:$D$1008,"OTHER",Cash_Book!$E$4:$E$1008,B28)</f>
        <v>0</v>
      </c>
      <c r="P28" s="9">
        <f t="shared" si="1"/>
        <v>0</v>
      </c>
      <c r="Q28" s="9" t="str">
        <f t="shared" si="2"/>
        <v/>
      </c>
      <c r="R28" s="12">
        <f>SUMIFS(Cash_Book!$G$4:$G$1008,Cash_Book!$C$4:$C$1008,"BEPAARI",Cash_Book!$D$4:$D$1008,"PAYMENT",Cash_Book!$E$4:$E$1008,B28)</f>
        <v>0</v>
      </c>
      <c r="S28" s="15" t="str">
        <f t="shared" si="3"/>
        <v/>
      </c>
    </row>
    <row r="29" spans="1:19" x14ac:dyDescent="0.45">
      <c r="A29">
        <v>25</v>
      </c>
      <c r="B29" t="str">
        <f>IF(Masters!$B$27="","",Masters!$B$27)</f>
        <v/>
      </c>
      <c r="C29" t="str">
        <f>IF(B29="","",Masters!$C$27)</f>
        <v/>
      </c>
      <c r="D29" s="12" t="str">
        <f>IF(B29="","",IF(Masters!$D$27="","",Masters!$D$27))</f>
        <v/>
      </c>
      <c r="E29" s="12">
        <f>IF(B29="",0,Masters!$E$27)</f>
        <v>0</v>
      </c>
      <c r="F29" s="12">
        <f>SUMIF(Daily_Sales!$C$4:$C$503,B29,Daily_Sales!$G$4:$G$503)</f>
        <v>0</v>
      </c>
      <c r="G29" s="14">
        <f>SUMIF(Daily_Sales!$C$4:$C$503,B29,Daily_Sales!$E$4:$E$503)</f>
        <v>0</v>
      </c>
      <c r="H29" s="12">
        <f t="shared" si="0"/>
        <v>0</v>
      </c>
      <c r="I29" s="9">
        <f>IF(G29&gt;0,Masters!$Y$3,0)</f>
        <v>0</v>
      </c>
      <c r="J29" s="9">
        <f>G29*Masters!$Y$4</f>
        <v>0</v>
      </c>
      <c r="K29" s="12">
        <f>SUMIFS(Cash_Book!$G$4:$G$1008,Cash_Book!$C$4:$C$1008,"BEPAARI",Cash_Book!$D$4:$D$1008,"MOTOR",Cash_Book!$E$4:$E$1008,B29)</f>
        <v>0</v>
      </c>
      <c r="L29" s="12">
        <f>SUMIFS(Cash_Book!$G$4:$G$1008,Cash_Book!$C$4:$C$1008,"BEPAARI",Cash_Book!$D$4:$D$1008,"BHUSSA",Cash_Book!$E$4:$E$1008,B29)</f>
        <v>0</v>
      </c>
      <c r="M29" s="12">
        <f>SUMIFS(Cash_Book!$G$4:$G$1008,Cash_Book!$C$4:$C$1008,"BEPAARI",Cash_Book!$D$4:$D$1008,"GAWALI",Cash_Book!$E$4:$E$1008,B29)</f>
        <v>0</v>
      </c>
      <c r="N29" s="12">
        <f>SUMIFS(Cash_Book!$G$4:$G$1008,Cash_Book!$C$4:$C$1008,"BEPAARI",Cash_Book!$D$4:$D$1008,"CASH_ADV",Cash_Book!$E$4:$E$1008,B29)</f>
        <v>0</v>
      </c>
      <c r="O29" s="12">
        <f>SUMIFS(Cash_Book!$G$4:$G$1008,Cash_Book!$C$4:$C$1008,"BEPAARI",Cash_Book!$D$4:$D$1008,"OTHER",Cash_Book!$E$4:$E$1008,B29)</f>
        <v>0</v>
      </c>
      <c r="P29" s="9">
        <f t="shared" si="1"/>
        <v>0</v>
      </c>
      <c r="Q29" s="9" t="str">
        <f t="shared" si="2"/>
        <v/>
      </c>
      <c r="R29" s="12">
        <f>SUMIFS(Cash_Book!$G$4:$G$1008,Cash_Book!$C$4:$C$1008,"BEPAARI",Cash_Book!$D$4:$D$1008,"PAYMENT",Cash_Book!$E$4:$E$1008,B29)</f>
        <v>0</v>
      </c>
      <c r="S29" s="15" t="str">
        <f t="shared" si="3"/>
        <v/>
      </c>
    </row>
    <row r="30" spans="1:19" x14ac:dyDescent="0.45">
      <c r="A30">
        <v>26</v>
      </c>
      <c r="B30" t="str">
        <f>IF(Masters!$B$28="","",Masters!$B$28)</f>
        <v/>
      </c>
      <c r="C30" t="str">
        <f>IF(B30="","",Masters!$C$28)</f>
        <v/>
      </c>
      <c r="D30" s="12" t="str">
        <f>IF(B30="","",IF(Masters!$D$28="","",Masters!$D$28))</f>
        <v/>
      </c>
      <c r="E30" s="12">
        <f>IF(B30="",0,Masters!$E$28)</f>
        <v>0</v>
      </c>
      <c r="F30" s="12">
        <f>SUMIF(Daily_Sales!$C$4:$C$503,B30,Daily_Sales!$G$4:$G$503)</f>
        <v>0</v>
      </c>
      <c r="G30" s="14">
        <f>SUMIF(Daily_Sales!$C$4:$C$503,B30,Daily_Sales!$E$4:$E$503)</f>
        <v>0</v>
      </c>
      <c r="H30" s="12">
        <f t="shared" si="0"/>
        <v>0</v>
      </c>
      <c r="I30" s="9">
        <f>IF(G30&gt;0,Masters!$Y$3,0)</f>
        <v>0</v>
      </c>
      <c r="J30" s="9">
        <f>G30*Masters!$Y$4</f>
        <v>0</v>
      </c>
      <c r="K30" s="12">
        <f>SUMIFS(Cash_Book!$G$4:$G$1008,Cash_Book!$C$4:$C$1008,"BEPAARI",Cash_Book!$D$4:$D$1008,"MOTOR",Cash_Book!$E$4:$E$1008,B30)</f>
        <v>0</v>
      </c>
      <c r="L30" s="12">
        <f>SUMIFS(Cash_Book!$G$4:$G$1008,Cash_Book!$C$4:$C$1008,"BEPAARI",Cash_Book!$D$4:$D$1008,"BHUSSA",Cash_Book!$E$4:$E$1008,B30)</f>
        <v>0</v>
      </c>
      <c r="M30" s="12">
        <f>SUMIFS(Cash_Book!$G$4:$G$1008,Cash_Book!$C$4:$C$1008,"BEPAARI",Cash_Book!$D$4:$D$1008,"GAWALI",Cash_Book!$E$4:$E$1008,B30)</f>
        <v>0</v>
      </c>
      <c r="N30" s="12">
        <f>SUMIFS(Cash_Book!$G$4:$G$1008,Cash_Book!$C$4:$C$1008,"BEPAARI",Cash_Book!$D$4:$D$1008,"CASH_ADV",Cash_Book!$E$4:$E$1008,B30)</f>
        <v>0</v>
      </c>
      <c r="O30" s="12">
        <f>SUMIFS(Cash_Book!$G$4:$G$1008,Cash_Book!$C$4:$C$1008,"BEPAARI",Cash_Book!$D$4:$D$1008,"OTHER",Cash_Book!$E$4:$E$1008,B30)</f>
        <v>0</v>
      </c>
      <c r="P30" s="9">
        <f t="shared" si="1"/>
        <v>0</v>
      </c>
      <c r="Q30" s="9" t="str">
        <f t="shared" si="2"/>
        <v/>
      </c>
      <c r="R30" s="12">
        <f>SUMIFS(Cash_Book!$G$4:$G$1008,Cash_Book!$C$4:$C$1008,"BEPAARI",Cash_Book!$D$4:$D$1008,"PAYMENT",Cash_Book!$E$4:$E$1008,B30)</f>
        <v>0</v>
      </c>
      <c r="S30" s="15" t="str">
        <f t="shared" si="3"/>
        <v/>
      </c>
    </row>
    <row r="31" spans="1:19" x14ac:dyDescent="0.45">
      <c r="A31">
        <v>27</v>
      </c>
      <c r="B31" t="str">
        <f>IF(Masters!$B$29="","",Masters!$B$29)</f>
        <v/>
      </c>
      <c r="C31" t="str">
        <f>IF(B31="","",Masters!$C$29)</f>
        <v/>
      </c>
      <c r="D31" s="12" t="str">
        <f>IF(B31="","",IF(Masters!$D$29="","",Masters!$D$29))</f>
        <v/>
      </c>
      <c r="E31" s="12">
        <f>IF(B31="",0,Masters!$E$29)</f>
        <v>0</v>
      </c>
      <c r="F31" s="12">
        <f>SUMIF(Daily_Sales!$C$4:$C$503,B31,Daily_Sales!$G$4:$G$503)</f>
        <v>0</v>
      </c>
      <c r="G31" s="14">
        <f>SUMIF(Daily_Sales!$C$4:$C$503,B31,Daily_Sales!$E$4:$E$503)</f>
        <v>0</v>
      </c>
      <c r="H31" s="12">
        <f t="shared" si="0"/>
        <v>0</v>
      </c>
      <c r="I31" s="9">
        <f>IF(G31&gt;0,Masters!$Y$3,0)</f>
        <v>0</v>
      </c>
      <c r="J31" s="9">
        <f>G31*Masters!$Y$4</f>
        <v>0</v>
      </c>
      <c r="K31" s="12">
        <f>SUMIFS(Cash_Book!$G$4:$G$1008,Cash_Book!$C$4:$C$1008,"BEPAARI",Cash_Book!$D$4:$D$1008,"MOTOR",Cash_Book!$E$4:$E$1008,B31)</f>
        <v>0</v>
      </c>
      <c r="L31" s="12">
        <f>SUMIFS(Cash_Book!$G$4:$G$1008,Cash_Book!$C$4:$C$1008,"BEPAARI",Cash_Book!$D$4:$D$1008,"BHUSSA",Cash_Book!$E$4:$E$1008,B31)</f>
        <v>0</v>
      </c>
      <c r="M31" s="12">
        <f>SUMIFS(Cash_Book!$G$4:$G$1008,Cash_Book!$C$4:$C$1008,"BEPAARI",Cash_Book!$D$4:$D$1008,"GAWALI",Cash_Book!$E$4:$E$1008,B31)</f>
        <v>0</v>
      </c>
      <c r="N31" s="12">
        <f>SUMIFS(Cash_Book!$G$4:$G$1008,Cash_Book!$C$4:$C$1008,"BEPAARI",Cash_Book!$D$4:$D$1008,"CASH_ADV",Cash_Book!$E$4:$E$1008,B31)</f>
        <v>0</v>
      </c>
      <c r="O31" s="12">
        <f>SUMIFS(Cash_Book!$G$4:$G$1008,Cash_Book!$C$4:$C$1008,"BEPAARI",Cash_Book!$D$4:$D$1008,"OTHER",Cash_Book!$E$4:$E$1008,B31)</f>
        <v>0</v>
      </c>
      <c r="P31" s="9">
        <f t="shared" si="1"/>
        <v>0</v>
      </c>
      <c r="Q31" s="9" t="str">
        <f t="shared" si="2"/>
        <v/>
      </c>
      <c r="R31" s="12">
        <f>SUMIFS(Cash_Book!$G$4:$G$1008,Cash_Book!$C$4:$C$1008,"BEPAARI",Cash_Book!$D$4:$D$1008,"PAYMENT",Cash_Book!$E$4:$E$1008,B31)</f>
        <v>0</v>
      </c>
      <c r="S31" s="15" t="str">
        <f t="shared" si="3"/>
        <v/>
      </c>
    </row>
    <row r="32" spans="1:19" x14ac:dyDescent="0.45">
      <c r="A32">
        <v>28</v>
      </c>
      <c r="B32" t="str">
        <f>IF(Masters!$B$30="","",Masters!$B$30)</f>
        <v/>
      </c>
      <c r="C32" t="str">
        <f>IF(B32="","",Masters!$C$30)</f>
        <v/>
      </c>
      <c r="D32" s="12" t="str">
        <f>IF(B32="","",IF(Masters!$D$30="","",Masters!$D$30))</f>
        <v/>
      </c>
      <c r="E32" s="12">
        <f>IF(B32="",0,Masters!$E$30)</f>
        <v>0</v>
      </c>
      <c r="F32" s="12">
        <f>SUMIF(Daily_Sales!$C$4:$C$503,B32,Daily_Sales!$G$4:$G$503)</f>
        <v>0</v>
      </c>
      <c r="G32" s="14">
        <f>SUMIF(Daily_Sales!$C$4:$C$503,B32,Daily_Sales!$E$4:$E$503)</f>
        <v>0</v>
      </c>
      <c r="H32" s="12">
        <f t="shared" si="0"/>
        <v>0</v>
      </c>
      <c r="I32" s="9">
        <f>IF(G32&gt;0,Masters!$Y$3,0)</f>
        <v>0</v>
      </c>
      <c r="J32" s="9">
        <f>G32*Masters!$Y$4</f>
        <v>0</v>
      </c>
      <c r="K32" s="12">
        <f>SUMIFS(Cash_Book!$G$4:$G$1008,Cash_Book!$C$4:$C$1008,"BEPAARI",Cash_Book!$D$4:$D$1008,"MOTOR",Cash_Book!$E$4:$E$1008,B32)</f>
        <v>0</v>
      </c>
      <c r="L32" s="12">
        <f>SUMIFS(Cash_Book!$G$4:$G$1008,Cash_Book!$C$4:$C$1008,"BEPAARI",Cash_Book!$D$4:$D$1008,"BHUSSA",Cash_Book!$E$4:$E$1008,B32)</f>
        <v>0</v>
      </c>
      <c r="M32" s="12">
        <f>SUMIFS(Cash_Book!$G$4:$G$1008,Cash_Book!$C$4:$C$1008,"BEPAARI",Cash_Book!$D$4:$D$1008,"GAWALI",Cash_Book!$E$4:$E$1008,B32)</f>
        <v>0</v>
      </c>
      <c r="N32" s="12">
        <f>SUMIFS(Cash_Book!$G$4:$G$1008,Cash_Book!$C$4:$C$1008,"BEPAARI",Cash_Book!$D$4:$D$1008,"CASH_ADV",Cash_Book!$E$4:$E$1008,B32)</f>
        <v>0</v>
      </c>
      <c r="O32" s="12">
        <f>SUMIFS(Cash_Book!$G$4:$G$1008,Cash_Book!$C$4:$C$1008,"BEPAARI",Cash_Book!$D$4:$D$1008,"OTHER",Cash_Book!$E$4:$E$1008,B32)</f>
        <v>0</v>
      </c>
      <c r="P32" s="9">
        <f t="shared" si="1"/>
        <v>0</v>
      </c>
      <c r="Q32" s="9" t="str">
        <f t="shared" si="2"/>
        <v/>
      </c>
      <c r="R32" s="12">
        <f>SUMIFS(Cash_Book!$G$4:$G$1008,Cash_Book!$C$4:$C$1008,"BEPAARI",Cash_Book!$D$4:$D$1008,"PAYMENT",Cash_Book!$E$4:$E$1008,B32)</f>
        <v>0</v>
      </c>
      <c r="S32" s="15" t="str">
        <f t="shared" si="3"/>
        <v/>
      </c>
    </row>
    <row r="33" spans="1:19" x14ac:dyDescent="0.45">
      <c r="A33">
        <v>29</v>
      </c>
      <c r="B33" t="str">
        <f>IF(Masters!$B$31="","",Masters!$B$31)</f>
        <v/>
      </c>
      <c r="C33" t="str">
        <f>IF(B33="","",Masters!$C$31)</f>
        <v/>
      </c>
      <c r="D33" s="12" t="str">
        <f>IF(B33="","",IF(Masters!$D$31="","",Masters!$D$31))</f>
        <v/>
      </c>
      <c r="E33" s="12">
        <f>IF(B33="",0,Masters!$E$31)</f>
        <v>0</v>
      </c>
      <c r="F33" s="12">
        <f>SUMIF(Daily_Sales!$C$4:$C$503,B33,Daily_Sales!$G$4:$G$503)</f>
        <v>0</v>
      </c>
      <c r="G33" s="14">
        <f>SUMIF(Daily_Sales!$C$4:$C$503,B33,Daily_Sales!$E$4:$E$503)</f>
        <v>0</v>
      </c>
      <c r="H33" s="12">
        <f t="shared" si="0"/>
        <v>0</v>
      </c>
      <c r="I33" s="9">
        <f>IF(G33&gt;0,Masters!$Y$3,0)</f>
        <v>0</v>
      </c>
      <c r="J33" s="9">
        <f>G33*Masters!$Y$4</f>
        <v>0</v>
      </c>
      <c r="K33" s="12">
        <f>SUMIFS(Cash_Book!$G$4:$G$1008,Cash_Book!$C$4:$C$1008,"BEPAARI",Cash_Book!$D$4:$D$1008,"MOTOR",Cash_Book!$E$4:$E$1008,B33)</f>
        <v>0</v>
      </c>
      <c r="L33" s="12">
        <f>SUMIFS(Cash_Book!$G$4:$G$1008,Cash_Book!$C$4:$C$1008,"BEPAARI",Cash_Book!$D$4:$D$1008,"BHUSSA",Cash_Book!$E$4:$E$1008,B33)</f>
        <v>0</v>
      </c>
      <c r="M33" s="12">
        <f>SUMIFS(Cash_Book!$G$4:$G$1008,Cash_Book!$C$4:$C$1008,"BEPAARI",Cash_Book!$D$4:$D$1008,"GAWALI",Cash_Book!$E$4:$E$1008,B33)</f>
        <v>0</v>
      </c>
      <c r="N33" s="12">
        <f>SUMIFS(Cash_Book!$G$4:$G$1008,Cash_Book!$C$4:$C$1008,"BEPAARI",Cash_Book!$D$4:$D$1008,"CASH_ADV",Cash_Book!$E$4:$E$1008,B33)</f>
        <v>0</v>
      </c>
      <c r="O33" s="12">
        <f>SUMIFS(Cash_Book!$G$4:$G$1008,Cash_Book!$C$4:$C$1008,"BEPAARI",Cash_Book!$D$4:$D$1008,"OTHER",Cash_Book!$E$4:$E$1008,B33)</f>
        <v>0</v>
      </c>
      <c r="P33" s="9">
        <f t="shared" si="1"/>
        <v>0</v>
      </c>
      <c r="Q33" s="9" t="str">
        <f t="shared" si="2"/>
        <v/>
      </c>
      <c r="R33" s="12">
        <f>SUMIFS(Cash_Book!$G$4:$G$1008,Cash_Book!$C$4:$C$1008,"BEPAARI",Cash_Book!$D$4:$D$1008,"PAYMENT",Cash_Book!$E$4:$E$1008,B33)</f>
        <v>0</v>
      </c>
      <c r="S33" s="15" t="str">
        <f t="shared" si="3"/>
        <v/>
      </c>
    </row>
    <row r="34" spans="1:19" x14ac:dyDescent="0.45">
      <c r="A34">
        <v>30</v>
      </c>
      <c r="B34" t="str">
        <f>IF(Masters!$B$32="","",Masters!$B$32)</f>
        <v/>
      </c>
      <c r="C34" t="str">
        <f>IF(B34="","",Masters!$C$32)</f>
        <v/>
      </c>
      <c r="D34" s="12" t="str">
        <f>IF(B34="","",IF(Masters!$D$32="","",Masters!$D$32))</f>
        <v/>
      </c>
      <c r="E34" s="12">
        <f>IF(B34="",0,Masters!$E$32)</f>
        <v>0</v>
      </c>
      <c r="F34" s="12">
        <f>SUMIF(Daily_Sales!$C$4:$C$503,B34,Daily_Sales!$G$4:$G$503)</f>
        <v>0</v>
      </c>
      <c r="G34" s="14">
        <f>SUMIF(Daily_Sales!$C$4:$C$503,B34,Daily_Sales!$E$4:$E$503)</f>
        <v>0</v>
      </c>
      <c r="H34" s="12">
        <f t="shared" si="0"/>
        <v>0</v>
      </c>
      <c r="I34" s="9">
        <f>IF(G34&gt;0,Masters!$Y$3,0)</f>
        <v>0</v>
      </c>
      <c r="J34" s="9">
        <f>G34*Masters!$Y$4</f>
        <v>0</v>
      </c>
      <c r="K34" s="12">
        <f>SUMIFS(Cash_Book!$G$4:$G$1008,Cash_Book!$C$4:$C$1008,"BEPAARI",Cash_Book!$D$4:$D$1008,"MOTOR",Cash_Book!$E$4:$E$1008,B34)</f>
        <v>0</v>
      </c>
      <c r="L34" s="12">
        <f>SUMIFS(Cash_Book!$G$4:$G$1008,Cash_Book!$C$4:$C$1008,"BEPAARI",Cash_Book!$D$4:$D$1008,"BHUSSA",Cash_Book!$E$4:$E$1008,B34)</f>
        <v>0</v>
      </c>
      <c r="M34" s="12">
        <f>SUMIFS(Cash_Book!$G$4:$G$1008,Cash_Book!$C$4:$C$1008,"BEPAARI",Cash_Book!$D$4:$D$1008,"GAWALI",Cash_Book!$E$4:$E$1008,B34)</f>
        <v>0</v>
      </c>
      <c r="N34" s="12">
        <f>SUMIFS(Cash_Book!$G$4:$G$1008,Cash_Book!$C$4:$C$1008,"BEPAARI",Cash_Book!$D$4:$D$1008,"CASH_ADV",Cash_Book!$E$4:$E$1008,B34)</f>
        <v>0</v>
      </c>
      <c r="O34" s="12">
        <f>SUMIFS(Cash_Book!$G$4:$G$1008,Cash_Book!$C$4:$C$1008,"BEPAARI",Cash_Book!$D$4:$D$1008,"OTHER",Cash_Book!$E$4:$E$1008,B34)</f>
        <v>0</v>
      </c>
      <c r="P34" s="9">
        <f t="shared" si="1"/>
        <v>0</v>
      </c>
      <c r="Q34" s="9" t="str">
        <f t="shared" si="2"/>
        <v/>
      </c>
      <c r="R34" s="12">
        <f>SUMIFS(Cash_Book!$G$4:$G$1008,Cash_Book!$C$4:$C$1008,"BEPAARI",Cash_Book!$D$4:$D$1008,"PAYMENT",Cash_Book!$E$4:$E$1008,B34)</f>
        <v>0</v>
      </c>
      <c r="S34" s="15" t="str">
        <f t="shared" si="3"/>
        <v/>
      </c>
    </row>
    <row r="35" spans="1:19" x14ac:dyDescent="0.45">
      <c r="A35">
        <v>31</v>
      </c>
      <c r="B35" t="str">
        <f>IF(Masters!$B$33="","",Masters!$B$33)</f>
        <v/>
      </c>
      <c r="C35" t="str">
        <f>IF(B35="","",Masters!$C$33)</f>
        <v/>
      </c>
      <c r="D35" s="12" t="str">
        <f>IF(B35="","",IF(Masters!$D$33="","",Masters!$D$33))</f>
        <v/>
      </c>
      <c r="E35" s="12">
        <f>IF(B35="",0,Masters!$E$33)</f>
        <v>0</v>
      </c>
      <c r="F35" s="12">
        <f>SUMIF(Daily_Sales!$C$4:$C$503,B35,Daily_Sales!$G$4:$G$503)</f>
        <v>0</v>
      </c>
      <c r="G35" s="14">
        <f>SUMIF(Daily_Sales!$C$4:$C$503,B35,Daily_Sales!$E$4:$E$503)</f>
        <v>0</v>
      </c>
      <c r="H35" s="12">
        <f t="shared" si="0"/>
        <v>0</v>
      </c>
      <c r="I35" s="9">
        <f>IF(G35&gt;0,Masters!$Y$3,0)</f>
        <v>0</v>
      </c>
      <c r="J35" s="9">
        <f>G35*Masters!$Y$4</f>
        <v>0</v>
      </c>
      <c r="K35" s="12">
        <f>SUMIFS(Cash_Book!$G$4:$G$1008,Cash_Book!$C$4:$C$1008,"BEPAARI",Cash_Book!$D$4:$D$1008,"MOTOR",Cash_Book!$E$4:$E$1008,B35)</f>
        <v>0</v>
      </c>
      <c r="L35" s="12">
        <f>SUMIFS(Cash_Book!$G$4:$G$1008,Cash_Book!$C$4:$C$1008,"BEPAARI",Cash_Book!$D$4:$D$1008,"BHUSSA",Cash_Book!$E$4:$E$1008,B35)</f>
        <v>0</v>
      </c>
      <c r="M35" s="12">
        <f>SUMIFS(Cash_Book!$G$4:$G$1008,Cash_Book!$C$4:$C$1008,"BEPAARI",Cash_Book!$D$4:$D$1008,"GAWALI",Cash_Book!$E$4:$E$1008,B35)</f>
        <v>0</v>
      </c>
      <c r="N35" s="12">
        <f>SUMIFS(Cash_Book!$G$4:$G$1008,Cash_Book!$C$4:$C$1008,"BEPAARI",Cash_Book!$D$4:$D$1008,"CASH_ADV",Cash_Book!$E$4:$E$1008,B35)</f>
        <v>0</v>
      </c>
      <c r="O35" s="12">
        <f>SUMIFS(Cash_Book!$G$4:$G$1008,Cash_Book!$C$4:$C$1008,"BEPAARI",Cash_Book!$D$4:$D$1008,"OTHER",Cash_Book!$E$4:$E$1008,B35)</f>
        <v>0</v>
      </c>
      <c r="P35" s="9">
        <f t="shared" si="1"/>
        <v>0</v>
      </c>
      <c r="Q35" s="9" t="str">
        <f t="shared" si="2"/>
        <v/>
      </c>
      <c r="R35" s="12">
        <f>SUMIFS(Cash_Book!$G$4:$G$1008,Cash_Book!$C$4:$C$1008,"BEPAARI",Cash_Book!$D$4:$D$1008,"PAYMENT",Cash_Book!$E$4:$E$1008,B35)</f>
        <v>0</v>
      </c>
      <c r="S35" s="15" t="str">
        <f t="shared" si="3"/>
        <v/>
      </c>
    </row>
    <row r="36" spans="1:19" x14ac:dyDescent="0.45">
      <c r="A36">
        <v>32</v>
      </c>
      <c r="B36" t="str">
        <f>IF(Masters!$B$34="","",Masters!$B$34)</f>
        <v/>
      </c>
      <c r="C36" t="str">
        <f>IF(B36="","",Masters!$C$34)</f>
        <v/>
      </c>
      <c r="D36" s="12" t="str">
        <f>IF(B36="","",IF(Masters!$D$34="","",Masters!$D$34))</f>
        <v/>
      </c>
      <c r="E36" s="12">
        <f>IF(B36="",0,Masters!$E$34)</f>
        <v>0</v>
      </c>
      <c r="F36" s="12">
        <f>SUMIF(Daily_Sales!$C$4:$C$503,B36,Daily_Sales!$G$4:$G$503)</f>
        <v>0</v>
      </c>
      <c r="G36" s="14">
        <f>SUMIF(Daily_Sales!$C$4:$C$503,B36,Daily_Sales!$E$4:$E$503)</f>
        <v>0</v>
      </c>
      <c r="H36" s="12">
        <f t="shared" si="0"/>
        <v>0</v>
      </c>
      <c r="I36" s="9">
        <f>IF(G36&gt;0,Masters!$Y$3,0)</f>
        <v>0</v>
      </c>
      <c r="J36" s="9">
        <f>G36*Masters!$Y$4</f>
        <v>0</v>
      </c>
      <c r="K36" s="12">
        <f>SUMIFS(Cash_Book!$G$4:$G$1008,Cash_Book!$C$4:$C$1008,"BEPAARI",Cash_Book!$D$4:$D$1008,"MOTOR",Cash_Book!$E$4:$E$1008,B36)</f>
        <v>0</v>
      </c>
      <c r="L36" s="12">
        <f>SUMIFS(Cash_Book!$G$4:$G$1008,Cash_Book!$C$4:$C$1008,"BEPAARI",Cash_Book!$D$4:$D$1008,"BHUSSA",Cash_Book!$E$4:$E$1008,B36)</f>
        <v>0</v>
      </c>
      <c r="M36" s="12">
        <f>SUMIFS(Cash_Book!$G$4:$G$1008,Cash_Book!$C$4:$C$1008,"BEPAARI",Cash_Book!$D$4:$D$1008,"GAWALI",Cash_Book!$E$4:$E$1008,B36)</f>
        <v>0</v>
      </c>
      <c r="N36" s="12">
        <f>SUMIFS(Cash_Book!$G$4:$G$1008,Cash_Book!$C$4:$C$1008,"BEPAARI",Cash_Book!$D$4:$D$1008,"CASH_ADV",Cash_Book!$E$4:$E$1008,B36)</f>
        <v>0</v>
      </c>
      <c r="O36" s="12">
        <f>SUMIFS(Cash_Book!$G$4:$G$1008,Cash_Book!$C$4:$C$1008,"BEPAARI",Cash_Book!$D$4:$D$1008,"OTHER",Cash_Book!$E$4:$E$1008,B36)</f>
        <v>0</v>
      </c>
      <c r="P36" s="9">
        <f t="shared" si="1"/>
        <v>0</v>
      </c>
      <c r="Q36" s="9" t="str">
        <f t="shared" si="2"/>
        <v/>
      </c>
      <c r="R36" s="12">
        <f>SUMIFS(Cash_Book!$G$4:$G$1008,Cash_Book!$C$4:$C$1008,"BEPAARI",Cash_Book!$D$4:$D$1008,"PAYMENT",Cash_Book!$E$4:$E$1008,B36)</f>
        <v>0</v>
      </c>
      <c r="S36" s="15" t="str">
        <f t="shared" si="3"/>
        <v/>
      </c>
    </row>
    <row r="37" spans="1:19" x14ac:dyDescent="0.45">
      <c r="A37">
        <v>33</v>
      </c>
      <c r="B37" t="str">
        <f>IF(Masters!$B$35="","",Masters!$B$35)</f>
        <v/>
      </c>
      <c r="C37" t="str">
        <f>IF(B37="","",Masters!$C$35)</f>
        <v/>
      </c>
      <c r="D37" s="12" t="str">
        <f>IF(B37="","",IF(Masters!$D$35="","",Masters!$D$35))</f>
        <v/>
      </c>
      <c r="E37" s="12">
        <f>IF(B37="",0,Masters!$E$35)</f>
        <v>0</v>
      </c>
      <c r="F37" s="12">
        <f>SUMIF(Daily_Sales!$C$4:$C$503,B37,Daily_Sales!$G$4:$G$503)</f>
        <v>0</v>
      </c>
      <c r="G37" s="14">
        <f>SUMIF(Daily_Sales!$C$4:$C$503,B37,Daily_Sales!$E$4:$E$503)</f>
        <v>0</v>
      </c>
      <c r="H37" s="12">
        <f t="shared" ref="H37:H54" si="4">IF(B37="",0,IF(D37&lt;&gt;"",D37*G37,F37*C37/100))</f>
        <v>0</v>
      </c>
      <c r="I37" s="9">
        <f>IF(G37&gt;0,Masters!$Y$3,0)</f>
        <v>0</v>
      </c>
      <c r="J37" s="9">
        <f>G37*Masters!$Y$4</f>
        <v>0</v>
      </c>
      <c r="K37" s="12">
        <f>SUMIFS(Cash_Book!$G$4:$G$1008,Cash_Book!$C$4:$C$1008,"BEPAARI",Cash_Book!$D$4:$D$1008,"MOTOR",Cash_Book!$E$4:$E$1008,B37)</f>
        <v>0</v>
      </c>
      <c r="L37" s="12">
        <f>SUMIFS(Cash_Book!$G$4:$G$1008,Cash_Book!$C$4:$C$1008,"BEPAARI",Cash_Book!$D$4:$D$1008,"BHUSSA",Cash_Book!$E$4:$E$1008,B37)</f>
        <v>0</v>
      </c>
      <c r="M37" s="12">
        <f>SUMIFS(Cash_Book!$G$4:$G$1008,Cash_Book!$C$4:$C$1008,"BEPAARI",Cash_Book!$D$4:$D$1008,"GAWALI",Cash_Book!$E$4:$E$1008,B37)</f>
        <v>0</v>
      </c>
      <c r="N37" s="12">
        <f>SUMIFS(Cash_Book!$G$4:$G$1008,Cash_Book!$C$4:$C$1008,"BEPAARI",Cash_Book!$D$4:$D$1008,"CASH_ADV",Cash_Book!$E$4:$E$1008,B37)</f>
        <v>0</v>
      </c>
      <c r="O37" s="12">
        <f>SUMIFS(Cash_Book!$G$4:$G$1008,Cash_Book!$C$4:$C$1008,"BEPAARI",Cash_Book!$D$4:$D$1008,"OTHER",Cash_Book!$E$4:$E$1008,B37)</f>
        <v>0</v>
      </c>
      <c r="P37" s="9">
        <f t="shared" ref="P37:P54" si="5">SUM(H37:O37)</f>
        <v>0</v>
      </c>
      <c r="Q37" s="9" t="str">
        <f t="shared" ref="Q37:Q54" si="6">IF(B37="","",F37-P37+E37)</f>
        <v/>
      </c>
      <c r="R37" s="12">
        <f>SUMIFS(Cash_Book!$G$4:$G$1008,Cash_Book!$C$4:$C$1008,"BEPAARI",Cash_Book!$D$4:$D$1008,"PAYMENT",Cash_Book!$E$4:$E$1008,B37)</f>
        <v>0</v>
      </c>
      <c r="S37" s="15" t="str">
        <f t="shared" ref="S37:S54" si="7">IF(B37="","",Q37-R37)</f>
        <v/>
      </c>
    </row>
    <row r="38" spans="1:19" x14ac:dyDescent="0.45">
      <c r="A38">
        <v>34</v>
      </c>
      <c r="B38" t="str">
        <f>IF(Masters!$B$36="","",Masters!$B$36)</f>
        <v/>
      </c>
      <c r="C38" t="str">
        <f>IF(B38="","",Masters!$C$36)</f>
        <v/>
      </c>
      <c r="D38" s="12" t="str">
        <f>IF(B38="","",IF(Masters!$D$36="","",Masters!$D$36))</f>
        <v/>
      </c>
      <c r="E38" s="12">
        <f>IF(B38="",0,Masters!$E$36)</f>
        <v>0</v>
      </c>
      <c r="F38" s="12">
        <f>SUMIF(Daily_Sales!$C$4:$C$503,B38,Daily_Sales!$G$4:$G$503)</f>
        <v>0</v>
      </c>
      <c r="G38" s="14">
        <f>SUMIF(Daily_Sales!$C$4:$C$503,B38,Daily_Sales!$E$4:$E$503)</f>
        <v>0</v>
      </c>
      <c r="H38" s="12">
        <f t="shared" si="4"/>
        <v>0</v>
      </c>
      <c r="I38" s="9">
        <f>IF(G38&gt;0,Masters!$Y$3,0)</f>
        <v>0</v>
      </c>
      <c r="J38" s="9">
        <f>G38*Masters!$Y$4</f>
        <v>0</v>
      </c>
      <c r="K38" s="12">
        <f>SUMIFS(Cash_Book!$G$4:$G$1008,Cash_Book!$C$4:$C$1008,"BEPAARI",Cash_Book!$D$4:$D$1008,"MOTOR",Cash_Book!$E$4:$E$1008,B38)</f>
        <v>0</v>
      </c>
      <c r="L38" s="12">
        <f>SUMIFS(Cash_Book!$G$4:$G$1008,Cash_Book!$C$4:$C$1008,"BEPAARI",Cash_Book!$D$4:$D$1008,"BHUSSA",Cash_Book!$E$4:$E$1008,B38)</f>
        <v>0</v>
      </c>
      <c r="M38" s="12">
        <f>SUMIFS(Cash_Book!$G$4:$G$1008,Cash_Book!$C$4:$C$1008,"BEPAARI",Cash_Book!$D$4:$D$1008,"GAWALI",Cash_Book!$E$4:$E$1008,B38)</f>
        <v>0</v>
      </c>
      <c r="N38" s="12">
        <f>SUMIFS(Cash_Book!$G$4:$G$1008,Cash_Book!$C$4:$C$1008,"BEPAARI",Cash_Book!$D$4:$D$1008,"CASH_ADV",Cash_Book!$E$4:$E$1008,B38)</f>
        <v>0</v>
      </c>
      <c r="O38" s="12">
        <f>SUMIFS(Cash_Book!$G$4:$G$1008,Cash_Book!$C$4:$C$1008,"BEPAARI",Cash_Book!$D$4:$D$1008,"OTHER",Cash_Book!$E$4:$E$1008,B38)</f>
        <v>0</v>
      </c>
      <c r="P38" s="9">
        <f t="shared" si="5"/>
        <v>0</v>
      </c>
      <c r="Q38" s="9" t="str">
        <f t="shared" si="6"/>
        <v/>
      </c>
      <c r="R38" s="12">
        <f>SUMIFS(Cash_Book!$G$4:$G$1008,Cash_Book!$C$4:$C$1008,"BEPAARI",Cash_Book!$D$4:$D$1008,"PAYMENT",Cash_Book!$E$4:$E$1008,B38)</f>
        <v>0</v>
      </c>
      <c r="S38" s="15" t="str">
        <f t="shared" si="7"/>
        <v/>
      </c>
    </row>
    <row r="39" spans="1:19" x14ac:dyDescent="0.45">
      <c r="A39">
        <v>35</v>
      </c>
      <c r="B39" t="str">
        <f>IF(Masters!$B$37="","",Masters!$B$37)</f>
        <v/>
      </c>
      <c r="C39" t="str">
        <f>IF(B39="","",Masters!$C$37)</f>
        <v/>
      </c>
      <c r="D39" s="12" t="str">
        <f>IF(B39="","",IF(Masters!$D$37="","",Masters!$D$37))</f>
        <v/>
      </c>
      <c r="E39" s="12">
        <f>IF(B39="",0,Masters!$E$37)</f>
        <v>0</v>
      </c>
      <c r="F39" s="12">
        <f>SUMIF(Daily_Sales!$C$4:$C$503,B39,Daily_Sales!$G$4:$G$503)</f>
        <v>0</v>
      </c>
      <c r="G39" s="14">
        <f>SUMIF(Daily_Sales!$C$4:$C$503,B39,Daily_Sales!$E$4:$E$503)</f>
        <v>0</v>
      </c>
      <c r="H39" s="12">
        <f t="shared" si="4"/>
        <v>0</v>
      </c>
      <c r="I39" s="9">
        <f>IF(G39&gt;0,Masters!$Y$3,0)</f>
        <v>0</v>
      </c>
      <c r="J39" s="9">
        <f>G39*Masters!$Y$4</f>
        <v>0</v>
      </c>
      <c r="K39" s="12">
        <f>SUMIFS(Cash_Book!$G$4:$G$1008,Cash_Book!$C$4:$C$1008,"BEPAARI",Cash_Book!$D$4:$D$1008,"MOTOR",Cash_Book!$E$4:$E$1008,B39)</f>
        <v>0</v>
      </c>
      <c r="L39" s="12">
        <f>SUMIFS(Cash_Book!$G$4:$G$1008,Cash_Book!$C$4:$C$1008,"BEPAARI",Cash_Book!$D$4:$D$1008,"BHUSSA",Cash_Book!$E$4:$E$1008,B39)</f>
        <v>0</v>
      </c>
      <c r="M39" s="12">
        <f>SUMIFS(Cash_Book!$G$4:$G$1008,Cash_Book!$C$4:$C$1008,"BEPAARI",Cash_Book!$D$4:$D$1008,"GAWALI",Cash_Book!$E$4:$E$1008,B39)</f>
        <v>0</v>
      </c>
      <c r="N39" s="12">
        <f>SUMIFS(Cash_Book!$G$4:$G$1008,Cash_Book!$C$4:$C$1008,"BEPAARI",Cash_Book!$D$4:$D$1008,"CASH_ADV",Cash_Book!$E$4:$E$1008,B39)</f>
        <v>0</v>
      </c>
      <c r="O39" s="12">
        <f>SUMIFS(Cash_Book!$G$4:$G$1008,Cash_Book!$C$4:$C$1008,"BEPAARI",Cash_Book!$D$4:$D$1008,"OTHER",Cash_Book!$E$4:$E$1008,B39)</f>
        <v>0</v>
      </c>
      <c r="P39" s="9">
        <f t="shared" si="5"/>
        <v>0</v>
      </c>
      <c r="Q39" s="9" t="str">
        <f t="shared" si="6"/>
        <v/>
      </c>
      <c r="R39" s="12">
        <f>SUMIFS(Cash_Book!$G$4:$G$1008,Cash_Book!$C$4:$C$1008,"BEPAARI",Cash_Book!$D$4:$D$1008,"PAYMENT",Cash_Book!$E$4:$E$1008,B39)</f>
        <v>0</v>
      </c>
      <c r="S39" s="15" t="str">
        <f t="shared" si="7"/>
        <v/>
      </c>
    </row>
    <row r="40" spans="1:19" x14ac:dyDescent="0.45">
      <c r="A40">
        <v>36</v>
      </c>
      <c r="B40" t="str">
        <f>IF(Masters!$B$38="","",Masters!$B$38)</f>
        <v/>
      </c>
      <c r="C40" t="str">
        <f>IF(B40="","",Masters!$C$38)</f>
        <v/>
      </c>
      <c r="D40" s="12" t="str">
        <f>IF(B40="","",IF(Masters!$D$38="","",Masters!$D$38))</f>
        <v/>
      </c>
      <c r="E40" s="12">
        <f>IF(B40="",0,Masters!$E$38)</f>
        <v>0</v>
      </c>
      <c r="F40" s="12">
        <f>SUMIF(Daily_Sales!$C$4:$C$503,B40,Daily_Sales!$G$4:$G$503)</f>
        <v>0</v>
      </c>
      <c r="G40" s="14">
        <f>SUMIF(Daily_Sales!$C$4:$C$503,B40,Daily_Sales!$E$4:$E$503)</f>
        <v>0</v>
      </c>
      <c r="H40" s="12">
        <f t="shared" si="4"/>
        <v>0</v>
      </c>
      <c r="I40" s="9">
        <f>IF(G40&gt;0,Masters!$Y$3,0)</f>
        <v>0</v>
      </c>
      <c r="J40" s="9">
        <f>G40*Masters!$Y$4</f>
        <v>0</v>
      </c>
      <c r="K40" s="12">
        <f>SUMIFS(Cash_Book!$G$4:$G$1008,Cash_Book!$C$4:$C$1008,"BEPAARI",Cash_Book!$D$4:$D$1008,"MOTOR",Cash_Book!$E$4:$E$1008,B40)</f>
        <v>0</v>
      </c>
      <c r="L40" s="12">
        <f>SUMIFS(Cash_Book!$G$4:$G$1008,Cash_Book!$C$4:$C$1008,"BEPAARI",Cash_Book!$D$4:$D$1008,"BHUSSA",Cash_Book!$E$4:$E$1008,B40)</f>
        <v>0</v>
      </c>
      <c r="M40" s="12">
        <f>SUMIFS(Cash_Book!$G$4:$G$1008,Cash_Book!$C$4:$C$1008,"BEPAARI",Cash_Book!$D$4:$D$1008,"GAWALI",Cash_Book!$E$4:$E$1008,B40)</f>
        <v>0</v>
      </c>
      <c r="N40" s="12">
        <f>SUMIFS(Cash_Book!$G$4:$G$1008,Cash_Book!$C$4:$C$1008,"BEPAARI",Cash_Book!$D$4:$D$1008,"CASH_ADV",Cash_Book!$E$4:$E$1008,B40)</f>
        <v>0</v>
      </c>
      <c r="O40" s="12">
        <f>SUMIFS(Cash_Book!$G$4:$G$1008,Cash_Book!$C$4:$C$1008,"BEPAARI",Cash_Book!$D$4:$D$1008,"OTHER",Cash_Book!$E$4:$E$1008,B40)</f>
        <v>0</v>
      </c>
      <c r="P40" s="9">
        <f t="shared" si="5"/>
        <v>0</v>
      </c>
      <c r="Q40" s="9" t="str">
        <f t="shared" si="6"/>
        <v/>
      </c>
      <c r="R40" s="12">
        <f>SUMIFS(Cash_Book!$G$4:$G$1008,Cash_Book!$C$4:$C$1008,"BEPAARI",Cash_Book!$D$4:$D$1008,"PAYMENT",Cash_Book!$E$4:$E$1008,B40)</f>
        <v>0</v>
      </c>
      <c r="S40" s="15" t="str">
        <f t="shared" si="7"/>
        <v/>
      </c>
    </row>
    <row r="41" spans="1:19" x14ac:dyDescent="0.45">
      <c r="A41">
        <v>37</v>
      </c>
      <c r="B41" t="str">
        <f>IF(Masters!$B$39="","",Masters!$B$39)</f>
        <v/>
      </c>
      <c r="C41" t="str">
        <f>IF(B41="","",Masters!$C$39)</f>
        <v/>
      </c>
      <c r="D41" s="12" t="str">
        <f>IF(B41="","",IF(Masters!$D$39="","",Masters!$D$39))</f>
        <v/>
      </c>
      <c r="E41" s="12">
        <f>IF(B41="",0,Masters!$E$39)</f>
        <v>0</v>
      </c>
      <c r="F41" s="12">
        <f>SUMIF(Daily_Sales!$C$4:$C$503,B41,Daily_Sales!$G$4:$G$503)</f>
        <v>0</v>
      </c>
      <c r="G41" s="14">
        <f>SUMIF(Daily_Sales!$C$4:$C$503,B41,Daily_Sales!$E$4:$E$503)</f>
        <v>0</v>
      </c>
      <c r="H41" s="12">
        <f t="shared" si="4"/>
        <v>0</v>
      </c>
      <c r="I41" s="9">
        <f>IF(G41&gt;0,Masters!$Y$3,0)</f>
        <v>0</v>
      </c>
      <c r="J41" s="9">
        <f>G41*Masters!$Y$4</f>
        <v>0</v>
      </c>
      <c r="K41" s="12">
        <f>SUMIFS(Cash_Book!$G$4:$G$1008,Cash_Book!$C$4:$C$1008,"BEPAARI",Cash_Book!$D$4:$D$1008,"MOTOR",Cash_Book!$E$4:$E$1008,B41)</f>
        <v>0</v>
      </c>
      <c r="L41" s="12">
        <f>SUMIFS(Cash_Book!$G$4:$G$1008,Cash_Book!$C$4:$C$1008,"BEPAARI",Cash_Book!$D$4:$D$1008,"BHUSSA",Cash_Book!$E$4:$E$1008,B41)</f>
        <v>0</v>
      </c>
      <c r="M41" s="12">
        <f>SUMIFS(Cash_Book!$G$4:$G$1008,Cash_Book!$C$4:$C$1008,"BEPAARI",Cash_Book!$D$4:$D$1008,"GAWALI",Cash_Book!$E$4:$E$1008,B41)</f>
        <v>0</v>
      </c>
      <c r="N41" s="12">
        <f>SUMIFS(Cash_Book!$G$4:$G$1008,Cash_Book!$C$4:$C$1008,"BEPAARI",Cash_Book!$D$4:$D$1008,"CASH_ADV",Cash_Book!$E$4:$E$1008,B41)</f>
        <v>0</v>
      </c>
      <c r="O41" s="12">
        <f>SUMIFS(Cash_Book!$G$4:$G$1008,Cash_Book!$C$4:$C$1008,"BEPAARI",Cash_Book!$D$4:$D$1008,"OTHER",Cash_Book!$E$4:$E$1008,B41)</f>
        <v>0</v>
      </c>
      <c r="P41" s="9">
        <f t="shared" si="5"/>
        <v>0</v>
      </c>
      <c r="Q41" s="9" t="str">
        <f t="shared" si="6"/>
        <v/>
      </c>
      <c r="R41" s="12">
        <f>SUMIFS(Cash_Book!$G$4:$G$1008,Cash_Book!$C$4:$C$1008,"BEPAARI",Cash_Book!$D$4:$D$1008,"PAYMENT",Cash_Book!$E$4:$E$1008,B41)</f>
        <v>0</v>
      </c>
      <c r="S41" s="15" t="str">
        <f t="shared" si="7"/>
        <v/>
      </c>
    </row>
    <row r="42" spans="1:19" x14ac:dyDescent="0.45">
      <c r="A42">
        <v>38</v>
      </c>
      <c r="B42" t="str">
        <f>IF(Masters!$B$40="","",Masters!$B$40)</f>
        <v/>
      </c>
      <c r="C42" t="str">
        <f>IF(B42="","",Masters!$C$40)</f>
        <v/>
      </c>
      <c r="D42" s="12" t="str">
        <f>IF(B42="","",IF(Masters!$D$40="","",Masters!$D$40))</f>
        <v/>
      </c>
      <c r="E42" s="12">
        <f>IF(B42="",0,Masters!$E$40)</f>
        <v>0</v>
      </c>
      <c r="F42" s="12">
        <f>SUMIF(Daily_Sales!$C$4:$C$503,B42,Daily_Sales!$G$4:$G$503)</f>
        <v>0</v>
      </c>
      <c r="G42" s="14">
        <f>SUMIF(Daily_Sales!$C$4:$C$503,B42,Daily_Sales!$E$4:$E$503)</f>
        <v>0</v>
      </c>
      <c r="H42" s="12">
        <f t="shared" si="4"/>
        <v>0</v>
      </c>
      <c r="I42" s="9">
        <f>IF(G42&gt;0,Masters!$Y$3,0)</f>
        <v>0</v>
      </c>
      <c r="J42" s="9">
        <f>G42*Masters!$Y$4</f>
        <v>0</v>
      </c>
      <c r="K42" s="12">
        <f>SUMIFS(Cash_Book!$G$4:$G$1008,Cash_Book!$C$4:$C$1008,"BEPAARI",Cash_Book!$D$4:$D$1008,"MOTOR",Cash_Book!$E$4:$E$1008,B42)</f>
        <v>0</v>
      </c>
      <c r="L42" s="12">
        <f>SUMIFS(Cash_Book!$G$4:$G$1008,Cash_Book!$C$4:$C$1008,"BEPAARI",Cash_Book!$D$4:$D$1008,"BHUSSA",Cash_Book!$E$4:$E$1008,B42)</f>
        <v>0</v>
      </c>
      <c r="M42" s="12">
        <f>SUMIFS(Cash_Book!$G$4:$G$1008,Cash_Book!$C$4:$C$1008,"BEPAARI",Cash_Book!$D$4:$D$1008,"GAWALI",Cash_Book!$E$4:$E$1008,B42)</f>
        <v>0</v>
      </c>
      <c r="N42" s="12">
        <f>SUMIFS(Cash_Book!$G$4:$G$1008,Cash_Book!$C$4:$C$1008,"BEPAARI",Cash_Book!$D$4:$D$1008,"CASH_ADV",Cash_Book!$E$4:$E$1008,B42)</f>
        <v>0</v>
      </c>
      <c r="O42" s="12">
        <f>SUMIFS(Cash_Book!$G$4:$G$1008,Cash_Book!$C$4:$C$1008,"BEPAARI",Cash_Book!$D$4:$D$1008,"OTHER",Cash_Book!$E$4:$E$1008,B42)</f>
        <v>0</v>
      </c>
      <c r="P42" s="9">
        <f t="shared" si="5"/>
        <v>0</v>
      </c>
      <c r="Q42" s="9" t="str">
        <f t="shared" si="6"/>
        <v/>
      </c>
      <c r="R42" s="12">
        <f>SUMIFS(Cash_Book!$G$4:$G$1008,Cash_Book!$C$4:$C$1008,"BEPAARI",Cash_Book!$D$4:$D$1008,"PAYMENT",Cash_Book!$E$4:$E$1008,B42)</f>
        <v>0</v>
      </c>
      <c r="S42" s="15" t="str">
        <f t="shared" si="7"/>
        <v/>
      </c>
    </row>
    <row r="43" spans="1:19" x14ac:dyDescent="0.45">
      <c r="A43">
        <v>39</v>
      </c>
      <c r="B43" t="str">
        <f>IF(Masters!$B$41="","",Masters!$B$41)</f>
        <v/>
      </c>
      <c r="C43" t="str">
        <f>IF(B43="","",Masters!$C$41)</f>
        <v/>
      </c>
      <c r="D43" s="12" t="str">
        <f>IF(B43="","",IF(Masters!$D$41="","",Masters!$D$41))</f>
        <v/>
      </c>
      <c r="E43" s="12">
        <f>IF(B43="",0,Masters!$E$41)</f>
        <v>0</v>
      </c>
      <c r="F43" s="12">
        <f>SUMIF(Daily_Sales!$C$4:$C$503,B43,Daily_Sales!$G$4:$G$503)</f>
        <v>0</v>
      </c>
      <c r="G43" s="14">
        <f>SUMIF(Daily_Sales!$C$4:$C$503,B43,Daily_Sales!$E$4:$E$503)</f>
        <v>0</v>
      </c>
      <c r="H43" s="12">
        <f t="shared" si="4"/>
        <v>0</v>
      </c>
      <c r="I43" s="9">
        <f>IF(G43&gt;0,Masters!$Y$3,0)</f>
        <v>0</v>
      </c>
      <c r="J43" s="9">
        <f>G43*Masters!$Y$4</f>
        <v>0</v>
      </c>
      <c r="K43" s="12">
        <f>SUMIFS(Cash_Book!$G$4:$G$1008,Cash_Book!$C$4:$C$1008,"BEPAARI",Cash_Book!$D$4:$D$1008,"MOTOR",Cash_Book!$E$4:$E$1008,B43)</f>
        <v>0</v>
      </c>
      <c r="L43" s="12">
        <f>SUMIFS(Cash_Book!$G$4:$G$1008,Cash_Book!$C$4:$C$1008,"BEPAARI",Cash_Book!$D$4:$D$1008,"BHUSSA",Cash_Book!$E$4:$E$1008,B43)</f>
        <v>0</v>
      </c>
      <c r="M43" s="12">
        <f>SUMIFS(Cash_Book!$G$4:$G$1008,Cash_Book!$C$4:$C$1008,"BEPAARI",Cash_Book!$D$4:$D$1008,"GAWALI",Cash_Book!$E$4:$E$1008,B43)</f>
        <v>0</v>
      </c>
      <c r="N43" s="12">
        <f>SUMIFS(Cash_Book!$G$4:$G$1008,Cash_Book!$C$4:$C$1008,"BEPAARI",Cash_Book!$D$4:$D$1008,"CASH_ADV",Cash_Book!$E$4:$E$1008,B43)</f>
        <v>0</v>
      </c>
      <c r="O43" s="12">
        <f>SUMIFS(Cash_Book!$G$4:$G$1008,Cash_Book!$C$4:$C$1008,"BEPAARI",Cash_Book!$D$4:$D$1008,"OTHER",Cash_Book!$E$4:$E$1008,B43)</f>
        <v>0</v>
      </c>
      <c r="P43" s="9">
        <f t="shared" si="5"/>
        <v>0</v>
      </c>
      <c r="Q43" s="9" t="str">
        <f t="shared" si="6"/>
        <v/>
      </c>
      <c r="R43" s="12">
        <f>SUMIFS(Cash_Book!$G$4:$G$1008,Cash_Book!$C$4:$C$1008,"BEPAARI",Cash_Book!$D$4:$D$1008,"PAYMENT",Cash_Book!$E$4:$E$1008,B43)</f>
        <v>0</v>
      </c>
      <c r="S43" s="15" t="str">
        <f t="shared" si="7"/>
        <v/>
      </c>
    </row>
    <row r="44" spans="1:19" x14ac:dyDescent="0.45">
      <c r="A44">
        <v>40</v>
      </c>
      <c r="B44" t="str">
        <f>IF(Masters!$B$42="","",Masters!$B$42)</f>
        <v/>
      </c>
      <c r="C44" t="str">
        <f>IF(B44="","",Masters!$C$42)</f>
        <v/>
      </c>
      <c r="D44" s="12" t="str">
        <f>IF(B44="","",IF(Masters!$D$42="","",Masters!$D$42))</f>
        <v/>
      </c>
      <c r="E44" s="12">
        <f>IF(B44="",0,Masters!$E$42)</f>
        <v>0</v>
      </c>
      <c r="F44" s="12">
        <f>SUMIF(Daily_Sales!$C$4:$C$503,B44,Daily_Sales!$G$4:$G$503)</f>
        <v>0</v>
      </c>
      <c r="G44" s="14">
        <f>SUMIF(Daily_Sales!$C$4:$C$503,B44,Daily_Sales!$E$4:$E$503)</f>
        <v>0</v>
      </c>
      <c r="H44" s="12">
        <f t="shared" si="4"/>
        <v>0</v>
      </c>
      <c r="I44" s="9">
        <f>IF(G44&gt;0,Masters!$Y$3,0)</f>
        <v>0</v>
      </c>
      <c r="J44" s="9">
        <f>G44*Masters!$Y$4</f>
        <v>0</v>
      </c>
      <c r="K44" s="12">
        <f>SUMIFS(Cash_Book!$G$4:$G$1008,Cash_Book!$C$4:$C$1008,"BEPAARI",Cash_Book!$D$4:$D$1008,"MOTOR",Cash_Book!$E$4:$E$1008,B44)</f>
        <v>0</v>
      </c>
      <c r="L44" s="12">
        <f>SUMIFS(Cash_Book!$G$4:$G$1008,Cash_Book!$C$4:$C$1008,"BEPAARI",Cash_Book!$D$4:$D$1008,"BHUSSA",Cash_Book!$E$4:$E$1008,B44)</f>
        <v>0</v>
      </c>
      <c r="M44" s="12">
        <f>SUMIFS(Cash_Book!$G$4:$G$1008,Cash_Book!$C$4:$C$1008,"BEPAARI",Cash_Book!$D$4:$D$1008,"GAWALI",Cash_Book!$E$4:$E$1008,B44)</f>
        <v>0</v>
      </c>
      <c r="N44" s="12">
        <f>SUMIFS(Cash_Book!$G$4:$G$1008,Cash_Book!$C$4:$C$1008,"BEPAARI",Cash_Book!$D$4:$D$1008,"CASH_ADV",Cash_Book!$E$4:$E$1008,B44)</f>
        <v>0</v>
      </c>
      <c r="O44" s="12">
        <f>SUMIFS(Cash_Book!$G$4:$G$1008,Cash_Book!$C$4:$C$1008,"BEPAARI",Cash_Book!$D$4:$D$1008,"OTHER",Cash_Book!$E$4:$E$1008,B44)</f>
        <v>0</v>
      </c>
      <c r="P44" s="9">
        <f t="shared" si="5"/>
        <v>0</v>
      </c>
      <c r="Q44" s="9" t="str">
        <f t="shared" si="6"/>
        <v/>
      </c>
      <c r="R44" s="12">
        <f>SUMIFS(Cash_Book!$G$4:$G$1008,Cash_Book!$C$4:$C$1008,"BEPAARI",Cash_Book!$D$4:$D$1008,"PAYMENT",Cash_Book!$E$4:$E$1008,B44)</f>
        <v>0</v>
      </c>
      <c r="S44" s="15" t="str">
        <f t="shared" si="7"/>
        <v/>
      </c>
    </row>
    <row r="45" spans="1:19" x14ac:dyDescent="0.45">
      <c r="A45">
        <v>41</v>
      </c>
      <c r="B45" t="str">
        <f>IF(Masters!$B$43="","",Masters!$B$43)</f>
        <v/>
      </c>
      <c r="C45" t="str">
        <f>IF(B45="","",Masters!$C$43)</f>
        <v/>
      </c>
      <c r="D45" s="12" t="str">
        <f>IF(B45="","",IF(Masters!$D$43="","",Masters!$D$43))</f>
        <v/>
      </c>
      <c r="E45" s="12">
        <f>IF(B45="",0,Masters!$E$43)</f>
        <v>0</v>
      </c>
      <c r="F45" s="12">
        <f>SUMIF(Daily_Sales!$C$4:$C$503,B45,Daily_Sales!$G$4:$G$503)</f>
        <v>0</v>
      </c>
      <c r="G45" s="14">
        <f>SUMIF(Daily_Sales!$C$4:$C$503,B45,Daily_Sales!$E$4:$E$503)</f>
        <v>0</v>
      </c>
      <c r="H45" s="12">
        <f t="shared" si="4"/>
        <v>0</v>
      </c>
      <c r="I45" s="9">
        <f>IF(G45&gt;0,Masters!$Y$3,0)</f>
        <v>0</v>
      </c>
      <c r="J45" s="9">
        <f>G45*Masters!$Y$4</f>
        <v>0</v>
      </c>
      <c r="K45" s="12">
        <f>SUMIFS(Cash_Book!$G$4:$G$1008,Cash_Book!$C$4:$C$1008,"BEPAARI",Cash_Book!$D$4:$D$1008,"MOTOR",Cash_Book!$E$4:$E$1008,B45)</f>
        <v>0</v>
      </c>
      <c r="L45" s="12">
        <f>SUMIFS(Cash_Book!$G$4:$G$1008,Cash_Book!$C$4:$C$1008,"BEPAARI",Cash_Book!$D$4:$D$1008,"BHUSSA",Cash_Book!$E$4:$E$1008,B45)</f>
        <v>0</v>
      </c>
      <c r="M45" s="12">
        <f>SUMIFS(Cash_Book!$G$4:$G$1008,Cash_Book!$C$4:$C$1008,"BEPAARI",Cash_Book!$D$4:$D$1008,"GAWALI",Cash_Book!$E$4:$E$1008,B45)</f>
        <v>0</v>
      </c>
      <c r="N45" s="12">
        <f>SUMIFS(Cash_Book!$G$4:$G$1008,Cash_Book!$C$4:$C$1008,"BEPAARI",Cash_Book!$D$4:$D$1008,"CASH_ADV",Cash_Book!$E$4:$E$1008,B45)</f>
        <v>0</v>
      </c>
      <c r="O45" s="12">
        <f>SUMIFS(Cash_Book!$G$4:$G$1008,Cash_Book!$C$4:$C$1008,"BEPAARI",Cash_Book!$D$4:$D$1008,"OTHER",Cash_Book!$E$4:$E$1008,B45)</f>
        <v>0</v>
      </c>
      <c r="P45" s="9">
        <f t="shared" si="5"/>
        <v>0</v>
      </c>
      <c r="Q45" s="9" t="str">
        <f t="shared" si="6"/>
        <v/>
      </c>
      <c r="R45" s="12">
        <f>SUMIFS(Cash_Book!$G$4:$G$1008,Cash_Book!$C$4:$C$1008,"BEPAARI",Cash_Book!$D$4:$D$1008,"PAYMENT",Cash_Book!$E$4:$E$1008,B45)</f>
        <v>0</v>
      </c>
      <c r="S45" s="15" t="str">
        <f t="shared" si="7"/>
        <v/>
      </c>
    </row>
    <row r="46" spans="1:19" x14ac:dyDescent="0.45">
      <c r="A46">
        <v>42</v>
      </c>
      <c r="B46" t="str">
        <f>IF(Masters!$B$44="","",Masters!$B$44)</f>
        <v/>
      </c>
      <c r="C46" t="str">
        <f>IF(B46="","",Masters!$C$44)</f>
        <v/>
      </c>
      <c r="D46" s="12" t="str">
        <f>IF(B46="","",IF(Masters!$D$44="","",Masters!$D$44))</f>
        <v/>
      </c>
      <c r="E46" s="12">
        <f>IF(B46="",0,Masters!$E$44)</f>
        <v>0</v>
      </c>
      <c r="F46" s="12">
        <f>SUMIF(Daily_Sales!$C$4:$C$503,B46,Daily_Sales!$G$4:$G$503)</f>
        <v>0</v>
      </c>
      <c r="G46" s="14">
        <f>SUMIF(Daily_Sales!$C$4:$C$503,B46,Daily_Sales!$E$4:$E$503)</f>
        <v>0</v>
      </c>
      <c r="H46" s="12">
        <f t="shared" si="4"/>
        <v>0</v>
      </c>
      <c r="I46" s="9">
        <f>IF(G46&gt;0,Masters!$Y$3,0)</f>
        <v>0</v>
      </c>
      <c r="J46" s="9">
        <f>G46*Masters!$Y$4</f>
        <v>0</v>
      </c>
      <c r="K46" s="12">
        <f>SUMIFS(Cash_Book!$G$4:$G$1008,Cash_Book!$C$4:$C$1008,"BEPAARI",Cash_Book!$D$4:$D$1008,"MOTOR",Cash_Book!$E$4:$E$1008,B46)</f>
        <v>0</v>
      </c>
      <c r="L46" s="12">
        <f>SUMIFS(Cash_Book!$G$4:$G$1008,Cash_Book!$C$4:$C$1008,"BEPAARI",Cash_Book!$D$4:$D$1008,"BHUSSA",Cash_Book!$E$4:$E$1008,B46)</f>
        <v>0</v>
      </c>
      <c r="M46" s="12">
        <f>SUMIFS(Cash_Book!$G$4:$G$1008,Cash_Book!$C$4:$C$1008,"BEPAARI",Cash_Book!$D$4:$D$1008,"GAWALI",Cash_Book!$E$4:$E$1008,B46)</f>
        <v>0</v>
      </c>
      <c r="N46" s="12">
        <f>SUMIFS(Cash_Book!$G$4:$G$1008,Cash_Book!$C$4:$C$1008,"BEPAARI",Cash_Book!$D$4:$D$1008,"CASH_ADV",Cash_Book!$E$4:$E$1008,B46)</f>
        <v>0</v>
      </c>
      <c r="O46" s="12">
        <f>SUMIFS(Cash_Book!$G$4:$G$1008,Cash_Book!$C$4:$C$1008,"BEPAARI",Cash_Book!$D$4:$D$1008,"OTHER",Cash_Book!$E$4:$E$1008,B46)</f>
        <v>0</v>
      </c>
      <c r="P46" s="9">
        <f t="shared" si="5"/>
        <v>0</v>
      </c>
      <c r="Q46" s="9" t="str">
        <f t="shared" si="6"/>
        <v/>
      </c>
      <c r="R46" s="12">
        <f>SUMIFS(Cash_Book!$G$4:$G$1008,Cash_Book!$C$4:$C$1008,"BEPAARI",Cash_Book!$D$4:$D$1008,"PAYMENT",Cash_Book!$E$4:$E$1008,B46)</f>
        <v>0</v>
      </c>
      <c r="S46" s="15" t="str">
        <f t="shared" si="7"/>
        <v/>
      </c>
    </row>
    <row r="47" spans="1:19" x14ac:dyDescent="0.45">
      <c r="A47">
        <v>43</v>
      </c>
      <c r="B47" t="str">
        <f>IF(Masters!$B$45="","",Masters!$B$45)</f>
        <v/>
      </c>
      <c r="C47" t="str">
        <f>IF(B47="","",Masters!$C$45)</f>
        <v/>
      </c>
      <c r="D47" s="12" t="str">
        <f>IF(B47="","",IF(Masters!$D$45="","",Masters!$D$45))</f>
        <v/>
      </c>
      <c r="E47" s="12">
        <f>IF(B47="",0,Masters!$E$45)</f>
        <v>0</v>
      </c>
      <c r="F47" s="12">
        <f>SUMIF(Daily_Sales!$C$4:$C$503,B47,Daily_Sales!$G$4:$G$503)</f>
        <v>0</v>
      </c>
      <c r="G47" s="14">
        <f>SUMIF(Daily_Sales!$C$4:$C$503,B47,Daily_Sales!$E$4:$E$503)</f>
        <v>0</v>
      </c>
      <c r="H47" s="12">
        <f t="shared" si="4"/>
        <v>0</v>
      </c>
      <c r="I47" s="9">
        <f>IF(G47&gt;0,Masters!$Y$3,0)</f>
        <v>0</v>
      </c>
      <c r="J47" s="9">
        <f>G47*Masters!$Y$4</f>
        <v>0</v>
      </c>
      <c r="K47" s="12">
        <f>SUMIFS(Cash_Book!$G$4:$G$1008,Cash_Book!$C$4:$C$1008,"BEPAARI",Cash_Book!$D$4:$D$1008,"MOTOR",Cash_Book!$E$4:$E$1008,B47)</f>
        <v>0</v>
      </c>
      <c r="L47" s="12">
        <f>SUMIFS(Cash_Book!$G$4:$G$1008,Cash_Book!$C$4:$C$1008,"BEPAARI",Cash_Book!$D$4:$D$1008,"BHUSSA",Cash_Book!$E$4:$E$1008,B47)</f>
        <v>0</v>
      </c>
      <c r="M47" s="12">
        <f>SUMIFS(Cash_Book!$G$4:$G$1008,Cash_Book!$C$4:$C$1008,"BEPAARI",Cash_Book!$D$4:$D$1008,"GAWALI",Cash_Book!$E$4:$E$1008,B47)</f>
        <v>0</v>
      </c>
      <c r="N47" s="12">
        <f>SUMIFS(Cash_Book!$G$4:$G$1008,Cash_Book!$C$4:$C$1008,"BEPAARI",Cash_Book!$D$4:$D$1008,"CASH_ADV",Cash_Book!$E$4:$E$1008,B47)</f>
        <v>0</v>
      </c>
      <c r="O47" s="12">
        <f>SUMIFS(Cash_Book!$G$4:$G$1008,Cash_Book!$C$4:$C$1008,"BEPAARI",Cash_Book!$D$4:$D$1008,"OTHER",Cash_Book!$E$4:$E$1008,B47)</f>
        <v>0</v>
      </c>
      <c r="P47" s="9">
        <f t="shared" si="5"/>
        <v>0</v>
      </c>
      <c r="Q47" s="9" t="str">
        <f t="shared" si="6"/>
        <v/>
      </c>
      <c r="R47" s="12">
        <f>SUMIFS(Cash_Book!$G$4:$G$1008,Cash_Book!$C$4:$C$1008,"BEPAARI",Cash_Book!$D$4:$D$1008,"PAYMENT",Cash_Book!$E$4:$E$1008,B47)</f>
        <v>0</v>
      </c>
      <c r="S47" s="15" t="str">
        <f t="shared" si="7"/>
        <v/>
      </c>
    </row>
    <row r="48" spans="1:19" x14ac:dyDescent="0.45">
      <c r="A48">
        <v>44</v>
      </c>
      <c r="B48" t="str">
        <f>IF(Masters!$B$46="","",Masters!$B$46)</f>
        <v/>
      </c>
      <c r="C48" t="str">
        <f>IF(B48="","",Masters!$C$46)</f>
        <v/>
      </c>
      <c r="D48" s="12" t="str">
        <f>IF(B48="","",IF(Masters!$D$46="","",Masters!$D$46))</f>
        <v/>
      </c>
      <c r="E48" s="12">
        <f>IF(B48="",0,Masters!$E$46)</f>
        <v>0</v>
      </c>
      <c r="F48" s="12">
        <f>SUMIF(Daily_Sales!$C$4:$C$503,B48,Daily_Sales!$G$4:$G$503)</f>
        <v>0</v>
      </c>
      <c r="G48" s="14">
        <f>SUMIF(Daily_Sales!$C$4:$C$503,B48,Daily_Sales!$E$4:$E$503)</f>
        <v>0</v>
      </c>
      <c r="H48" s="12">
        <f t="shared" si="4"/>
        <v>0</v>
      </c>
      <c r="I48" s="9">
        <f>IF(G48&gt;0,Masters!$Y$3,0)</f>
        <v>0</v>
      </c>
      <c r="J48" s="9">
        <f>G48*Masters!$Y$4</f>
        <v>0</v>
      </c>
      <c r="K48" s="12">
        <f>SUMIFS(Cash_Book!$G$4:$G$1008,Cash_Book!$C$4:$C$1008,"BEPAARI",Cash_Book!$D$4:$D$1008,"MOTOR",Cash_Book!$E$4:$E$1008,B48)</f>
        <v>0</v>
      </c>
      <c r="L48" s="12">
        <f>SUMIFS(Cash_Book!$G$4:$G$1008,Cash_Book!$C$4:$C$1008,"BEPAARI",Cash_Book!$D$4:$D$1008,"BHUSSA",Cash_Book!$E$4:$E$1008,B48)</f>
        <v>0</v>
      </c>
      <c r="M48" s="12">
        <f>SUMIFS(Cash_Book!$G$4:$G$1008,Cash_Book!$C$4:$C$1008,"BEPAARI",Cash_Book!$D$4:$D$1008,"GAWALI",Cash_Book!$E$4:$E$1008,B48)</f>
        <v>0</v>
      </c>
      <c r="N48" s="12">
        <f>SUMIFS(Cash_Book!$G$4:$G$1008,Cash_Book!$C$4:$C$1008,"BEPAARI",Cash_Book!$D$4:$D$1008,"CASH_ADV",Cash_Book!$E$4:$E$1008,B48)</f>
        <v>0</v>
      </c>
      <c r="O48" s="12">
        <f>SUMIFS(Cash_Book!$G$4:$G$1008,Cash_Book!$C$4:$C$1008,"BEPAARI",Cash_Book!$D$4:$D$1008,"OTHER",Cash_Book!$E$4:$E$1008,B48)</f>
        <v>0</v>
      </c>
      <c r="P48" s="9">
        <f t="shared" si="5"/>
        <v>0</v>
      </c>
      <c r="Q48" s="9" t="str">
        <f t="shared" si="6"/>
        <v/>
      </c>
      <c r="R48" s="12">
        <f>SUMIFS(Cash_Book!$G$4:$G$1008,Cash_Book!$C$4:$C$1008,"BEPAARI",Cash_Book!$D$4:$D$1008,"PAYMENT",Cash_Book!$E$4:$E$1008,B48)</f>
        <v>0</v>
      </c>
      <c r="S48" s="15" t="str">
        <f t="shared" si="7"/>
        <v/>
      </c>
    </row>
    <row r="49" spans="1:19" x14ac:dyDescent="0.45">
      <c r="A49">
        <v>45</v>
      </c>
      <c r="B49" t="str">
        <f>IF(Masters!$B$47="","",Masters!$B$47)</f>
        <v/>
      </c>
      <c r="C49" t="str">
        <f>IF(B49="","",Masters!$C$47)</f>
        <v/>
      </c>
      <c r="D49" s="12" t="str">
        <f>IF(B49="","",IF(Masters!$D$47="","",Masters!$D$47))</f>
        <v/>
      </c>
      <c r="E49" s="12">
        <f>IF(B49="",0,Masters!$E$47)</f>
        <v>0</v>
      </c>
      <c r="F49" s="12">
        <f>SUMIF(Daily_Sales!$C$4:$C$503,B49,Daily_Sales!$G$4:$G$503)</f>
        <v>0</v>
      </c>
      <c r="G49" s="14">
        <f>SUMIF(Daily_Sales!$C$4:$C$503,B49,Daily_Sales!$E$4:$E$503)</f>
        <v>0</v>
      </c>
      <c r="H49" s="12">
        <f t="shared" si="4"/>
        <v>0</v>
      </c>
      <c r="I49" s="9">
        <f>IF(G49&gt;0,Masters!$Y$3,0)</f>
        <v>0</v>
      </c>
      <c r="J49" s="9">
        <f>G49*Masters!$Y$4</f>
        <v>0</v>
      </c>
      <c r="K49" s="12">
        <f>SUMIFS(Cash_Book!$G$4:$G$1008,Cash_Book!$C$4:$C$1008,"BEPAARI",Cash_Book!$D$4:$D$1008,"MOTOR",Cash_Book!$E$4:$E$1008,B49)</f>
        <v>0</v>
      </c>
      <c r="L49" s="12">
        <f>SUMIFS(Cash_Book!$G$4:$G$1008,Cash_Book!$C$4:$C$1008,"BEPAARI",Cash_Book!$D$4:$D$1008,"BHUSSA",Cash_Book!$E$4:$E$1008,B49)</f>
        <v>0</v>
      </c>
      <c r="M49" s="12">
        <f>SUMIFS(Cash_Book!$G$4:$G$1008,Cash_Book!$C$4:$C$1008,"BEPAARI",Cash_Book!$D$4:$D$1008,"GAWALI",Cash_Book!$E$4:$E$1008,B49)</f>
        <v>0</v>
      </c>
      <c r="N49" s="12">
        <f>SUMIFS(Cash_Book!$G$4:$G$1008,Cash_Book!$C$4:$C$1008,"BEPAARI",Cash_Book!$D$4:$D$1008,"CASH_ADV",Cash_Book!$E$4:$E$1008,B49)</f>
        <v>0</v>
      </c>
      <c r="O49" s="12">
        <f>SUMIFS(Cash_Book!$G$4:$G$1008,Cash_Book!$C$4:$C$1008,"BEPAARI",Cash_Book!$D$4:$D$1008,"OTHER",Cash_Book!$E$4:$E$1008,B49)</f>
        <v>0</v>
      </c>
      <c r="P49" s="9">
        <f t="shared" si="5"/>
        <v>0</v>
      </c>
      <c r="Q49" s="9" t="str">
        <f t="shared" si="6"/>
        <v/>
      </c>
      <c r="R49" s="12">
        <f>SUMIFS(Cash_Book!$G$4:$G$1008,Cash_Book!$C$4:$C$1008,"BEPAARI",Cash_Book!$D$4:$D$1008,"PAYMENT",Cash_Book!$E$4:$E$1008,B49)</f>
        <v>0</v>
      </c>
      <c r="S49" s="15" t="str">
        <f t="shared" si="7"/>
        <v/>
      </c>
    </row>
    <row r="50" spans="1:19" x14ac:dyDescent="0.45">
      <c r="A50">
        <v>46</v>
      </c>
      <c r="B50" t="str">
        <f>IF(Masters!$B$48="","",Masters!$B$48)</f>
        <v/>
      </c>
      <c r="C50" t="str">
        <f>IF(B50="","",Masters!$C$48)</f>
        <v/>
      </c>
      <c r="D50" s="12" t="str">
        <f>IF(B50="","",IF(Masters!$D$48="","",Masters!$D$48))</f>
        <v/>
      </c>
      <c r="E50" s="12">
        <f>IF(B50="",0,Masters!$E$48)</f>
        <v>0</v>
      </c>
      <c r="F50" s="12">
        <f>SUMIF(Daily_Sales!$C$4:$C$503,B50,Daily_Sales!$G$4:$G$503)</f>
        <v>0</v>
      </c>
      <c r="G50" s="14">
        <f>SUMIF(Daily_Sales!$C$4:$C$503,B50,Daily_Sales!$E$4:$E$503)</f>
        <v>0</v>
      </c>
      <c r="H50" s="12">
        <f t="shared" si="4"/>
        <v>0</v>
      </c>
      <c r="I50" s="9">
        <f>IF(G50&gt;0,Masters!$Y$3,0)</f>
        <v>0</v>
      </c>
      <c r="J50" s="9">
        <f>G50*Masters!$Y$4</f>
        <v>0</v>
      </c>
      <c r="K50" s="12">
        <f>SUMIFS(Cash_Book!$G$4:$G$1008,Cash_Book!$C$4:$C$1008,"BEPAARI",Cash_Book!$D$4:$D$1008,"MOTOR",Cash_Book!$E$4:$E$1008,B50)</f>
        <v>0</v>
      </c>
      <c r="L50" s="12">
        <f>SUMIFS(Cash_Book!$G$4:$G$1008,Cash_Book!$C$4:$C$1008,"BEPAARI",Cash_Book!$D$4:$D$1008,"BHUSSA",Cash_Book!$E$4:$E$1008,B50)</f>
        <v>0</v>
      </c>
      <c r="M50" s="12">
        <f>SUMIFS(Cash_Book!$G$4:$G$1008,Cash_Book!$C$4:$C$1008,"BEPAARI",Cash_Book!$D$4:$D$1008,"GAWALI",Cash_Book!$E$4:$E$1008,B50)</f>
        <v>0</v>
      </c>
      <c r="N50" s="12">
        <f>SUMIFS(Cash_Book!$G$4:$G$1008,Cash_Book!$C$4:$C$1008,"BEPAARI",Cash_Book!$D$4:$D$1008,"CASH_ADV",Cash_Book!$E$4:$E$1008,B50)</f>
        <v>0</v>
      </c>
      <c r="O50" s="12">
        <f>SUMIFS(Cash_Book!$G$4:$G$1008,Cash_Book!$C$4:$C$1008,"BEPAARI",Cash_Book!$D$4:$D$1008,"OTHER",Cash_Book!$E$4:$E$1008,B50)</f>
        <v>0</v>
      </c>
      <c r="P50" s="9">
        <f t="shared" si="5"/>
        <v>0</v>
      </c>
      <c r="Q50" s="9" t="str">
        <f t="shared" si="6"/>
        <v/>
      </c>
      <c r="R50" s="12">
        <f>SUMIFS(Cash_Book!$G$4:$G$1008,Cash_Book!$C$4:$C$1008,"BEPAARI",Cash_Book!$D$4:$D$1008,"PAYMENT",Cash_Book!$E$4:$E$1008,B50)</f>
        <v>0</v>
      </c>
      <c r="S50" s="15" t="str">
        <f t="shared" si="7"/>
        <v/>
      </c>
    </row>
    <row r="51" spans="1:19" x14ac:dyDescent="0.45">
      <c r="A51">
        <v>47</v>
      </c>
      <c r="B51" t="str">
        <f>IF(Masters!$B$49="","",Masters!$B$49)</f>
        <v/>
      </c>
      <c r="C51" t="str">
        <f>IF(B51="","",Masters!$C$49)</f>
        <v/>
      </c>
      <c r="D51" s="12" t="str">
        <f>IF(B51="","",IF(Masters!$D$49="","",Masters!$D$49))</f>
        <v/>
      </c>
      <c r="E51" s="12">
        <f>IF(B51="",0,Masters!$E$49)</f>
        <v>0</v>
      </c>
      <c r="F51" s="12">
        <f>SUMIF(Daily_Sales!$C$4:$C$503,B51,Daily_Sales!$G$4:$G$503)</f>
        <v>0</v>
      </c>
      <c r="G51" s="14">
        <f>SUMIF(Daily_Sales!$C$4:$C$503,B51,Daily_Sales!$E$4:$E$503)</f>
        <v>0</v>
      </c>
      <c r="H51" s="12">
        <f t="shared" si="4"/>
        <v>0</v>
      </c>
      <c r="I51" s="9">
        <f>IF(G51&gt;0,Masters!$Y$3,0)</f>
        <v>0</v>
      </c>
      <c r="J51" s="9">
        <f>G51*Masters!$Y$4</f>
        <v>0</v>
      </c>
      <c r="K51" s="12">
        <f>SUMIFS(Cash_Book!$G$4:$G$1008,Cash_Book!$C$4:$C$1008,"BEPAARI",Cash_Book!$D$4:$D$1008,"MOTOR",Cash_Book!$E$4:$E$1008,B51)</f>
        <v>0</v>
      </c>
      <c r="L51" s="12">
        <f>SUMIFS(Cash_Book!$G$4:$G$1008,Cash_Book!$C$4:$C$1008,"BEPAARI",Cash_Book!$D$4:$D$1008,"BHUSSA",Cash_Book!$E$4:$E$1008,B51)</f>
        <v>0</v>
      </c>
      <c r="M51" s="12">
        <f>SUMIFS(Cash_Book!$G$4:$G$1008,Cash_Book!$C$4:$C$1008,"BEPAARI",Cash_Book!$D$4:$D$1008,"GAWALI",Cash_Book!$E$4:$E$1008,B51)</f>
        <v>0</v>
      </c>
      <c r="N51" s="12">
        <f>SUMIFS(Cash_Book!$G$4:$G$1008,Cash_Book!$C$4:$C$1008,"BEPAARI",Cash_Book!$D$4:$D$1008,"CASH_ADV",Cash_Book!$E$4:$E$1008,B51)</f>
        <v>0</v>
      </c>
      <c r="O51" s="12">
        <f>SUMIFS(Cash_Book!$G$4:$G$1008,Cash_Book!$C$4:$C$1008,"BEPAARI",Cash_Book!$D$4:$D$1008,"OTHER",Cash_Book!$E$4:$E$1008,B51)</f>
        <v>0</v>
      </c>
      <c r="P51" s="9">
        <f t="shared" si="5"/>
        <v>0</v>
      </c>
      <c r="Q51" s="9" t="str">
        <f t="shared" si="6"/>
        <v/>
      </c>
      <c r="R51" s="12">
        <f>SUMIFS(Cash_Book!$G$4:$G$1008,Cash_Book!$C$4:$C$1008,"BEPAARI",Cash_Book!$D$4:$D$1008,"PAYMENT",Cash_Book!$E$4:$E$1008,B51)</f>
        <v>0</v>
      </c>
      <c r="S51" s="15" t="str">
        <f t="shared" si="7"/>
        <v/>
      </c>
    </row>
    <row r="52" spans="1:19" x14ac:dyDescent="0.45">
      <c r="A52">
        <v>48</v>
      </c>
      <c r="B52" t="str">
        <f>IF(Masters!$B$50="","",Masters!$B$50)</f>
        <v/>
      </c>
      <c r="C52" t="str">
        <f>IF(B52="","",Masters!$C$50)</f>
        <v/>
      </c>
      <c r="D52" s="12" t="str">
        <f>IF(B52="","",IF(Masters!$D$50="","",Masters!$D$50))</f>
        <v/>
      </c>
      <c r="E52" s="12">
        <f>IF(B52="",0,Masters!$E$50)</f>
        <v>0</v>
      </c>
      <c r="F52" s="12">
        <f>SUMIF(Daily_Sales!$C$4:$C$503,B52,Daily_Sales!$G$4:$G$503)</f>
        <v>0</v>
      </c>
      <c r="G52" s="14">
        <f>SUMIF(Daily_Sales!$C$4:$C$503,B52,Daily_Sales!$E$4:$E$503)</f>
        <v>0</v>
      </c>
      <c r="H52" s="12">
        <f t="shared" si="4"/>
        <v>0</v>
      </c>
      <c r="I52" s="9">
        <f>IF(G52&gt;0,Masters!$Y$3,0)</f>
        <v>0</v>
      </c>
      <c r="J52" s="9">
        <f>G52*Masters!$Y$4</f>
        <v>0</v>
      </c>
      <c r="K52" s="12">
        <f>SUMIFS(Cash_Book!$G$4:$G$1008,Cash_Book!$C$4:$C$1008,"BEPAARI",Cash_Book!$D$4:$D$1008,"MOTOR",Cash_Book!$E$4:$E$1008,B52)</f>
        <v>0</v>
      </c>
      <c r="L52" s="12">
        <f>SUMIFS(Cash_Book!$G$4:$G$1008,Cash_Book!$C$4:$C$1008,"BEPAARI",Cash_Book!$D$4:$D$1008,"BHUSSA",Cash_Book!$E$4:$E$1008,B52)</f>
        <v>0</v>
      </c>
      <c r="M52" s="12">
        <f>SUMIFS(Cash_Book!$G$4:$G$1008,Cash_Book!$C$4:$C$1008,"BEPAARI",Cash_Book!$D$4:$D$1008,"GAWALI",Cash_Book!$E$4:$E$1008,B52)</f>
        <v>0</v>
      </c>
      <c r="N52" s="12">
        <f>SUMIFS(Cash_Book!$G$4:$G$1008,Cash_Book!$C$4:$C$1008,"BEPAARI",Cash_Book!$D$4:$D$1008,"CASH_ADV",Cash_Book!$E$4:$E$1008,B52)</f>
        <v>0</v>
      </c>
      <c r="O52" s="12">
        <f>SUMIFS(Cash_Book!$G$4:$G$1008,Cash_Book!$C$4:$C$1008,"BEPAARI",Cash_Book!$D$4:$D$1008,"OTHER",Cash_Book!$E$4:$E$1008,B52)</f>
        <v>0</v>
      </c>
      <c r="P52" s="9">
        <f t="shared" si="5"/>
        <v>0</v>
      </c>
      <c r="Q52" s="9" t="str">
        <f t="shared" si="6"/>
        <v/>
      </c>
      <c r="R52" s="12">
        <f>SUMIFS(Cash_Book!$G$4:$G$1008,Cash_Book!$C$4:$C$1008,"BEPAARI",Cash_Book!$D$4:$D$1008,"PAYMENT",Cash_Book!$E$4:$E$1008,B52)</f>
        <v>0</v>
      </c>
      <c r="S52" s="15" t="str">
        <f t="shared" si="7"/>
        <v/>
      </c>
    </row>
    <row r="53" spans="1:19" x14ac:dyDescent="0.45">
      <c r="A53">
        <v>49</v>
      </c>
      <c r="B53" t="str">
        <f>IF(Masters!$B$51="","",Masters!$B$51)</f>
        <v/>
      </c>
      <c r="C53" t="str">
        <f>IF(B53="","",Masters!$C$51)</f>
        <v/>
      </c>
      <c r="D53" s="12" t="str">
        <f>IF(B53="","",IF(Masters!$D$51="","",Masters!$D$51))</f>
        <v/>
      </c>
      <c r="E53" s="12">
        <f>IF(B53="",0,Masters!$E$51)</f>
        <v>0</v>
      </c>
      <c r="F53" s="12">
        <f>SUMIF(Daily_Sales!$C$4:$C$503,B53,Daily_Sales!$G$4:$G$503)</f>
        <v>0</v>
      </c>
      <c r="G53" s="14">
        <f>SUMIF(Daily_Sales!$C$4:$C$503,B53,Daily_Sales!$E$4:$E$503)</f>
        <v>0</v>
      </c>
      <c r="H53" s="12">
        <f t="shared" si="4"/>
        <v>0</v>
      </c>
      <c r="I53" s="9">
        <f>IF(G53&gt;0,Masters!$Y$3,0)</f>
        <v>0</v>
      </c>
      <c r="J53" s="9">
        <f>G53*Masters!$Y$4</f>
        <v>0</v>
      </c>
      <c r="K53" s="12">
        <f>SUMIFS(Cash_Book!$G$4:$G$1008,Cash_Book!$C$4:$C$1008,"BEPAARI",Cash_Book!$D$4:$D$1008,"MOTOR",Cash_Book!$E$4:$E$1008,B53)</f>
        <v>0</v>
      </c>
      <c r="L53" s="12">
        <f>SUMIFS(Cash_Book!$G$4:$G$1008,Cash_Book!$C$4:$C$1008,"BEPAARI",Cash_Book!$D$4:$D$1008,"BHUSSA",Cash_Book!$E$4:$E$1008,B53)</f>
        <v>0</v>
      </c>
      <c r="M53" s="12">
        <f>SUMIFS(Cash_Book!$G$4:$G$1008,Cash_Book!$C$4:$C$1008,"BEPAARI",Cash_Book!$D$4:$D$1008,"GAWALI",Cash_Book!$E$4:$E$1008,B53)</f>
        <v>0</v>
      </c>
      <c r="N53" s="12">
        <f>SUMIFS(Cash_Book!$G$4:$G$1008,Cash_Book!$C$4:$C$1008,"BEPAARI",Cash_Book!$D$4:$D$1008,"CASH_ADV",Cash_Book!$E$4:$E$1008,B53)</f>
        <v>0</v>
      </c>
      <c r="O53" s="12">
        <f>SUMIFS(Cash_Book!$G$4:$G$1008,Cash_Book!$C$4:$C$1008,"BEPAARI",Cash_Book!$D$4:$D$1008,"OTHER",Cash_Book!$E$4:$E$1008,B53)</f>
        <v>0</v>
      </c>
      <c r="P53" s="9">
        <f t="shared" si="5"/>
        <v>0</v>
      </c>
      <c r="Q53" s="9" t="str">
        <f t="shared" si="6"/>
        <v/>
      </c>
      <c r="R53" s="12">
        <f>SUMIFS(Cash_Book!$G$4:$G$1008,Cash_Book!$C$4:$C$1008,"BEPAARI",Cash_Book!$D$4:$D$1008,"PAYMENT",Cash_Book!$E$4:$E$1008,B53)</f>
        <v>0</v>
      </c>
      <c r="S53" s="15" t="str">
        <f t="shared" si="7"/>
        <v/>
      </c>
    </row>
    <row r="54" spans="1:19" x14ac:dyDescent="0.45">
      <c r="A54">
        <v>50</v>
      </c>
      <c r="B54" t="str">
        <f>IF(Masters!$B$52="","",Masters!$B$52)</f>
        <v/>
      </c>
      <c r="C54" t="str">
        <f>IF(B54="","",Masters!$C$52)</f>
        <v/>
      </c>
      <c r="D54" s="12" t="str">
        <f>IF(B54="","",IF(Masters!$D$52="","",Masters!$D$52))</f>
        <v/>
      </c>
      <c r="E54" s="12">
        <f>IF(B54="",0,Masters!$E$52)</f>
        <v>0</v>
      </c>
      <c r="F54" s="12">
        <f>SUMIF(Daily_Sales!$C$4:$C$503,B54,Daily_Sales!$G$4:$G$503)</f>
        <v>0</v>
      </c>
      <c r="G54" s="14">
        <f>SUMIF(Daily_Sales!$C$4:$C$503,B54,Daily_Sales!$E$4:$E$503)</f>
        <v>0</v>
      </c>
      <c r="H54" s="12">
        <f t="shared" si="4"/>
        <v>0</v>
      </c>
      <c r="I54" s="9">
        <f>IF(G54&gt;0,Masters!$Y$3,0)</f>
        <v>0</v>
      </c>
      <c r="J54" s="9">
        <f>G54*Masters!$Y$4</f>
        <v>0</v>
      </c>
      <c r="K54" s="12">
        <f>SUMIFS(Cash_Book!$G$4:$G$1008,Cash_Book!$C$4:$C$1008,"BEPAARI",Cash_Book!$D$4:$D$1008,"MOTOR",Cash_Book!$E$4:$E$1008,B54)</f>
        <v>0</v>
      </c>
      <c r="L54" s="12">
        <f>SUMIFS(Cash_Book!$G$4:$G$1008,Cash_Book!$C$4:$C$1008,"BEPAARI",Cash_Book!$D$4:$D$1008,"BHUSSA",Cash_Book!$E$4:$E$1008,B54)</f>
        <v>0</v>
      </c>
      <c r="M54" s="12">
        <f>SUMIFS(Cash_Book!$G$4:$G$1008,Cash_Book!$C$4:$C$1008,"BEPAARI",Cash_Book!$D$4:$D$1008,"GAWALI",Cash_Book!$E$4:$E$1008,B54)</f>
        <v>0</v>
      </c>
      <c r="N54" s="12">
        <f>SUMIFS(Cash_Book!$G$4:$G$1008,Cash_Book!$C$4:$C$1008,"BEPAARI",Cash_Book!$D$4:$D$1008,"CASH_ADV",Cash_Book!$E$4:$E$1008,B54)</f>
        <v>0</v>
      </c>
      <c r="O54" s="12">
        <f>SUMIFS(Cash_Book!$G$4:$G$1008,Cash_Book!$C$4:$C$1008,"BEPAARI",Cash_Book!$D$4:$D$1008,"OTHER",Cash_Book!$E$4:$E$1008,B54)</f>
        <v>0</v>
      </c>
      <c r="P54" s="9">
        <f t="shared" si="5"/>
        <v>0</v>
      </c>
      <c r="Q54" s="9" t="str">
        <f t="shared" si="6"/>
        <v/>
      </c>
      <c r="R54" s="12">
        <f>SUMIFS(Cash_Book!$G$4:$G$1008,Cash_Book!$C$4:$C$1008,"BEPAARI",Cash_Book!$D$4:$D$1008,"PAYMENT",Cash_Book!$E$4:$E$1008,B54)</f>
        <v>0</v>
      </c>
      <c r="S54" s="15" t="str">
        <f t="shared" si="7"/>
        <v/>
      </c>
    </row>
    <row r="55" spans="1:19" x14ac:dyDescent="0.45">
      <c r="A55" s="3" t="s">
        <v>135</v>
      </c>
      <c r="E55" s="15">
        <f t="shared" ref="E55:S55" si="8">SUM(E5:E54)</f>
        <v>-141478</v>
      </c>
      <c r="F55" s="15">
        <f t="shared" si="8"/>
        <v>4962000</v>
      </c>
      <c r="G55" s="15">
        <f t="shared" si="8"/>
        <v>466</v>
      </c>
      <c r="H55" s="15">
        <f t="shared" si="8"/>
        <v>198480</v>
      </c>
      <c r="I55" s="15">
        <f t="shared" si="8"/>
        <v>1100</v>
      </c>
      <c r="J55" s="15">
        <f t="shared" si="8"/>
        <v>4660</v>
      </c>
      <c r="K55" s="15">
        <f t="shared" si="8"/>
        <v>109150</v>
      </c>
      <c r="L55" s="15">
        <f t="shared" si="8"/>
        <v>1530</v>
      </c>
      <c r="M55" s="15">
        <f t="shared" si="8"/>
        <v>38800</v>
      </c>
      <c r="N55" s="15">
        <f t="shared" si="8"/>
        <v>0</v>
      </c>
      <c r="O55" s="15">
        <f t="shared" si="8"/>
        <v>0</v>
      </c>
      <c r="P55" s="15">
        <f t="shared" si="8"/>
        <v>353720</v>
      </c>
      <c r="Q55" s="15">
        <f t="shared" si="8"/>
        <v>4466802</v>
      </c>
      <c r="R55" s="15">
        <f t="shared" si="8"/>
        <v>3577564</v>
      </c>
      <c r="S55" s="15">
        <f t="shared" si="8"/>
        <v>889238</v>
      </c>
    </row>
    <row r="57" spans="1:19" x14ac:dyDescent="0.45">
      <c r="P57" s="16" t="s">
        <v>136</v>
      </c>
    </row>
    <row r="58" spans="1:19" x14ac:dyDescent="0.45">
      <c r="Q58" t="s">
        <v>137</v>
      </c>
      <c r="S58" s="9">
        <f>SUMIF(S5:S54,"&gt;0",S5:S54)</f>
        <v>1105792</v>
      </c>
    </row>
    <row r="59" spans="1:19" x14ac:dyDescent="0.45">
      <c r="Q59" t="s">
        <v>138</v>
      </c>
      <c r="S59" s="9">
        <f>-SUMIF(S5:S54,"&lt;0",S5:S54)</f>
        <v>216554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1E63"/>
  </sheetPr>
  <dimension ref="A1:H108"/>
  <sheetViews>
    <sheetView topLeftCell="A93" workbookViewId="0">
      <selection activeCell="H60" sqref="H60"/>
    </sheetView>
  </sheetViews>
  <sheetFormatPr defaultRowHeight="14.25" x14ac:dyDescent="0.45"/>
  <cols>
    <col min="1" max="1" width="7.6640625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ht="18" x14ac:dyDescent="0.55000000000000004">
      <c r="A1" s="1" t="s">
        <v>139</v>
      </c>
    </row>
    <row r="3" spans="1:8" x14ac:dyDescent="0.45">
      <c r="A3" s="2" t="s">
        <v>5</v>
      </c>
      <c r="B3" s="2" t="s">
        <v>98</v>
      </c>
      <c r="C3" s="2" t="s">
        <v>121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134</v>
      </c>
    </row>
    <row r="4" spans="1:8" x14ac:dyDescent="0.45">
      <c r="A4">
        <v>1</v>
      </c>
      <c r="B4" t="str">
        <f>IF(Masters!$J$3="","",Masters!$J$3)</f>
        <v>SAKIM</v>
      </c>
      <c r="C4" s="12">
        <f>IF(B4="",0,Masters!$K$3)</f>
        <v>113500</v>
      </c>
      <c r="D4" s="12">
        <f>SUMIF(Daily_Sales!$D$4:$D$503,B4,Daily_Sales!$G$4:$G$503)</f>
        <v>98800</v>
      </c>
      <c r="E4" s="12">
        <f>SUMIF(Daily_Sales!$D$4:$D$503,B4,Daily_Sales!$H$4:$H$503)</f>
        <v>0</v>
      </c>
      <c r="F4" s="9">
        <f t="shared" ref="F4:F35" si="0">IF(B4="","",D4-E4+C4)</f>
        <v>212300</v>
      </c>
      <c r="G4" s="12">
        <f>SUMIFS(Cash_Book!$G$4:$G$1008,Cash_Book!$C$4:$C$1008,"DUKANDAR",Cash_Book!$D$4:$D$1008,"RECEIPT",Cash_Book!$E$4:$E$1008,B4)</f>
        <v>50000</v>
      </c>
      <c r="H4" s="15">
        <f t="shared" ref="H4:H35" si="1">IF(B4="","",F4-G4)</f>
        <v>162300</v>
      </c>
    </row>
    <row r="5" spans="1:8" x14ac:dyDescent="0.45">
      <c r="A5">
        <v>2</v>
      </c>
      <c r="B5" t="str">
        <f>IF(Masters!$J$4="","",Masters!$J$4)</f>
        <v>SHARIK</v>
      </c>
      <c r="C5" s="12">
        <f>IF(B5="",0,Masters!$K$4)</f>
        <v>879000</v>
      </c>
      <c r="D5" s="12">
        <f>SUMIF(Daily_Sales!$D$4:$D$503,B5,Daily_Sales!$G$4:$G$503)</f>
        <v>0</v>
      </c>
      <c r="E5" s="12">
        <f>SUMIF(Daily_Sales!$D$4:$D$503,B5,Daily_Sales!$H$4:$H$503)</f>
        <v>0</v>
      </c>
      <c r="F5" s="9">
        <f t="shared" si="0"/>
        <v>879000</v>
      </c>
      <c r="G5" s="12">
        <f>SUMIFS(Cash_Book!$G$4:$G$1008,Cash_Book!$C$4:$C$1008,"DUKANDAR",Cash_Book!$D$4:$D$1008,"RECEIPT",Cash_Book!$E$4:$E$1008,B5)</f>
        <v>300000</v>
      </c>
      <c r="H5" s="15">
        <f t="shared" si="1"/>
        <v>579000</v>
      </c>
    </row>
    <row r="6" spans="1:8" x14ac:dyDescent="0.45">
      <c r="A6">
        <v>3</v>
      </c>
      <c r="B6" t="str">
        <f>IF(Masters!$J$5="","",Masters!$J$5)</f>
        <v>YUNUS</v>
      </c>
      <c r="C6" s="12">
        <f>IF(B6="",0,Masters!$K$5)</f>
        <v>94931</v>
      </c>
      <c r="D6" s="12">
        <f>SUMIF(Daily_Sales!$D$4:$D$503,B6,Daily_Sales!$G$4:$G$503)</f>
        <v>251300</v>
      </c>
      <c r="E6" s="12">
        <f>SUMIF(Daily_Sales!$D$4:$D$503,B6,Daily_Sales!$H$4:$H$503)</f>
        <v>5000</v>
      </c>
      <c r="F6" s="9">
        <f t="shared" si="0"/>
        <v>341231</v>
      </c>
      <c r="G6" s="12">
        <f>SUMIFS(Cash_Book!$G$4:$G$1008,Cash_Book!$C$4:$C$1008,"DUKANDAR",Cash_Book!$D$4:$D$1008,"RECEIPT",Cash_Book!$E$4:$E$1008,B6)</f>
        <v>208779</v>
      </c>
      <c r="H6" s="15">
        <f t="shared" si="1"/>
        <v>132452</v>
      </c>
    </row>
    <row r="7" spans="1:8" x14ac:dyDescent="0.45">
      <c r="A7">
        <v>4</v>
      </c>
      <c r="B7" t="str">
        <f>IF(Masters!$J$6="","",Masters!$J$6)</f>
        <v>MUDASSIR</v>
      </c>
      <c r="C7" s="12">
        <f>IF(B7="",0,Masters!$K$6)</f>
        <v>516778</v>
      </c>
      <c r="D7" s="12">
        <f>SUMIF(Daily_Sales!$D$4:$D$503,B7,Daily_Sales!$G$4:$G$503)</f>
        <v>195500</v>
      </c>
      <c r="E7" s="12">
        <f>SUMIF(Daily_Sales!$D$4:$D$503,B7,Daily_Sales!$H$4:$H$503)</f>
        <v>0</v>
      </c>
      <c r="F7" s="9">
        <f t="shared" si="0"/>
        <v>712278</v>
      </c>
      <c r="G7" s="12">
        <f>SUMIFS(Cash_Book!$G$4:$G$1008,Cash_Book!$C$4:$C$1008,"DUKANDAR",Cash_Book!$D$4:$D$1008,"RECEIPT",Cash_Book!$E$4:$E$1008,B7)</f>
        <v>100000</v>
      </c>
      <c r="H7" s="15">
        <f t="shared" si="1"/>
        <v>612278</v>
      </c>
    </row>
    <row r="8" spans="1:8" x14ac:dyDescent="0.45">
      <c r="A8">
        <v>5</v>
      </c>
      <c r="B8" t="str">
        <f>IF(Masters!$J$7="","",Masters!$J$7)</f>
        <v>ARIF</v>
      </c>
      <c r="C8" s="12">
        <f>IF(B8="",0,Masters!$K$7)</f>
        <v>187650</v>
      </c>
      <c r="D8" s="12">
        <f>SUMIF(Daily_Sales!$D$4:$D$503,B8,Daily_Sales!$G$4:$G$503)</f>
        <v>0</v>
      </c>
      <c r="E8" s="12">
        <f>SUMIF(Daily_Sales!$D$4:$D$503,B8,Daily_Sales!$H$4:$H$503)</f>
        <v>0</v>
      </c>
      <c r="F8" s="9">
        <f t="shared" si="0"/>
        <v>187650</v>
      </c>
      <c r="G8" s="12">
        <f>SUMIFS(Cash_Book!$G$4:$G$1008,Cash_Book!$C$4:$C$1008,"DUKANDAR",Cash_Book!$D$4:$D$1008,"RECEIPT",Cash_Book!$E$4:$E$1008,B8)</f>
        <v>167700</v>
      </c>
      <c r="H8" s="15">
        <f t="shared" si="1"/>
        <v>19950</v>
      </c>
    </row>
    <row r="9" spans="1:8" x14ac:dyDescent="0.45">
      <c r="A9">
        <v>6</v>
      </c>
      <c r="B9" t="str">
        <f>IF(Masters!$J$8="","",Masters!$J$8)</f>
        <v>SHOEB BYCULLA</v>
      </c>
      <c r="C9" s="12">
        <f>IF(B9="",0,Masters!$K$8)</f>
        <v>0</v>
      </c>
      <c r="D9" s="12">
        <f>SUMIF(Daily_Sales!$D$4:$D$503,B9,Daily_Sales!$G$4:$G$503)</f>
        <v>112750</v>
      </c>
      <c r="E9" s="12">
        <f>SUMIF(Daily_Sales!$D$4:$D$503,B9,Daily_Sales!$H$4:$H$503)</f>
        <v>2750</v>
      </c>
      <c r="F9" s="9">
        <f t="shared" si="0"/>
        <v>110000</v>
      </c>
      <c r="G9" s="12">
        <f>SUMIFS(Cash_Book!$G$4:$G$1008,Cash_Book!$C$4:$C$1008,"DUKANDAR",Cash_Book!$D$4:$D$1008,"RECEIPT",Cash_Book!$E$4:$E$1008,B9)</f>
        <v>0</v>
      </c>
      <c r="H9" s="15">
        <f t="shared" si="1"/>
        <v>110000</v>
      </c>
    </row>
    <row r="10" spans="1:8" x14ac:dyDescent="0.45">
      <c r="A10">
        <v>7</v>
      </c>
      <c r="B10" t="str">
        <f>IF(Masters!$J$9="","",Masters!$J$9)</f>
        <v>ISLAM D</v>
      </c>
      <c r="C10" s="12">
        <f>IF(B10="",0,Masters!$K$9)</f>
        <v>100000</v>
      </c>
      <c r="D10" s="12">
        <f>SUMIF(Daily_Sales!$D$4:$D$503,B10,Daily_Sales!$G$4:$G$503)</f>
        <v>0</v>
      </c>
      <c r="E10" s="12">
        <f>SUMIF(Daily_Sales!$D$4:$D$503,B10,Daily_Sales!$H$4:$H$503)</f>
        <v>0</v>
      </c>
      <c r="F10" s="9">
        <f t="shared" si="0"/>
        <v>100000</v>
      </c>
      <c r="G10" s="12">
        <f>SUMIFS(Cash_Book!$G$4:$G$1008,Cash_Book!$C$4:$C$1008,"DUKANDAR",Cash_Book!$D$4:$D$1008,"RECEIPT",Cash_Book!$E$4:$E$1008,B10)</f>
        <v>100000</v>
      </c>
      <c r="H10" s="15">
        <f t="shared" si="1"/>
        <v>0</v>
      </c>
    </row>
    <row r="11" spans="1:8" x14ac:dyDescent="0.45">
      <c r="A11">
        <v>8</v>
      </c>
      <c r="B11" t="str">
        <f>IF(Masters!$J$10="","",Masters!$J$10)</f>
        <v>MEHMOOD MADH</v>
      </c>
      <c r="C11" s="12">
        <f>IF(B11="",0,Masters!$K$10)</f>
        <v>15000</v>
      </c>
      <c r="D11" s="12">
        <f>SUMIF(Daily_Sales!$D$4:$D$503,B11,Daily_Sales!$G$4:$G$503)</f>
        <v>184900</v>
      </c>
      <c r="E11" s="12">
        <f>SUMIF(Daily_Sales!$D$4:$D$503,B11,Daily_Sales!$H$4:$H$503)</f>
        <v>0</v>
      </c>
      <c r="F11" s="9">
        <f t="shared" si="0"/>
        <v>199900</v>
      </c>
      <c r="G11" s="12">
        <f>SUMIFS(Cash_Book!$G$4:$G$1008,Cash_Book!$C$4:$C$1008,"DUKANDAR",Cash_Book!$D$4:$D$1008,"RECEIPT",Cash_Book!$E$4:$E$1008,B11)</f>
        <v>20000</v>
      </c>
      <c r="H11" s="15">
        <f t="shared" si="1"/>
        <v>179900</v>
      </c>
    </row>
    <row r="12" spans="1:8" x14ac:dyDescent="0.45">
      <c r="A12">
        <v>9</v>
      </c>
      <c r="B12" t="str">
        <f>IF(Masters!$J$11="","",Masters!$J$11)</f>
        <v>MOBIN CHIPLUN</v>
      </c>
      <c r="C12" s="12">
        <f>IF(B12="",0,Masters!$K$11)</f>
        <v>486250</v>
      </c>
      <c r="D12" s="12">
        <f>SUMIF(Daily_Sales!$D$4:$D$503,B12,Daily_Sales!$G$4:$G$503)</f>
        <v>0</v>
      </c>
      <c r="E12" s="12">
        <f>SUMIF(Daily_Sales!$D$4:$D$503,B12,Daily_Sales!$H$4:$H$503)</f>
        <v>0</v>
      </c>
      <c r="F12" s="9">
        <f t="shared" si="0"/>
        <v>486250</v>
      </c>
      <c r="G12" s="12">
        <f>SUMIFS(Cash_Book!$G$4:$G$1008,Cash_Book!$C$4:$C$1008,"DUKANDAR",Cash_Book!$D$4:$D$1008,"RECEIPT",Cash_Book!$E$4:$E$1008,B12)</f>
        <v>206000</v>
      </c>
      <c r="H12" s="15">
        <f t="shared" si="1"/>
        <v>280250</v>
      </c>
    </row>
    <row r="13" spans="1:8" x14ac:dyDescent="0.45">
      <c r="A13">
        <v>10</v>
      </c>
      <c r="B13" t="str">
        <f>IF(Masters!$J$12="","",Masters!$J$12)</f>
        <v>JALIL</v>
      </c>
      <c r="C13" s="12">
        <f>IF(B13="",0,Masters!$K$12)</f>
        <v>90950</v>
      </c>
      <c r="D13" s="12">
        <f>SUMIF(Daily_Sales!$D$4:$D$503,B13,Daily_Sales!$G$4:$G$503)</f>
        <v>146500</v>
      </c>
      <c r="E13" s="12">
        <f>SUMIF(Daily_Sales!$D$4:$D$503,B13,Daily_Sales!$H$4:$H$503)</f>
        <v>0</v>
      </c>
      <c r="F13" s="9">
        <f t="shared" si="0"/>
        <v>237450</v>
      </c>
      <c r="G13" s="12">
        <f>SUMIFS(Cash_Book!$G$4:$G$1008,Cash_Book!$C$4:$C$1008,"DUKANDAR",Cash_Book!$D$4:$D$1008,"RECEIPT",Cash_Book!$E$4:$E$1008,B13)</f>
        <v>50000</v>
      </c>
      <c r="H13" s="15">
        <f t="shared" si="1"/>
        <v>187450</v>
      </c>
    </row>
    <row r="14" spans="1:8" x14ac:dyDescent="0.45">
      <c r="A14">
        <v>11</v>
      </c>
      <c r="B14" t="str">
        <f>IF(Masters!$J$13="","",Masters!$J$13)</f>
        <v>IRFAN JOGESHWARI</v>
      </c>
      <c r="C14" s="12">
        <f>IF(B14="",0,Masters!$K$13)</f>
        <v>0</v>
      </c>
      <c r="D14" s="12">
        <f>SUMIF(Daily_Sales!$D$4:$D$503,B14,Daily_Sales!$G$4:$G$503)</f>
        <v>0</v>
      </c>
      <c r="E14" s="12">
        <f>SUMIF(Daily_Sales!$D$4:$D$503,B14,Daily_Sales!$H$4:$H$503)</f>
        <v>0</v>
      </c>
      <c r="F14" s="9">
        <f t="shared" si="0"/>
        <v>0</v>
      </c>
      <c r="G14" s="12">
        <f>SUMIFS(Cash_Book!$G$4:$G$1008,Cash_Book!$C$4:$C$1008,"DUKANDAR",Cash_Book!$D$4:$D$1008,"RECEIPT",Cash_Book!$E$4:$E$1008,B14)</f>
        <v>0</v>
      </c>
      <c r="H14" s="15">
        <f t="shared" si="1"/>
        <v>0</v>
      </c>
    </row>
    <row r="15" spans="1:8" x14ac:dyDescent="0.45">
      <c r="A15">
        <v>12</v>
      </c>
      <c r="B15" t="str">
        <f>IF(Masters!$J$14="","",Masters!$J$14)</f>
        <v>YUNUS DOMBIVLI</v>
      </c>
      <c r="C15" s="12">
        <f>IF(B15="",0,Masters!$K$14)</f>
        <v>59662</v>
      </c>
      <c r="D15" s="12">
        <f>SUMIF(Daily_Sales!$D$4:$D$503,B15,Daily_Sales!$G$4:$G$503)</f>
        <v>0</v>
      </c>
      <c r="E15" s="12">
        <f>SUMIF(Daily_Sales!$D$4:$D$503,B15,Daily_Sales!$H$4:$H$503)</f>
        <v>0</v>
      </c>
      <c r="F15" s="9">
        <f t="shared" si="0"/>
        <v>59662</v>
      </c>
      <c r="G15" s="12">
        <f>SUMIFS(Cash_Book!$G$4:$G$1008,Cash_Book!$C$4:$C$1008,"DUKANDAR",Cash_Book!$D$4:$D$1008,"RECEIPT",Cash_Book!$E$4:$E$1008,B15)</f>
        <v>40000</v>
      </c>
      <c r="H15" s="15">
        <f t="shared" si="1"/>
        <v>19662</v>
      </c>
    </row>
    <row r="16" spans="1:8" x14ac:dyDescent="0.45">
      <c r="A16">
        <v>13</v>
      </c>
      <c r="B16" t="str">
        <f>IF(Masters!$J$15="","",Masters!$J$15)</f>
        <v>IFTEKHAR PUNE</v>
      </c>
      <c r="C16" s="12">
        <f>IF(B16="",0,Masters!$K$15)</f>
        <v>2000</v>
      </c>
      <c r="D16" s="12">
        <f>SUMIF(Daily_Sales!$D$4:$D$503,B16,Daily_Sales!$G$4:$G$503)</f>
        <v>168800</v>
      </c>
      <c r="E16" s="12">
        <f>SUMIF(Daily_Sales!$D$4:$D$503,B16,Daily_Sales!$H$4:$H$503)</f>
        <v>0</v>
      </c>
      <c r="F16" s="9">
        <f t="shared" si="0"/>
        <v>170800</v>
      </c>
      <c r="G16" s="12">
        <f>SUMIFS(Cash_Book!$G$4:$G$1008,Cash_Book!$C$4:$C$1008,"DUKANDAR",Cash_Book!$D$4:$D$1008,"RECEIPT",Cash_Book!$E$4:$E$1008,B16)</f>
        <v>0</v>
      </c>
      <c r="H16" s="15">
        <f t="shared" si="1"/>
        <v>170800</v>
      </c>
    </row>
    <row r="17" spans="1:8" x14ac:dyDescent="0.45">
      <c r="A17">
        <v>14</v>
      </c>
      <c r="B17" t="str">
        <f>IF(Masters!$J$16="","",Masters!$J$16)</f>
        <v>LALA/ASIF</v>
      </c>
      <c r="C17" s="12">
        <f>IF(B17="",0,Masters!$K$16)</f>
        <v>0</v>
      </c>
      <c r="D17" s="12">
        <f>SUMIF(Daily_Sales!$D$4:$D$503,B17,Daily_Sales!$G$4:$G$503)</f>
        <v>0</v>
      </c>
      <c r="E17" s="12">
        <f>SUMIF(Daily_Sales!$D$4:$D$503,B17,Daily_Sales!$H$4:$H$503)</f>
        <v>0</v>
      </c>
      <c r="F17" s="9">
        <f t="shared" si="0"/>
        <v>0</v>
      </c>
      <c r="G17" s="12">
        <f>SUMIFS(Cash_Book!$G$4:$G$1008,Cash_Book!$C$4:$C$1008,"DUKANDAR",Cash_Book!$D$4:$D$1008,"RECEIPT",Cash_Book!$E$4:$E$1008,B17)</f>
        <v>0</v>
      </c>
      <c r="H17" s="15">
        <f t="shared" si="1"/>
        <v>0</v>
      </c>
    </row>
    <row r="18" spans="1:8" x14ac:dyDescent="0.45">
      <c r="A18">
        <v>15</v>
      </c>
      <c r="B18" t="str">
        <f>IF(Masters!$J$17="","",Masters!$J$17)</f>
        <v>JAFER KASHIMIRA</v>
      </c>
      <c r="C18" s="12">
        <f>IF(B18="",0,Masters!$K$17)</f>
        <v>92500</v>
      </c>
      <c r="D18" s="12">
        <f>SUMIF(Daily_Sales!$D$4:$D$503,B18,Daily_Sales!$G$4:$G$503)</f>
        <v>0</v>
      </c>
      <c r="E18" s="12">
        <f>SUMIF(Daily_Sales!$D$4:$D$503,B18,Daily_Sales!$H$4:$H$503)</f>
        <v>0</v>
      </c>
      <c r="F18" s="9">
        <f t="shared" si="0"/>
        <v>92500</v>
      </c>
      <c r="G18" s="12">
        <f>SUMIFS(Cash_Book!$G$4:$G$1008,Cash_Book!$C$4:$C$1008,"DUKANDAR",Cash_Book!$D$4:$D$1008,"RECEIPT",Cash_Book!$E$4:$E$1008,B18)</f>
        <v>100000</v>
      </c>
      <c r="H18" s="15">
        <f t="shared" si="1"/>
        <v>-7500</v>
      </c>
    </row>
    <row r="19" spans="1:8" x14ac:dyDescent="0.45">
      <c r="A19">
        <v>16</v>
      </c>
      <c r="B19" t="str">
        <f>IF(Masters!$J$18="","",Masters!$J$18)</f>
        <v>HANIF KALAM</v>
      </c>
      <c r="C19" s="12">
        <f>IF(B19="",0,Masters!$K$18)</f>
        <v>0</v>
      </c>
      <c r="D19" s="12">
        <f>SUMIF(Daily_Sales!$D$4:$D$503,B19,Daily_Sales!$G$4:$G$503)</f>
        <v>0</v>
      </c>
      <c r="E19" s="12">
        <f>SUMIF(Daily_Sales!$D$4:$D$503,B19,Daily_Sales!$H$4:$H$503)</f>
        <v>0</v>
      </c>
      <c r="F19" s="9">
        <f t="shared" si="0"/>
        <v>0</v>
      </c>
      <c r="G19" s="12">
        <f>SUMIFS(Cash_Book!$G$4:$G$1008,Cash_Book!$C$4:$C$1008,"DUKANDAR",Cash_Book!$D$4:$D$1008,"RECEIPT",Cash_Book!$E$4:$E$1008,B19)</f>
        <v>0</v>
      </c>
      <c r="H19" s="15">
        <f t="shared" si="1"/>
        <v>0</v>
      </c>
    </row>
    <row r="20" spans="1:8" x14ac:dyDescent="0.45">
      <c r="A20">
        <v>17</v>
      </c>
      <c r="B20" t="str">
        <f>IF(Masters!$J$19="","",Masters!$J$19)</f>
        <v>SAUD K</v>
      </c>
      <c r="C20" s="12">
        <f>IF(B20="",0,Masters!$K$19)</f>
        <v>0</v>
      </c>
      <c r="D20" s="12">
        <f>SUMIF(Daily_Sales!$D$4:$D$503,B20,Daily_Sales!$G$4:$G$503)</f>
        <v>272700</v>
      </c>
      <c r="E20" s="12">
        <f>SUMIF(Daily_Sales!$D$4:$D$503,B20,Daily_Sales!$H$4:$H$503)</f>
        <v>8700</v>
      </c>
      <c r="F20" s="9">
        <f t="shared" si="0"/>
        <v>264000</v>
      </c>
      <c r="G20" s="12">
        <f>SUMIFS(Cash_Book!$G$4:$G$1008,Cash_Book!$C$4:$C$1008,"DUKANDAR",Cash_Book!$D$4:$D$1008,"RECEIPT",Cash_Book!$E$4:$E$1008,B20)</f>
        <v>0</v>
      </c>
      <c r="H20" s="15">
        <f t="shared" si="1"/>
        <v>264000</v>
      </c>
    </row>
    <row r="21" spans="1:8" x14ac:dyDescent="0.45">
      <c r="A21">
        <v>18</v>
      </c>
      <c r="B21" t="str">
        <f>IF(Masters!$J$20="","",Masters!$J$20)</f>
        <v>AKRAM</v>
      </c>
      <c r="C21" s="12">
        <f>IF(B21="",0,Masters!$K$20)</f>
        <v>0</v>
      </c>
      <c r="D21" s="12">
        <f>SUMIF(Daily_Sales!$D$4:$D$503,B21,Daily_Sales!$G$4:$G$503)</f>
        <v>0</v>
      </c>
      <c r="E21" s="12">
        <f>SUMIF(Daily_Sales!$D$4:$D$503,B21,Daily_Sales!$H$4:$H$503)</f>
        <v>0</v>
      </c>
      <c r="F21" s="9">
        <f t="shared" si="0"/>
        <v>0</v>
      </c>
      <c r="G21" s="12">
        <f>SUMIFS(Cash_Book!$G$4:$G$1008,Cash_Book!$C$4:$C$1008,"DUKANDAR",Cash_Book!$D$4:$D$1008,"RECEIPT",Cash_Book!$E$4:$E$1008,B21)</f>
        <v>0</v>
      </c>
      <c r="H21" s="15">
        <f t="shared" si="1"/>
        <v>0</v>
      </c>
    </row>
    <row r="22" spans="1:8" x14ac:dyDescent="0.45">
      <c r="A22">
        <v>19</v>
      </c>
      <c r="B22" t="str">
        <f>IF(Masters!$J$21="","",Masters!$J$21)</f>
        <v>WAHID</v>
      </c>
      <c r="C22" s="12">
        <f>IF(B22="",0,Masters!$K$21)</f>
        <v>4000</v>
      </c>
      <c r="D22" s="12">
        <f>SUMIF(Daily_Sales!$D$4:$D$503,B22,Daily_Sales!$G$4:$G$503)</f>
        <v>0</v>
      </c>
      <c r="E22" s="12">
        <f>SUMIF(Daily_Sales!$D$4:$D$503,B22,Daily_Sales!$H$4:$H$503)</f>
        <v>0</v>
      </c>
      <c r="F22" s="9">
        <f t="shared" si="0"/>
        <v>4000</v>
      </c>
      <c r="G22" s="12">
        <f>SUMIFS(Cash_Book!$G$4:$G$1008,Cash_Book!$C$4:$C$1008,"DUKANDAR",Cash_Book!$D$4:$D$1008,"RECEIPT",Cash_Book!$E$4:$E$1008,B22)</f>
        <v>4000</v>
      </c>
      <c r="H22" s="15">
        <f t="shared" si="1"/>
        <v>0</v>
      </c>
    </row>
    <row r="23" spans="1:8" x14ac:dyDescent="0.45">
      <c r="A23">
        <v>20</v>
      </c>
      <c r="B23" t="str">
        <f>IF(Masters!$J$22="","",Masters!$J$22)</f>
        <v>VAZIR</v>
      </c>
      <c r="C23" s="12">
        <f>IF(B23="",0,Masters!$K$22)</f>
        <v>134750</v>
      </c>
      <c r="D23" s="12">
        <f>SUMIF(Daily_Sales!$D$4:$D$503,B23,Daily_Sales!$G$4:$G$503)</f>
        <v>397000</v>
      </c>
      <c r="E23" s="12">
        <f>SUMIF(Daily_Sales!$D$4:$D$503,B23,Daily_Sales!$H$4:$H$503)</f>
        <v>0</v>
      </c>
      <c r="F23" s="9">
        <f t="shared" si="0"/>
        <v>531750</v>
      </c>
      <c r="G23" s="12">
        <f>SUMIFS(Cash_Book!$G$4:$G$1008,Cash_Book!$C$4:$C$1008,"DUKANDAR",Cash_Book!$D$4:$D$1008,"RECEIPT",Cash_Book!$E$4:$E$1008,B23)</f>
        <v>0</v>
      </c>
      <c r="H23" s="15">
        <f t="shared" si="1"/>
        <v>531750</v>
      </c>
    </row>
    <row r="24" spans="1:8" x14ac:dyDescent="0.45">
      <c r="A24">
        <v>21</v>
      </c>
      <c r="B24" t="str">
        <f>IF(Masters!$J$23="","",Masters!$J$23)</f>
        <v>ISMAIL SOPARA</v>
      </c>
      <c r="C24" s="12">
        <f>IF(B24="",0,Masters!$K$23)</f>
        <v>0</v>
      </c>
      <c r="D24" s="12">
        <f>SUMIF(Daily_Sales!$D$4:$D$503,B24,Daily_Sales!$G$4:$G$503)</f>
        <v>0</v>
      </c>
      <c r="E24" s="12">
        <f>SUMIF(Daily_Sales!$D$4:$D$503,B24,Daily_Sales!$H$4:$H$503)</f>
        <v>0</v>
      </c>
      <c r="F24" s="9">
        <f t="shared" si="0"/>
        <v>0</v>
      </c>
      <c r="G24" s="12">
        <f>SUMIFS(Cash_Book!$G$4:$G$1008,Cash_Book!$C$4:$C$1008,"DUKANDAR",Cash_Book!$D$4:$D$1008,"RECEIPT",Cash_Book!$E$4:$E$1008,B24)</f>
        <v>0</v>
      </c>
      <c r="H24" s="15">
        <f t="shared" si="1"/>
        <v>0</v>
      </c>
    </row>
    <row r="25" spans="1:8" x14ac:dyDescent="0.45">
      <c r="A25">
        <v>22</v>
      </c>
      <c r="B25" t="str">
        <f>IF(Masters!$J$24="","",Masters!$J$24)</f>
        <v>ARIF CHINCHOTI</v>
      </c>
      <c r="C25" s="12">
        <f>IF(B25="",0,Masters!$K$24)</f>
        <v>0</v>
      </c>
      <c r="D25" s="12">
        <f>SUMIF(Daily_Sales!$D$4:$D$503,B25,Daily_Sales!$G$4:$G$503)</f>
        <v>0</v>
      </c>
      <c r="E25" s="12">
        <f>SUMIF(Daily_Sales!$D$4:$D$503,B25,Daily_Sales!$H$4:$H$503)</f>
        <v>0</v>
      </c>
      <c r="F25" s="9">
        <f t="shared" si="0"/>
        <v>0</v>
      </c>
      <c r="G25" s="12">
        <f>SUMIFS(Cash_Book!$G$4:$G$1008,Cash_Book!$C$4:$C$1008,"DUKANDAR",Cash_Book!$D$4:$D$1008,"RECEIPT",Cash_Book!$E$4:$E$1008,B25)</f>
        <v>0</v>
      </c>
      <c r="H25" s="15">
        <f t="shared" si="1"/>
        <v>0</v>
      </c>
    </row>
    <row r="26" spans="1:8" x14ac:dyDescent="0.45">
      <c r="A26">
        <v>23</v>
      </c>
      <c r="B26" t="str">
        <f>IF(Masters!$J$25="","",Masters!$J$25)</f>
        <v>NADEEM BHIWANDI</v>
      </c>
      <c r="C26" s="12">
        <f>IF(B26="",0,Masters!$K$25)</f>
        <v>265000</v>
      </c>
      <c r="D26" s="12">
        <f>SUMIF(Daily_Sales!$D$4:$D$503,B26,Daily_Sales!$G$4:$G$503)</f>
        <v>0</v>
      </c>
      <c r="E26" s="12">
        <f>SUMIF(Daily_Sales!$D$4:$D$503,B26,Daily_Sales!$H$4:$H$503)</f>
        <v>0</v>
      </c>
      <c r="F26" s="9">
        <f t="shared" si="0"/>
        <v>265000</v>
      </c>
      <c r="G26" s="12">
        <f>SUMIFS(Cash_Book!$G$4:$G$1008,Cash_Book!$C$4:$C$1008,"DUKANDAR",Cash_Book!$D$4:$D$1008,"RECEIPT",Cash_Book!$E$4:$E$1008,B26)</f>
        <v>229687</v>
      </c>
      <c r="H26" s="15">
        <f t="shared" si="1"/>
        <v>35313</v>
      </c>
    </row>
    <row r="27" spans="1:8" x14ac:dyDescent="0.45">
      <c r="A27">
        <v>24</v>
      </c>
      <c r="B27" t="str">
        <f>IF(Masters!$J$26="","",Masters!$J$26)</f>
        <v>GABBAR</v>
      </c>
      <c r="C27" s="12">
        <f>IF(B27="",0,Masters!$K$26)</f>
        <v>33050</v>
      </c>
      <c r="D27" s="12">
        <f>SUMIF(Daily_Sales!$D$4:$D$503,B27,Daily_Sales!$G$4:$G$503)</f>
        <v>155000</v>
      </c>
      <c r="E27" s="12">
        <f>SUMIF(Daily_Sales!$D$4:$D$503,B27,Daily_Sales!$H$4:$H$503)</f>
        <v>2000</v>
      </c>
      <c r="F27" s="9">
        <f t="shared" si="0"/>
        <v>186050</v>
      </c>
      <c r="G27" s="12">
        <f>SUMIFS(Cash_Book!$G$4:$G$1008,Cash_Book!$C$4:$C$1008,"DUKANDAR",Cash_Book!$D$4:$D$1008,"RECEIPT",Cash_Book!$E$4:$E$1008,B27)</f>
        <v>0</v>
      </c>
      <c r="H27" s="15">
        <f t="shared" si="1"/>
        <v>186050</v>
      </c>
    </row>
    <row r="28" spans="1:8" x14ac:dyDescent="0.45">
      <c r="A28">
        <v>25</v>
      </c>
      <c r="B28" t="str">
        <f>IF(Masters!$J$27="","",Masters!$J$27)</f>
        <v>BABU GABBAR</v>
      </c>
      <c r="C28" s="12">
        <f>IF(B28="",0,Masters!$K$27)</f>
        <v>50000</v>
      </c>
      <c r="D28" s="12">
        <f>SUMIF(Daily_Sales!$D$4:$D$503,B28,Daily_Sales!$G$4:$G$503)</f>
        <v>0</v>
      </c>
      <c r="E28" s="12">
        <f>SUMIF(Daily_Sales!$D$4:$D$503,B28,Daily_Sales!$H$4:$H$503)</f>
        <v>0</v>
      </c>
      <c r="F28" s="9">
        <f t="shared" si="0"/>
        <v>50000</v>
      </c>
      <c r="G28" s="12">
        <f>SUMIFS(Cash_Book!$G$4:$G$1008,Cash_Book!$C$4:$C$1008,"DUKANDAR",Cash_Book!$D$4:$D$1008,"RECEIPT",Cash_Book!$E$4:$E$1008,B28)</f>
        <v>0</v>
      </c>
      <c r="H28" s="15">
        <f t="shared" si="1"/>
        <v>50000</v>
      </c>
    </row>
    <row r="29" spans="1:8" x14ac:dyDescent="0.45">
      <c r="A29">
        <v>26</v>
      </c>
      <c r="B29" t="str">
        <f>IF(Masters!$J$28="","",Masters!$J$28)</f>
        <v>BABU TALOJA</v>
      </c>
      <c r="C29" s="12">
        <f>IF(B29="",0,Masters!$K$28)</f>
        <v>2600</v>
      </c>
      <c r="D29" s="12">
        <f>SUMIF(Daily_Sales!$D$4:$D$503,B29,Daily_Sales!$G$4:$G$503)</f>
        <v>0</v>
      </c>
      <c r="E29" s="12">
        <f>SUMIF(Daily_Sales!$D$4:$D$503,B29,Daily_Sales!$H$4:$H$503)</f>
        <v>0</v>
      </c>
      <c r="F29" s="9">
        <f t="shared" si="0"/>
        <v>2600</v>
      </c>
      <c r="G29" s="12">
        <f>SUMIFS(Cash_Book!$G$4:$G$1008,Cash_Book!$C$4:$C$1008,"DUKANDAR",Cash_Book!$D$4:$D$1008,"RECEIPT",Cash_Book!$E$4:$E$1008,B29)</f>
        <v>0</v>
      </c>
      <c r="H29" s="15">
        <f t="shared" si="1"/>
        <v>2600</v>
      </c>
    </row>
    <row r="30" spans="1:8" x14ac:dyDescent="0.45">
      <c r="A30">
        <v>27</v>
      </c>
      <c r="B30" t="str">
        <f>IF(Masters!$J$29="","",Masters!$J$29)</f>
        <v>SHAKIL KON</v>
      </c>
      <c r="C30" s="12">
        <f>IF(B30="",0,Masters!$K$29)</f>
        <v>34000</v>
      </c>
      <c r="D30" s="12">
        <f>SUMIF(Daily_Sales!$D$4:$D$503,B30,Daily_Sales!$G$4:$G$503)</f>
        <v>206250</v>
      </c>
      <c r="E30" s="12">
        <f>SUMIF(Daily_Sales!$D$4:$D$503,B30,Daily_Sales!$H$4:$H$503)</f>
        <v>0</v>
      </c>
      <c r="F30" s="9">
        <f t="shared" si="0"/>
        <v>240250</v>
      </c>
      <c r="G30" s="12">
        <f>SUMIFS(Cash_Book!$G$4:$G$1008,Cash_Book!$C$4:$C$1008,"DUKANDAR",Cash_Book!$D$4:$D$1008,"RECEIPT",Cash_Book!$E$4:$E$1008,B30)</f>
        <v>34000</v>
      </c>
      <c r="H30" s="15">
        <f t="shared" si="1"/>
        <v>206250</v>
      </c>
    </row>
    <row r="31" spans="1:8" x14ac:dyDescent="0.45">
      <c r="A31">
        <v>28</v>
      </c>
      <c r="B31" t="str">
        <f>IF(Masters!$J$30="","",Masters!$J$30)</f>
        <v>PARVEZ</v>
      </c>
      <c r="C31" s="12">
        <f>IF(B31="",0,Masters!$K$30)</f>
        <v>0</v>
      </c>
      <c r="D31" s="12">
        <f>SUMIF(Daily_Sales!$D$4:$D$503,B31,Daily_Sales!$G$4:$G$503)</f>
        <v>248250</v>
      </c>
      <c r="E31" s="12">
        <f>SUMIF(Daily_Sales!$D$4:$D$503,B31,Daily_Sales!$H$4:$H$503)</f>
        <v>0</v>
      </c>
      <c r="F31" s="9">
        <f t="shared" si="0"/>
        <v>248250</v>
      </c>
      <c r="G31" s="12">
        <f>SUMIFS(Cash_Book!$G$4:$G$1008,Cash_Book!$C$4:$C$1008,"DUKANDAR",Cash_Book!$D$4:$D$1008,"RECEIPT",Cash_Book!$E$4:$E$1008,B31)</f>
        <v>0</v>
      </c>
      <c r="H31" s="15">
        <f t="shared" si="1"/>
        <v>248250</v>
      </c>
    </row>
    <row r="32" spans="1:8" x14ac:dyDescent="0.45">
      <c r="A32">
        <v>29</v>
      </c>
      <c r="B32" t="str">
        <f>IF(Masters!$J$31="","",Masters!$J$31)</f>
        <v>I CHO CHO</v>
      </c>
      <c r="C32" s="12">
        <f>IF(B32="",0,Masters!$K$31)</f>
        <v>20500</v>
      </c>
      <c r="D32" s="12">
        <f>SUMIF(Daily_Sales!$D$4:$D$503,B32,Daily_Sales!$G$4:$G$503)</f>
        <v>0</v>
      </c>
      <c r="E32" s="12">
        <f>SUMIF(Daily_Sales!$D$4:$D$503,B32,Daily_Sales!$H$4:$H$503)</f>
        <v>0</v>
      </c>
      <c r="F32" s="9">
        <f t="shared" si="0"/>
        <v>20500</v>
      </c>
      <c r="G32" s="12">
        <f>SUMIFS(Cash_Book!$G$4:$G$1008,Cash_Book!$C$4:$C$1008,"DUKANDAR",Cash_Book!$D$4:$D$1008,"RECEIPT",Cash_Book!$E$4:$E$1008,B32)</f>
        <v>0</v>
      </c>
      <c r="H32" s="15">
        <f t="shared" si="1"/>
        <v>20500</v>
      </c>
    </row>
    <row r="33" spans="1:8" x14ac:dyDescent="0.45">
      <c r="A33">
        <v>30</v>
      </c>
      <c r="B33" t="str">
        <f>IF(Masters!$J$32="","",Masters!$J$32)</f>
        <v>MD VIRAR</v>
      </c>
      <c r="C33" s="12">
        <f>IF(B33="",0,Masters!$K$32)</f>
        <v>1900</v>
      </c>
      <c r="D33" s="12">
        <f>SUMIF(Daily_Sales!$D$4:$D$503,B33,Daily_Sales!$G$4:$G$503)</f>
        <v>0</v>
      </c>
      <c r="E33" s="12">
        <f>SUMIF(Daily_Sales!$D$4:$D$503,B33,Daily_Sales!$H$4:$H$503)</f>
        <v>0</v>
      </c>
      <c r="F33" s="9">
        <f t="shared" si="0"/>
        <v>1900</v>
      </c>
      <c r="G33" s="12">
        <f>SUMIFS(Cash_Book!$G$4:$G$1008,Cash_Book!$C$4:$C$1008,"DUKANDAR",Cash_Book!$D$4:$D$1008,"RECEIPT",Cash_Book!$E$4:$E$1008,B33)</f>
        <v>0</v>
      </c>
      <c r="H33" s="15">
        <f t="shared" si="1"/>
        <v>1900</v>
      </c>
    </row>
    <row r="34" spans="1:8" x14ac:dyDescent="0.45">
      <c r="A34">
        <v>31</v>
      </c>
      <c r="B34" t="str">
        <f>IF(Masters!$J$33="","",Masters!$J$33)</f>
        <v>MAYA</v>
      </c>
      <c r="C34" s="12">
        <f>IF(B34="",0,Masters!$K$33)</f>
        <v>11000</v>
      </c>
      <c r="D34" s="12">
        <f>SUMIF(Daily_Sales!$D$4:$D$503,B34,Daily_Sales!$G$4:$G$503)</f>
        <v>0</v>
      </c>
      <c r="E34" s="12">
        <f>SUMIF(Daily_Sales!$D$4:$D$503,B34,Daily_Sales!$H$4:$H$503)</f>
        <v>0</v>
      </c>
      <c r="F34" s="9">
        <f t="shared" si="0"/>
        <v>11000</v>
      </c>
      <c r="G34" s="12">
        <f>SUMIFS(Cash_Book!$G$4:$G$1008,Cash_Book!$C$4:$C$1008,"DUKANDAR",Cash_Book!$D$4:$D$1008,"RECEIPT",Cash_Book!$E$4:$E$1008,B34)</f>
        <v>0</v>
      </c>
      <c r="H34" s="15">
        <f t="shared" si="1"/>
        <v>11000</v>
      </c>
    </row>
    <row r="35" spans="1:8" x14ac:dyDescent="0.45">
      <c r="A35">
        <v>32</v>
      </c>
      <c r="B35" t="str">
        <f>IF(Masters!$J$34="","",Masters!$J$34)</f>
        <v>NAEEM THORPE</v>
      </c>
      <c r="C35" s="12">
        <f>IF(B35="",0,Masters!$K$34)</f>
        <v>0</v>
      </c>
      <c r="D35" s="12">
        <f>SUMIF(Daily_Sales!$D$4:$D$503,B35,Daily_Sales!$G$4:$G$503)</f>
        <v>0</v>
      </c>
      <c r="E35" s="12">
        <f>SUMIF(Daily_Sales!$D$4:$D$503,B35,Daily_Sales!$H$4:$H$503)</f>
        <v>0</v>
      </c>
      <c r="F35" s="9">
        <f t="shared" si="0"/>
        <v>0</v>
      </c>
      <c r="G35" s="12">
        <f>SUMIFS(Cash_Book!$G$4:$G$1008,Cash_Book!$C$4:$C$1008,"DUKANDAR",Cash_Book!$D$4:$D$1008,"RECEIPT",Cash_Book!$E$4:$E$1008,B35)</f>
        <v>0</v>
      </c>
      <c r="H35" s="15">
        <f t="shared" si="1"/>
        <v>0</v>
      </c>
    </row>
    <row r="36" spans="1:8" x14ac:dyDescent="0.45">
      <c r="A36">
        <v>33</v>
      </c>
      <c r="B36" t="str">
        <f>IF(Masters!$J$35="","",Masters!$J$35)</f>
        <v>CHAND</v>
      </c>
      <c r="C36" s="12">
        <f>IF(B36="",0,Masters!$K$35)</f>
        <v>59000</v>
      </c>
      <c r="D36" s="12">
        <f>SUMIF(Daily_Sales!$D$4:$D$503,B36,Daily_Sales!$G$4:$G$503)</f>
        <v>0</v>
      </c>
      <c r="E36" s="12">
        <f>SUMIF(Daily_Sales!$D$4:$D$503,B36,Daily_Sales!$H$4:$H$503)</f>
        <v>0</v>
      </c>
      <c r="F36" s="9">
        <f t="shared" ref="F36:F53" si="2">IF(B36="","",D36-E36+C36)</f>
        <v>59000</v>
      </c>
      <c r="G36" s="12">
        <f>SUMIFS(Cash_Book!$G$4:$G$1008,Cash_Book!$C$4:$C$1008,"DUKANDAR",Cash_Book!$D$4:$D$1008,"RECEIPT",Cash_Book!$E$4:$E$1008,B36)</f>
        <v>50000</v>
      </c>
      <c r="H36" s="15">
        <f t="shared" ref="H36:H53" si="3">IF(B36="","",F36-G36)</f>
        <v>9000</v>
      </c>
    </row>
    <row r="37" spans="1:8" x14ac:dyDescent="0.45">
      <c r="A37">
        <v>34</v>
      </c>
      <c r="B37" t="str">
        <f>IF(Masters!$J$36="","",Masters!$J$36)</f>
        <v>ASIF GOREGAON</v>
      </c>
      <c r="C37" s="12">
        <f>IF(B37="",0,Masters!$K$36)</f>
        <v>57550</v>
      </c>
      <c r="D37" s="12">
        <f>SUMIF(Daily_Sales!$D$4:$D$503,B37,Daily_Sales!$G$4:$G$503)</f>
        <v>0</v>
      </c>
      <c r="E37" s="12">
        <f>SUMIF(Daily_Sales!$D$4:$D$503,B37,Daily_Sales!$H$4:$H$503)</f>
        <v>0</v>
      </c>
      <c r="F37" s="9">
        <f t="shared" si="2"/>
        <v>57550</v>
      </c>
      <c r="G37" s="12">
        <f>SUMIFS(Cash_Book!$G$4:$G$1008,Cash_Book!$C$4:$C$1008,"DUKANDAR",Cash_Book!$D$4:$D$1008,"RECEIPT",Cash_Book!$E$4:$E$1008,B37)</f>
        <v>0</v>
      </c>
      <c r="H37" s="15">
        <f t="shared" si="3"/>
        <v>57550</v>
      </c>
    </row>
    <row r="38" spans="1:8" x14ac:dyDescent="0.45">
      <c r="A38">
        <v>35</v>
      </c>
      <c r="B38" t="str">
        <f>IF(Masters!$J$37="","",Masters!$J$37)</f>
        <v>SOHAIL MAROL</v>
      </c>
      <c r="C38" s="12">
        <f>IF(B38="",0,Masters!$K$37)</f>
        <v>0</v>
      </c>
      <c r="D38" s="12">
        <f>SUMIF(Daily_Sales!$D$4:$D$503,B38,Daily_Sales!$G$4:$G$503)</f>
        <v>0</v>
      </c>
      <c r="E38" s="12">
        <f>SUMIF(Daily_Sales!$D$4:$D$503,B38,Daily_Sales!$H$4:$H$503)</f>
        <v>0</v>
      </c>
      <c r="F38" s="9">
        <f t="shared" si="2"/>
        <v>0</v>
      </c>
      <c r="G38" s="12">
        <f>SUMIFS(Cash_Book!$G$4:$G$1008,Cash_Book!$C$4:$C$1008,"DUKANDAR",Cash_Book!$D$4:$D$1008,"RECEIPT",Cash_Book!$E$4:$E$1008,B38)</f>
        <v>0</v>
      </c>
      <c r="H38" s="15">
        <f t="shared" si="3"/>
        <v>0</v>
      </c>
    </row>
    <row r="39" spans="1:8" x14ac:dyDescent="0.45">
      <c r="A39">
        <v>36</v>
      </c>
      <c r="B39" t="str">
        <f>IF(Masters!$J$38="","",Masters!$J$38)</f>
        <v>ANEES KM</v>
      </c>
      <c r="C39" s="12">
        <f>IF(B39="",0,Masters!$K$38)</f>
        <v>70000</v>
      </c>
      <c r="D39" s="12">
        <f>SUMIF(Daily_Sales!$D$4:$D$503,B39,Daily_Sales!$G$4:$G$503)</f>
        <v>0</v>
      </c>
      <c r="E39" s="12">
        <f>SUMIF(Daily_Sales!$D$4:$D$503,B39,Daily_Sales!$H$4:$H$503)</f>
        <v>0</v>
      </c>
      <c r="F39" s="9">
        <f t="shared" si="2"/>
        <v>70000</v>
      </c>
      <c r="G39" s="12">
        <f>SUMIFS(Cash_Book!$G$4:$G$1008,Cash_Book!$C$4:$C$1008,"DUKANDAR",Cash_Book!$D$4:$D$1008,"RECEIPT",Cash_Book!$E$4:$E$1008,B39)</f>
        <v>30000</v>
      </c>
      <c r="H39" s="15">
        <f t="shared" si="3"/>
        <v>40000</v>
      </c>
    </row>
    <row r="40" spans="1:8" x14ac:dyDescent="0.45">
      <c r="A40">
        <v>37</v>
      </c>
      <c r="B40" t="str">
        <f>IF(Masters!$J$39="","",Masters!$J$39)</f>
        <v>RAFIQ AHMED HAJI</v>
      </c>
      <c r="C40" s="12">
        <f>IF(B40="",0,Masters!$K$39)</f>
        <v>356250</v>
      </c>
      <c r="D40" s="12">
        <f>SUMIF(Daily_Sales!$D$4:$D$503,B40,Daily_Sales!$G$4:$G$503)</f>
        <v>0</v>
      </c>
      <c r="E40" s="12">
        <f>SUMIF(Daily_Sales!$D$4:$D$503,B40,Daily_Sales!$H$4:$H$503)</f>
        <v>0</v>
      </c>
      <c r="F40" s="9">
        <f t="shared" si="2"/>
        <v>356250</v>
      </c>
      <c r="G40" s="12">
        <f>SUMIFS(Cash_Book!$G$4:$G$1008,Cash_Book!$C$4:$C$1008,"DUKANDAR",Cash_Book!$D$4:$D$1008,"RECEIPT",Cash_Book!$E$4:$E$1008,B40)</f>
        <v>356250</v>
      </c>
      <c r="H40" s="15">
        <f t="shared" si="3"/>
        <v>0</v>
      </c>
    </row>
    <row r="41" spans="1:8" x14ac:dyDescent="0.45">
      <c r="A41">
        <v>38</v>
      </c>
      <c r="B41" t="str">
        <f>IF(Masters!$J$40="","",Masters!$J$40)</f>
        <v>ABP - MAJEED THANA</v>
      </c>
      <c r="C41" s="12">
        <f>IF(B41="",0,Masters!$K$40)</f>
        <v>0</v>
      </c>
      <c r="D41" s="12">
        <f>SUMIF(Daily_Sales!$D$4:$D$503,B41,Daily_Sales!$G$4:$G$503)</f>
        <v>0</v>
      </c>
      <c r="E41" s="12">
        <f>SUMIF(Daily_Sales!$D$4:$D$503,B41,Daily_Sales!$H$4:$H$503)</f>
        <v>0</v>
      </c>
      <c r="F41" s="9">
        <f t="shared" si="2"/>
        <v>0</v>
      </c>
      <c r="G41" s="12">
        <f>SUMIFS(Cash_Book!$G$4:$G$1008,Cash_Book!$C$4:$C$1008,"DUKANDAR",Cash_Book!$D$4:$D$1008,"RECEIPT",Cash_Book!$E$4:$E$1008,B41)</f>
        <v>0</v>
      </c>
      <c r="H41" s="15">
        <f t="shared" si="3"/>
        <v>0</v>
      </c>
    </row>
    <row r="42" spans="1:8" x14ac:dyDescent="0.45">
      <c r="A42">
        <v>39</v>
      </c>
      <c r="B42" t="str">
        <f>IF(Masters!$J$41="","",Masters!$J$41)</f>
        <v>ABP - MAJNU</v>
      </c>
      <c r="C42" s="12">
        <f>IF(B42="",0,Masters!$K$41)</f>
        <v>0</v>
      </c>
      <c r="D42" s="12">
        <f>SUMIF(Daily_Sales!$D$4:$D$503,B42,Daily_Sales!$G$4:$G$503)</f>
        <v>0</v>
      </c>
      <c r="E42" s="12">
        <f>SUMIF(Daily_Sales!$D$4:$D$503,B42,Daily_Sales!$H$4:$H$503)</f>
        <v>0</v>
      </c>
      <c r="F42" s="9">
        <f t="shared" si="2"/>
        <v>0</v>
      </c>
      <c r="G42" s="12">
        <f>SUMIFS(Cash_Book!$G$4:$G$1008,Cash_Book!$C$4:$C$1008,"DUKANDAR",Cash_Book!$D$4:$D$1008,"RECEIPT",Cash_Book!$E$4:$E$1008,B42)</f>
        <v>0</v>
      </c>
      <c r="H42" s="15">
        <f t="shared" si="3"/>
        <v>0</v>
      </c>
    </row>
    <row r="43" spans="1:8" x14ac:dyDescent="0.45">
      <c r="A43">
        <v>40</v>
      </c>
      <c r="B43" t="str">
        <f>IF(Masters!$J$42="","",Masters!$J$42)</f>
        <v>MEHBOOB JOG</v>
      </c>
      <c r="C43" s="12">
        <f>IF(B43="",0,Masters!$K$42)</f>
        <v>98500</v>
      </c>
      <c r="D43" s="12">
        <f>SUMIF(Daily_Sales!$D$4:$D$503,B43,Daily_Sales!$G$4:$G$503)</f>
        <v>0</v>
      </c>
      <c r="E43" s="12">
        <f>SUMIF(Daily_Sales!$D$4:$D$503,B43,Daily_Sales!$H$4:$H$503)</f>
        <v>0</v>
      </c>
      <c r="F43" s="9">
        <f t="shared" si="2"/>
        <v>98500</v>
      </c>
      <c r="G43" s="12">
        <f>SUMIFS(Cash_Book!$G$4:$G$1008,Cash_Book!$C$4:$C$1008,"DUKANDAR",Cash_Book!$D$4:$D$1008,"RECEIPT",Cash_Book!$E$4:$E$1008,B43)</f>
        <v>98500</v>
      </c>
      <c r="H43" s="15">
        <f t="shared" si="3"/>
        <v>0</v>
      </c>
    </row>
    <row r="44" spans="1:8" x14ac:dyDescent="0.45">
      <c r="A44">
        <v>41</v>
      </c>
      <c r="B44" t="str">
        <f>IF(Masters!$J$43="","",Masters!$J$43)</f>
        <v>SIRAJ KURLA</v>
      </c>
      <c r="C44" s="12">
        <f>IF(B44="",0,Masters!$K$43)</f>
        <v>388000</v>
      </c>
      <c r="D44" s="12">
        <f>SUMIF(Daily_Sales!$D$4:$D$503,B44,Daily_Sales!$G$4:$G$503)</f>
        <v>0</v>
      </c>
      <c r="E44" s="12">
        <f>SUMIF(Daily_Sales!$D$4:$D$503,B44,Daily_Sales!$H$4:$H$503)</f>
        <v>0</v>
      </c>
      <c r="F44" s="9">
        <f t="shared" si="2"/>
        <v>388000</v>
      </c>
      <c r="G44" s="12">
        <f>SUMIFS(Cash_Book!$G$4:$G$1008,Cash_Book!$C$4:$C$1008,"DUKANDAR",Cash_Book!$D$4:$D$1008,"RECEIPT",Cash_Book!$E$4:$E$1008,B44)</f>
        <v>71000</v>
      </c>
      <c r="H44" s="15">
        <f t="shared" si="3"/>
        <v>317000</v>
      </c>
    </row>
    <row r="45" spans="1:8" x14ac:dyDescent="0.45">
      <c r="A45">
        <v>42</v>
      </c>
      <c r="B45" t="str">
        <f>IF(Masters!$J$44="","",Masters!$J$44)</f>
        <v>ZUBAIR AZEEZ</v>
      </c>
      <c r="C45" s="12">
        <f>IF(B45="",0,Masters!$K$44)</f>
        <v>30000</v>
      </c>
      <c r="D45" s="12">
        <f>SUMIF(Daily_Sales!$D$4:$D$503,B45,Daily_Sales!$G$4:$G$503)</f>
        <v>0</v>
      </c>
      <c r="E45" s="12">
        <f>SUMIF(Daily_Sales!$D$4:$D$503,B45,Daily_Sales!$H$4:$H$503)</f>
        <v>0</v>
      </c>
      <c r="F45" s="9">
        <f t="shared" si="2"/>
        <v>30000</v>
      </c>
      <c r="G45" s="12">
        <f>SUMIFS(Cash_Book!$G$4:$G$1008,Cash_Book!$C$4:$C$1008,"DUKANDAR",Cash_Book!$D$4:$D$1008,"RECEIPT",Cash_Book!$E$4:$E$1008,B45)</f>
        <v>0</v>
      </c>
      <c r="H45" s="15">
        <f t="shared" si="3"/>
        <v>30000</v>
      </c>
    </row>
    <row r="46" spans="1:8" x14ac:dyDescent="0.45">
      <c r="A46">
        <v>43</v>
      </c>
      <c r="B46" t="str">
        <f>IF(Masters!$J$45="","",Masters!$J$45)</f>
        <v>BABBU BYC</v>
      </c>
      <c r="C46" s="12">
        <f>IF(B46="",0,Masters!$K$45)</f>
        <v>192000</v>
      </c>
      <c r="D46" s="12">
        <f>SUMIF(Daily_Sales!$D$4:$D$503,B46,Daily_Sales!$G$4:$G$503)</f>
        <v>0</v>
      </c>
      <c r="E46" s="12">
        <f>SUMIF(Daily_Sales!$D$4:$D$503,B46,Daily_Sales!$H$4:$H$503)</f>
        <v>0</v>
      </c>
      <c r="F46" s="9">
        <f t="shared" si="2"/>
        <v>192000</v>
      </c>
      <c r="G46" s="12">
        <f>SUMIFS(Cash_Book!$G$4:$G$1008,Cash_Book!$C$4:$C$1008,"DUKANDAR",Cash_Book!$D$4:$D$1008,"RECEIPT",Cash_Book!$E$4:$E$1008,B46)</f>
        <v>100000</v>
      </c>
      <c r="H46" s="15">
        <f t="shared" si="3"/>
        <v>92000</v>
      </c>
    </row>
    <row r="47" spans="1:8" x14ac:dyDescent="0.45">
      <c r="A47">
        <v>44</v>
      </c>
      <c r="B47" t="str">
        <f>IF(Masters!$J$46="","",Masters!$J$46)</f>
        <v>NAWAZ V</v>
      </c>
      <c r="C47" s="12">
        <f>IF(B47="",0,Masters!$K$46)</f>
        <v>148800</v>
      </c>
      <c r="D47" s="12">
        <f>SUMIF(Daily_Sales!$D$4:$D$503,B47,Daily_Sales!$G$4:$G$503)</f>
        <v>116600</v>
      </c>
      <c r="E47" s="12">
        <f>SUMIF(Daily_Sales!$D$4:$D$503,B47,Daily_Sales!$H$4:$H$503)</f>
        <v>1100</v>
      </c>
      <c r="F47" s="9">
        <f t="shared" si="2"/>
        <v>264300</v>
      </c>
      <c r="G47" s="12">
        <f>SUMIFS(Cash_Book!$G$4:$G$1008,Cash_Book!$C$4:$C$1008,"DUKANDAR",Cash_Book!$D$4:$D$1008,"RECEIPT",Cash_Book!$E$4:$E$1008,B47)</f>
        <v>264300</v>
      </c>
      <c r="H47" s="15">
        <f t="shared" si="3"/>
        <v>0</v>
      </c>
    </row>
    <row r="48" spans="1:8" x14ac:dyDescent="0.45">
      <c r="A48">
        <v>45</v>
      </c>
      <c r="B48" t="str">
        <f>IF(Masters!$J$47="","",Masters!$J$47)</f>
        <v>LIYAQAT</v>
      </c>
      <c r="C48" s="12">
        <f>IF(B48="",0,Masters!$K$47)</f>
        <v>7500</v>
      </c>
      <c r="D48" s="12">
        <f>SUMIF(Daily_Sales!$D$4:$D$503,B48,Daily_Sales!$G$4:$G$503)</f>
        <v>0</v>
      </c>
      <c r="E48" s="12">
        <f>SUMIF(Daily_Sales!$D$4:$D$503,B48,Daily_Sales!$H$4:$H$503)</f>
        <v>0</v>
      </c>
      <c r="F48" s="9">
        <f t="shared" si="2"/>
        <v>7500</v>
      </c>
      <c r="G48" s="12">
        <f>SUMIFS(Cash_Book!$G$4:$G$1008,Cash_Book!$C$4:$C$1008,"DUKANDAR",Cash_Book!$D$4:$D$1008,"RECEIPT",Cash_Book!$E$4:$E$1008,B48)</f>
        <v>0</v>
      </c>
      <c r="H48" s="15">
        <f t="shared" si="3"/>
        <v>7500</v>
      </c>
    </row>
    <row r="49" spans="1:8" x14ac:dyDescent="0.45">
      <c r="A49">
        <v>46</v>
      </c>
      <c r="B49" t="str">
        <f>IF(Masters!$J$48="","",Masters!$J$48)</f>
        <v>HAKIM BOMBAY</v>
      </c>
      <c r="C49" s="12">
        <f>IF(B49="",0,Masters!$K$48)</f>
        <v>0</v>
      </c>
      <c r="D49" s="12">
        <f>SUMIF(Daily_Sales!$D$4:$D$503,B49,Daily_Sales!$G$4:$G$503)</f>
        <v>228000</v>
      </c>
      <c r="E49" s="12">
        <f>SUMIF(Daily_Sales!$D$4:$D$503,B49,Daily_Sales!$H$4:$H$503)</f>
        <v>2000</v>
      </c>
      <c r="F49" s="9">
        <f t="shared" si="2"/>
        <v>226000</v>
      </c>
      <c r="G49" s="12">
        <f>SUMIFS(Cash_Book!$G$4:$G$1008,Cash_Book!$C$4:$C$1008,"DUKANDAR",Cash_Book!$D$4:$D$1008,"RECEIPT",Cash_Book!$E$4:$E$1008,B49)</f>
        <v>50000</v>
      </c>
      <c r="H49" s="15">
        <f t="shared" si="3"/>
        <v>176000</v>
      </c>
    </row>
    <row r="50" spans="1:8" x14ac:dyDescent="0.45">
      <c r="A50">
        <v>47</v>
      </c>
      <c r="B50" t="str">
        <f>IF(Masters!$J$49="","",Masters!$J$49)</f>
        <v>JUNAID KHATIK</v>
      </c>
      <c r="C50" s="12">
        <f>IF(B50="",0,Masters!$K$49)</f>
        <v>0</v>
      </c>
      <c r="D50" s="12">
        <f>SUMIF(Daily_Sales!$D$4:$D$503,B50,Daily_Sales!$G$4:$G$503)</f>
        <v>276350</v>
      </c>
      <c r="E50" s="12">
        <f>SUMIF(Daily_Sales!$D$4:$D$503,B50,Daily_Sales!$H$4:$H$503)</f>
        <v>1200</v>
      </c>
      <c r="F50" s="9">
        <f t="shared" si="2"/>
        <v>275150</v>
      </c>
      <c r="G50" s="12">
        <f>SUMIFS(Cash_Book!$G$4:$G$1008,Cash_Book!$C$4:$C$1008,"DUKANDAR",Cash_Book!$D$4:$D$1008,"RECEIPT",Cash_Book!$E$4:$E$1008,B50)</f>
        <v>140000</v>
      </c>
      <c r="H50" s="15">
        <f t="shared" si="3"/>
        <v>135150</v>
      </c>
    </row>
    <row r="51" spans="1:8" x14ac:dyDescent="0.45">
      <c r="A51">
        <v>48</v>
      </c>
      <c r="B51" t="str">
        <f>IF(Masters!$J$50="","",Masters!$J$50)</f>
        <v>MANISH</v>
      </c>
      <c r="C51" s="12">
        <f>IF(B51="",0,Masters!$K$50)</f>
        <v>0</v>
      </c>
      <c r="D51" s="12">
        <f>SUMIF(Daily_Sales!$D$4:$D$503,B51,Daily_Sales!$G$4:$G$503)</f>
        <v>358500</v>
      </c>
      <c r="E51" s="12">
        <f>SUMIF(Daily_Sales!$D$4:$D$503,B51,Daily_Sales!$H$4:$H$503)</f>
        <v>0</v>
      </c>
      <c r="F51" s="9">
        <f t="shared" si="2"/>
        <v>358500</v>
      </c>
      <c r="G51" s="12">
        <f>SUMIFS(Cash_Book!$G$4:$G$1008,Cash_Book!$C$4:$C$1008,"DUKANDAR",Cash_Book!$D$4:$D$1008,"RECEIPT",Cash_Book!$E$4:$E$1008,B51)</f>
        <v>0</v>
      </c>
      <c r="H51" s="15">
        <f t="shared" si="3"/>
        <v>358500</v>
      </c>
    </row>
    <row r="52" spans="1:8" x14ac:dyDescent="0.45">
      <c r="A52">
        <v>49</v>
      </c>
      <c r="B52" t="str">
        <f>IF(Masters!$J$51="","",Masters!$J$51)</f>
        <v>CASH SALES</v>
      </c>
      <c r="C52" s="12">
        <f>IF(B52="",0,Masters!$K$51)</f>
        <v>0</v>
      </c>
      <c r="D52" s="12">
        <f>SUMIF(Daily_Sales!$D$4:$D$503,B52,Daily_Sales!$G$4:$G$503)</f>
        <v>146000</v>
      </c>
      <c r="E52" s="12">
        <f>SUMIF(Daily_Sales!$D$4:$D$503,B52,Daily_Sales!$H$4:$H$503)</f>
        <v>0</v>
      </c>
      <c r="F52" s="9">
        <f t="shared" si="2"/>
        <v>146000</v>
      </c>
      <c r="G52" s="12">
        <f>SUMIFS(Cash_Book!$G$4:$G$1008,Cash_Book!$C$4:$C$1008,"DUKANDAR",Cash_Book!$D$4:$D$1008,"RECEIPT",Cash_Book!$E$4:$E$1008,B52)</f>
        <v>146000</v>
      </c>
      <c r="H52" s="15">
        <f t="shared" si="3"/>
        <v>0</v>
      </c>
    </row>
    <row r="53" spans="1:8" x14ac:dyDescent="0.45">
      <c r="A53">
        <v>50</v>
      </c>
      <c r="B53" t="str">
        <f>IF(Masters!$J$52="","",Masters!$J$52)</f>
        <v>MAJEED THANA</v>
      </c>
      <c r="C53" s="12">
        <f>IF(B53="",0,Masters!$K$52)</f>
        <v>0</v>
      </c>
      <c r="D53" s="12">
        <f>SUMIF(Daily_Sales!$D$4:$D$503,B53,Daily_Sales!$G$4:$G$503)</f>
        <v>65000</v>
      </c>
      <c r="E53" s="12">
        <f>SUMIF(Daily_Sales!$D$4:$D$503,B53,Daily_Sales!$H$4:$H$503)</f>
        <v>0</v>
      </c>
      <c r="F53" s="9">
        <f t="shared" si="2"/>
        <v>65000</v>
      </c>
      <c r="G53" s="12">
        <f>SUMIFS(Cash_Book!$G$4:$G$1008,Cash_Book!$C$4:$C$1008,"DUKANDAR",Cash_Book!$D$4:$D$1008,"RECEIPT",Cash_Book!$E$4:$E$1008,B53)</f>
        <v>0</v>
      </c>
      <c r="H53" s="15">
        <f t="shared" si="3"/>
        <v>65000</v>
      </c>
    </row>
    <row r="54" spans="1:8" x14ac:dyDescent="0.45">
      <c r="A54">
        <v>51</v>
      </c>
      <c r="B54" t="str">
        <f>IF(Masters!$J$53="","",Masters!$J$53)</f>
        <v>RAMESH KALAL</v>
      </c>
      <c r="C54" s="12">
        <f>IF(B54="",0,Masters!$K$53)</f>
        <v>0</v>
      </c>
      <c r="D54" s="12">
        <f>SUMIF(Daily_Sales!$D$4:$D$503,B54,Daily_Sales!$G$4:$G$503)</f>
        <v>127400</v>
      </c>
      <c r="E54" s="12">
        <f>SUMIF(Daily_Sales!$D$4:$D$503,B54,Daily_Sales!$H$4:$H$503)</f>
        <v>1300</v>
      </c>
      <c r="F54" s="9">
        <f>IF(B54="","",D54-E54+C54)</f>
        <v>126100</v>
      </c>
      <c r="G54" s="12">
        <f>SUMIFS(Cash_Book!$G$4:$G$1008,Cash_Book!$C$4:$C$1008,"DUKANDAR",Cash_Book!$D$4:$D$1008,"RECEIPT",Cash_Book!$E$4:$E$1008,B54)</f>
        <v>0</v>
      </c>
      <c r="H54" s="15">
        <f>IF(B54="","",F54-G54)</f>
        <v>126100</v>
      </c>
    </row>
    <row r="55" spans="1:8" x14ac:dyDescent="0.45">
      <c r="A55">
        <v>52</v>
      </c>
      <c r="B55" t="str">
        <f>IF(Masters!$J$54="","",Masters!$J$54)</f>
        <v>IMRAN MUMBRA</v>
      </c>
      <c r="C55" s="12">
        <f>IF(B55="",0,Masters!$K$54)</f>
        <v>0</v>
      </c>
      <c r="D55" s="12">
        <f>SUMIF(Daily_Sales!$D$4:$D$503,B55,Daily_Sales!$G$4:$G$503)</f>
        <v>338000</v>
      </c>
      <c r="E55" s="12">
        <f>SUMIF(Daily_Sales!$D$4:$D$503,B55,Daily_Sales!$H$4:$H$503)</f>
        <v>0</v>
      </c>
      <c r="F55" s="9">
        <f>IF(B55="","",D55-E55+C55)</f>
        <v>338000</v>
      </c>
      <c r="G55" s="12">
        <f>SUMIFS(Cash_Book!$G$4:$G$1008,Cash_Book!$C$4:$C$1008,"DUKANDAR",Cash_Book!$D$4:$D$1008,"RECEIPT",Cash_Book!$E$4:$E$1008,B55)</f>
        <v>0</v>
      </c>
      <c r="H55" s="15">
        <f>IF(B55="","",F55-G55)</f>
        <v>338000</v>
      </c>
    </row>
    <row r="56" spans="1:8" x14ac:dyDescent="0.45">
      <c r="A56">
        <v>53</v>
      </c>
      <c r="B56" t="str">
        <f>IF(Masters!$J$55="","",Masters!$J$55)</f>
        <v>JAVED THANA</v>
      </c>
      <c r="C56" s="12">
        <f>IF(B56="",0,Masters!$K$55)</f>
        <v>0</v>
      </c>
      <c r="D56" s="12">
        <f>SUMIF(Daily_Sales!$D$4:$D$503,B56,Daily_Sales!$G$4:$G$503)</f>
        <v>84000</v>
      </c>
      <c r="E56" s="12">
        <f>SUMIF(Daily_Sales!$D$4:$D$503,B56,Daily_Sales!$H$4:$H$503)</f>
        <v>800</v>
      </c>
      <c r="F56" s="9">
        <f>IF(B56="","",D56-E56+C56)</f>
        <v>83200</v>
      </c>
      <c r="G56" s="12">
        <f>SUMIFS(Cash_Book!$G$4:$G$1008,Cash_Book!$C$4:$C$1008,"DUKANDAR",Cash_Book!$D$4:$D$1008,"RECEIPT",Cash_Book!$E$4:$E$1008,B56)</f>
        <v>49000</v>
      </c>
      <c r="H56" s="15">
        <f>IF(B56="","",F56-G56)</f>
        <v>34200</v>
      </c>
    </row>
    <row r="57" spans="1:8" x14ac:dyDescent="0.45">
      <c r="A57">
        <v>54</v>
      </c>
      <c r="B57" t="str">
        <f>IF(Masters!$J$56="","",Masters!$J$56)</f>
        <v>SHAHNAWAZ</v>
      </c>
      <c r="C57" s="12">
        <f>IF(B57="",0,Masters!$K$56)</f>
        <v>0</v>
      </c>
      <c r="D57" s="12">
        <f>SUMIF(Daily_Sales!$D$4:$D$503,B57,Daily_Sales!$G$4:$G$503)</f>
        <v>23750</v>
      </c>
      <c r="E57" s="12">
        <f>SUMIF(Daily_Sales!$D$4:$D$503,B57,Daily_Sales!$H$4:$H$503)</f>
        <v>0</v>
      </c>
      <c r="F57" s="9">
        <f>IF(B57="","",D57-E57+C57)</f>
        <v>23750</v>
      </c>
      <c r="G57" s="12">
        <f>SUMIFS(Cash_Book!$G$4:$G$1008,Cash_Book!$C$4:$C$1008,"DUKANDAR",Cash_Book!$D$4:$D$1008,"RECEIPT",Cash_Book!$E$4:$E$1008,B57)</f>
        <v>23750</v>
      </c>
      <c r="H57" s="15">
        <f>IF(B57="","",F57-G57)</f>
        <v>0</v>
      </c>
    </row>
    <row r="58" spans="1:8" x14ac:dyDescent="0.45">
      <c r="A58">
        <v>55</v>
      </c>
      <c r="B58" t="str">
        <f>IF(Masters!$J$57="","",Masters!$J$57)</f>
        <v>PAROLA</v>
      </c>
      <c r="C58" s="12">
        <f>IF(B58="",0,Masters!$K$57)</f>
        <v>0</v>
      </c>
      <c r="D58" s="12">
        <f>SUMIF(Daily_Sales!$D$4:$D$503,B58,Daily_Sales!$G$4:$G$503)</f>
        <v>42000</v>
      </c>
      <c r="E58" s="12">
        <f>SUMIF(Daily_Sales!$D$4:$D$503,B58,Daily_Sales!$H$4:$H$503)</f>
        <v>0</v>
      </c>
      <c r="F58" s="9">
        <f>IF(B58="","",D58-E58+C58)</f>
        <v>42000</v>
      </c>
      <c r="G58" s="12">
        <f>SUMIFS(Cash_Book!$G$4:$G$1008,Cash_Book!$C$4:$C$1008,"DUKANDAR",Cash_Book!$D$4:$D$1008,"RECEIPT",Cash_Book!$E$4:$E$1008,B58)</f>
        <v>0</v>
      </c>
      <c r="H58" s="15">
        <f>IF(B58="","",F58-G58)</f>
        <v>42000</v>
      </c>
    </row>
    <row r="59" spans="1:8" x14ac:dyDescent="0.45">
      <c r="A59">
        <v>55</v>
      </c>
      <c r="B59" t="str" cm="1">
        <f t="array" ref="B59">IF(INDEX(Masters!$J:$J,ROW()-1)="","",INDEX(Masters!$J:$J,ROW()-1))</f>
        <v>REHAN BYC</v>
      </c>
      <c r="C59" s="12" cm="1">
        <f t="array" ref="C59">IF(B59="",0,INDEX(Masters!$K:$K,ROW()-1))</f>
        <v>0</v>
      </c>
      <c r="D59" s="12">
        <f>SUMIF(Daily_Sales!$D$4:$D$503,B59,Daily_Sales!$G$4:$G$503)</f>
        <v>223600</v>
      </c>
      <c r="E59" s="12">
        <f>SUMIF(Daily_Sales!$D$4:$D$503,B59,Daily_Sales!$H$4:$H$503)</f>
        <v>2600</v>
      </c>
      <c r="F59" s="9">
        <f t="shared" ref="F59:F103" si="4">IF(B59="","",D59-E59+C59)</f>
        <v>221000</v>
      </c>
      <c r="G59" s="12">
        <f>SUMIFS(Cash_Book!$G$4:$G$1008,Cash_Book!$C$4:$C$1008,"DUKANDAR",Cash_Book!$D$4:$D$1008,"RECEIPT",Cash_Book!$E$4:$E$1008,B59)</f>
        <v>0</v>
      </c>
      <c r="H59" s="15">
        <f t="shared" ref="H59:H103" si="5">IF(B59="","",F59-G59)</f>
        <v>221000</v>
      </c>
    </row>
    <row r="60" spans="1:8" x14ac:dyDescent="0.45">
      <c r="A60">
        <v>55</v>
      </c>
      <c r="B60" t="str" cm="1">
        <f t="array" ref="B60">IF(INDEX(Masters!$J:$J,ROW()-1)="","",INDEX(Masters!$J:$J,ROW()-1))</f>
        <v xml:space="preserve">KHALIL </v>
      </c>
      <c r="C60" s="12" cm="1">
        <f t="array" ref="C60">IF(B60="",0,INDEX(Masters!$K:$K,ROW()-1))</f>
        <v>0</v>
      </c>
      <c r="D60" s="12">
        <f>SUMIF(Daily_Sales!$D$4:$D$503,B60,Daily_Sales!$G$4:$G$503)</f>
        <v>218650</v>
      </c>
      <c r="E60" s="12">
        <f>SUMIF(Daily_Sales!$D$4:$D$503,B60,Daily_Sales!$H$4:$H$503)</f>
        <v>0</v>
      </c>
      <c r="F60" s="9">
        <f t="shared" si="4"/>
        <v>218650</v>
      </c>
      <c r="G60" s="12">
        <f>SUMIFS(Cash_Book!$G$4:$G$1008,Cash_Book!$C$4:$C$1008,"DUKANDAR",Cash_Book!$D$4:$D$1008,"RECEIPT",Cash_Book!$E$4:$E$1008,B60)</f>
        <v>0</v>
      </c>
      <c r="H60" s="15">
        <f t="shared" si="5"/>
        <v>218650</v>
      </c>
    </row>
    <row r="61" spans="1:8" x14ac:dyDescent="0.45">
      <c r="A61">
        <v>55</v>
      </c>
      <c r="B61" t="str" cm="1">
        <f t="array" ref="B61">IF(INDEX(Masters!$J:$J,ROW()-1)="","",INDEX(Masters!$J:$J,ROW()-1))</f>
        <v>SARFARAZ</v>
      </c>
      <c r="C61" s="12" cm="1">
        <f t="array" ref="C61">IF(B61="",0,INDEX(Masters!$K:$K,ROW()-1))</f>
        <v>0</v>
      </c>
      <c r="D61" s="12">
        <f>SUMIF(Daily_Sales!$D$4:$D$503,B61,Daily_Sales!$G$4:$G$503)</f>
        <v>110000</v>
      </c>
      <c r="E61" s="12">
        <f>SUMIF(Daily_Sales!$D$4:$D$503,B61,Daily_Sales!$H$4:$H$503)</f>
        <v>0</v>
      </c>
      <c r="F61" s="9">
        <f t="shared" si="4"/>
        <v>110000</v>
      </c>
      <c r="G61" s="12">
        <f>SUMIFS(Cash_Book!$G$4:$G$1008,Cash_Book!$C$4:$C$1008,"DUKANDAR",Cash_Book!$D$4:$D$1008,"RECEIPT",Cash_Book!$E$4:$E$1008,B61)</f>
        <v>110000</v>
      </c>
      <c r="H61" s="15">
        <f t="shared" si="5"/>
        <v>0</v>
      </c>
    </row>
    <row r="62" spans="1:8" x14ac:dyDescent="0.45">
      <c r="A62">
        <v>55</v>
      </c>
      <c r="B62" t="str" cm="1">
        <f t="array" ref="B62">IF(INDEX(Masters!$J:$J,ROW()-1)="","",INDEX(Masters!$J:$J,ROW()-1))</f>
        <v>RAIS PUNE</v>
      </c>
      <c r="C62" s="12" cm="1">
        <f t="array" ref="C62">IF(B62="",0,INDEX(Masters!$K:$K,ROW()-1))</f>
        <v>0</v>
      </c>
      <c r="D62" s="12">
        <f>SUMIF(Daily_Sales!$D$4:$D$503,B62,Daily_Sales!$G$4:$G$503)</f>
        <v>166400</v>
      </c>
      <c r="E62" s="12">
        <f>SUMIF(Daily_Sales!$D$4:$D$503,B62,Daily_Sales!$H$4:$H$503)</f>
        <v>1600</v>
      </c>
      <c r="F62" s="9">
        <f t="shared" si="4"/>
        <v>164800</v>
      </c>
      <c r="G62" s="12">
        <f>SUMIFS(Cash_Book!$G$4:$G$1008,Cash_Book!$C$4:$C$1008,"DUKANDAR",Cash_Book!$D$4:$D$1008,"RECEIPT",Cash_Book!$E$4:$E$1008,B62)</f>
        <v>0</v>
      </c>
      <c r="H62" s="15">
        <f t="shared" si="5"/>
        <v>164800</v>
      </c>
    </row>
    <row r="63" spans="1:8" x14ac:dyDescent="0.45">
      <c r="A63">
        <v>55</v>
      </c>
      <c r="B63" t="str" cm="1">
        <f t="array" ref="B63">IF(INDEX(Masters!$J:$J,ROW()-1)="","",INDEX(Masters!$J:$J,ROW()-1))</f>
        <v/>
      </c>
      <c r="C63" s="12" cm="1">
        <f t="array" ref="C63">IF(B63="",0,INDEX(Masters!$K:$K,ROW()-1))</f>
        <v>0</v>
      </c>
      <c r="D63" s="12">
        <f>SUMIF(Daily_Sales!$D$4:$D$503,B63,Daily_Sales!$G$4:$G$503)</f>
        <v>0</v>
      </c>
      <c r="E63" s="12">
        <f>SUMIF(Daily_Sales!$D$4:$D$503,B63,Daily_Sales!$H$4:$H$503)</f>
        <v>0</v>
      </c>
      <c r="F63" s="9" t="str">
        <f t="shared" si="4"/>
        <v/>
      </c>
      <c r="G63" s="12">
        <f>SUMIFS(Cash_Book!$G$4:$G$1008,Cash_Book!$C$4:$C$1008,"DUKANDAR",Cash_Book!$D$4:$D$1008,"RECEIPT",Cash_Book!$E$4:$E$1008,B63)</f>
        <v>0</v>
      </c>
      <c r="H63" s="15" t="str">
        <f t="shared" si="5"/>
        <v/>
      </c>
    </row>
    <row r="64" spans="1:8" x14ac:dyDescent="0.45">
      <c r="A64">
        <v>55</v>
      </c>
      <c r="B64" t="str" cm="1">
        <f t="array" ref="B64">IF(INDEX(Masters!$J:$J,ROW()-1)="","",INDEX(Masters!$J:$J,ROW()-1))</f>
        <v/>
      </c>
      <c r="C64" s="12" cm="1">
        <f t="array" ref="C64">IF(B64="",0,INDEX(Masters!$K:$K,ROW()-1))</f>
        <v>0</v>
      </c>
      <c r="D64" s="12">
        <f>SUMIF(Daily_Sales!$D$4:$D$503,B64,Daily_Sales!$G$4:$G$503)</f>
        <v>0</v>
      </c>
      <c r="E64" s="12">
        <f>SUMIF(Daily_Sales!$D$4:$D$503,B64,Daily_Sales!$H$4:$H$503)</f>
        <v>0</v>
      </c>
      <c r="F64" s="9" t="str">
        <f t="shared" si="4"/>
        <v/>
      </c>
      <c r="G64" s="12">
        <f>SUMIFS(Cash_Book!$G$4:$G$1008,Cash_Book!$C$4:$C$1008,"DUKANDAR",Cash_Book!$D$4:$D$1008,"RECEIPT",Cash_Book!$E$4:$E$1008,B64)</f>
        <v>0</v>
      </c>
      <c r="H64" s="15" t="str">
        <f t="shared" si="5"/>
        <v/>
      </c>
    </row>
    <row r="65" spans="1:8" x14ac:dyDescent="0.45">
      <c r="A65">
        <v>55</v>
      </c>
      <c r="B65" t="str" cm="1">
        <f t="array" ref="B65">IF(INDEX(Masters!$J:$J,ROW()-1)="","",INDEX(Masters!$J:$J,ROW()-1))</f>
        <v/>
      </c>
      <c r="C65" s="12" cm="1">
        <f t="array" ref="C65">IF(B65="",0,INDEX(Masters!$K:$K,ROW()-1))</f>
        <v>0</v>
      </c>
      <c r="D65" s="12">
        <f>SUMIF(Daily_Sales!$D$4:$D$503,B65,Daily_Sales!$G$4:$G$503)</f>
        <v>0</v>
      </c>
      <c r="E65" s="12">
        <f>SUMIF(Daily_Sales!$D$4:$D$503,B65,Daily_Sales!$H$4:$H$503)</f>
        <v>0</v>
      </c>
      <c r="F65" s="9" t="str">
        <f t="shared" si="4"/>
        <v/>
      </c>
      <c r="G65" s="12">
        <f>SUMIFS(Cash_Book!$G$4:$G$1008,Cash_Book!$C$4:$C$1008,"DUKANDAR",Cash_Book!$D$4:$D$1008,"RECEIPT",Cash_Book!$E$4:$E$1008,B65)</f>
        <v>0</v>
      </c>
      <c r="H65" s="15" t="str">
        <f t="shared" si="5"/>
        <v/>
      </c>
    </row>
    <row r="66" spans="1:8" x14ac:dyDescent="0.45">
      <c r="A66">
        <v>55</v>
      </c>
      <c r="B66" t="str" cm="1">
        <f t="array" ref="B66">IF(INDEX(Masters!$J:$J,ROW()-1)="","",INDEX(Masters!$J:$J,ROW()-1))</f>
        <v/>
      </c>
      <c r="C66" s="12" cm="1">
        <f t="array" ref="C66">IF(B66="",0,INDEX(Masters!$K:$K,ROW()-1))</f>
        <v>0</v>
      </c>
      <c r="D66" s="12">
        <f>SUMIF(Daily_Sales!$D$4:$D$503,B66,Daily_Sales!$G$4:$G$503)</f>
        <v>0</v>
      </c>
      <c r="E66" s="12">
        <f>SUMIF(Daily_Sales!$D$4:$D$503,B66,Daily_Sales!$H$4:$H$503)</f>
        <v>0</v>
      </c>
      <c r="F66" s="9" t="str">
        <f t="shared" si="4"/>
        <v/>
      </c>
      <c r="G66" s="12">
        <f>SUMIFS(Cash_Book!$G$4:$G$1008,Cash_Book!$C$4:$C$1008,"DUKANDAR",Cash_Book!$D$4:$D$1008,"RECEIPT",Cash_Book!$E$4:$E$1008,B66)</f>
        <v>0</v>
      </c>
      <c r="H66" s="15" t="str">
        <f t="shared" si="5"/>
        <v/>
      </c>
    </row>
    <row r="67" spans="1:8" x14ac:dyDescent="0.45">
      <c r="A67">
        <v>55</v>
      </c>
      <c r="B67" t="str" cm="1">
        <f t="array" ref="B67">IF(INDEX(Masters!$J:$J,ROW()-1)="","",INDEX(Masters!$J:$J,ROW()-1))</f>
        <v/>
      </c>
      <c r="C67" s="12" cm="1">
        <f t="array" ref="C67">IF(B67="",0,INDEX(Masters!$K:$K,ROW()-1))</f>
        <v>0</v>
      </c>
      <c r="D67" s="12">
        <f>SUMIF(Daily_Sales!$D$4:$D$503,B67,Daily_Sales!$G$4:$G$503)</f>
        <v>0</v>
      </c>
      <c r="E67" s="12">
        <f>SUMIF(Daily_Sales!$D$4:$D$503,B67,Daily_Sales!$H$4:$H$503)</f>
        <v>0</v>
      </c>
      <c r="F67" s="9" t="str">
        <f t="shared" si="4"/>
        <v/>
      </c>
      <c r="G67" s="12">
        <f>SUMIFS(Cash_Book!$G$4:$G$1008,Cash_Book!$C$4:$C$1008,"DUKANDAR",Cash_Book!$D$4:$D$1008,"RECEIPT",Cash_Book!$E$4:$E$1008,B67)</f>
        <v>0</v>
      </c>
      <c r="H67" s="15" t="str">
        <f t="shared" si="5"/>
        <v/>
      </c>
    </row>
    <row r="68" spans="1:8" x14ac:dyDescent="0.45">
      <c r="A68">
        <v>55</v>
      </c>
      <c r="B68" t="str" cm="1">
        <f t="array" ref="B68">IF(INDEX(Masters!$J:$J,ROW()-1)="","",INDEX(Masters!$J:$J,ROW()-1))</f>
        <v/>
      </c>
      <c r="C68" s="12" cm="1">
        <f t="array" ref="C68">IF(B68="",0,INDEX(Masters!$K:$K,ROW()-1))</f>
        <v>0</v>
      </c>
      <c r="D68" s="12">
        <f>SUMIF(Daily_Sales!$D$4:$D$503,B68,Daily_Sales!$G$4:$G$503)</f>
        <v>0</v>
      </c>
      <c r="E68" s="12">
        <f>SUMIF(Daily_Sales!$D$4:$D$503,B68,Daily_Sales!$H$4:$H$503)</f>
        <v>0</v>
      </c>
      <c r="F68" s="9" t="str">
        <f t="shared" si="4"/>
        <v/>
      </c>
      <c r="G68" s="12">
        <f>SUMIFS(Cash_Book!$G$4:$G$1008,Cash_Book!$C$4:$C$1008,"DUKANDAR",Cash_Book!$D$4:$D$1008,"RECEIPT",Cash_Book!$E$4:$E$1008,B68)</f>
        <v>0</v>
      </c>
      <c r="H68" s="15" t="str">
        <f t="shared" si="5"/>
        <v/>
      </c>
    </row>
    <row r="69" spans="1:8" x14ac:dyDescent="0.45">
      <c r="A69">
        <v>55</v>
      </c>
      <c r="B69" t="str" cm="1">
        <f t="array" ref="B69">IF(INDEX(Masters!$J:$J,ROW()-1)="","",INDEX(Masters!$J:$J,ROW()-1))</f>
        <v/>
      </c>
      <c r="C69" s="12" cm="1">
        <f t="array" ref="C69">IF(B69="",0,INDEX(Masters!$K:$K,ROW()-1))</f>
        <v>0</v>
      </c>
      <c r="D69" s="12">
        <f>SUMIF(Daily_Sales!$D$4:$D$503,B69,Daily_Sales!$G$4:$G$503)</f>
        <v>0</v>
      </c>
      <c r="E69" s="12">
        <f>SUMIF(Daily_Sales!$D$4:$D$503,B69,Daily_Sales!$H$4:$H$503)</f>
        <v>0</v>
      </c>
      <c r="F69" s="9" t="str">
        <f t="shared" si="4"/>
        <v/>
      </c>
      <c r="G69" s="12">
        <f>SUMIFS(Cash_Book!$G$4:$G$1008,Cash_Book!$C$4:$C$1008,"DUKANDAR",Cash_Book!$D$4:$D$1008,"RECEIPT",Cash_Book!$E$4:$E$1008,B69)</f>
        <v>0</v>
      </c>
      <c r="H69" s="15" t="str">
        <f t="shared" si="5"/>
        <v/>
      </c>
    </row>
    <row r="70" spans="1:8" x14ac:dyDescent="0.45">
      <c r="A70">
        <v>55</v>
      </c>
      <c r="B70" t="str" cm="1">
        <f t="array" ref="B70">IF(INDEX(Masters!$J:$J,ROW()-1)="","",INDEX(Masters!$J:$J,ROW()-1))</f>
        <v/>
      </c>
      <c r="C70" s="12" cm="1">
        <f t="array" ref="C70">IF(B70="",0,INDEX(Masters!$K:$K,ROW()-1))</f>
        <v>0</v>
      </c>
      <c r="D70" s="12">
        <f>SUMIF(Daily_Sales!$D$4:$D$503,B70,Daily_Sales!$G$4:$G$503)</f>
        <v>0</v>
      </c>
      <c r="E70" s="12">
        <f>SUMIF(Daily_Sales!$D$4:$D$503,B70,Daily_Sales!$H$4:$H$503)</f>
        <v>0</v>
      </c>
      <c r="F70" s="9" t="str">
        <f t="shared" si="4"/>
        <v/>
      </c>
      <c r="G70" s="12">
        <f>SUMIFS(Cash_Book!$G$4:$G$1008,Cash_Book!$C$4:$C$1008,"DUKANDAR",Cash_Book!$D$4:$D$1008,"RECEIPT",Cash_Book!$E$4:$E$1008,B70)</f>
        <v>0</v>
      </c>
      <c r="H70" s="15" t="str">
        <f t="shared" si="5"/>
        <v/>
      </c>
    </row>
    <row r="71" spans="1:8" x14ac:dyDescent="0.45">
      <c r="A71">
        <v>55</v>
      </c>
      <c r="B71" t="str" cm="1">
        <f t="array" ref="B71">IF(INDEX(Masters!$J:$J,ROW()-1)="","",INDEX(Masters!$J:$J,ROW()-1))</f>
        <v/>
      </c>
      <c r="C71" s="12" cm="1">
        <f t="array" ref="C71">IF(B71="",0,INDEX(Masters!$K:$K,ROW()-1))</f>
        <v>0</v>
      </c>
      <c r="D71" s="12">
        <f>SUMIF(Daily_Sales!$D$4:$D$503,B71,Daily_Sales!$G$4:$G$503)</f>
        <v>0</v>
      </c>
      <c r="E71" s="12">
        <f>SUMIF(Daily_Sales!$D$4:$D$503,B71,Daily_Sales!$H$4:$H$503)</f>
        <v>0</v>
      </c>
      <c r="F71" s="9" t="str">
        <f t="shared" si="4"/>
        <v/>
      </c>
      <c r="G71" s="12">
        <f>SUMIFS(Cash_Book!$G$4:$G$1008,Cash_Book!$C$4:$C$1008,"DUKANDAR",Cash_Book!$D$4:$D$1008,"RECEIPT",Cash_Book!$E$4:$E$1008,B71)</f>
        <v>0</v>
      </c>
      <c r="H71" s="15" t="str">
        <f t="shared" si="5"/>
        <v/>
      </c>
    </row>
    <row r="72" spans="1:8" x14ac:dyDescent="0.45">
      <c r="A72">
        <v>55</v>
      </c>
      <c r="B72" t="str" cm="1">
        <f t="array" ref="B72">IF(INDEX(Masters!$J:$J,ROW()-1)="","",INDEX(Masters!$J:$J,ROW()-1))</f>
        <v/>
      </c>
      <c r="C72" s="12" cm="1">
        <f t="array" ref="C72">IF(B72="",0,INDEX(Masters!$K:$K,ROW()-1))</f>
        <v>0</v>
      </c>
      <c r="D72" s="12">
        <f>SUMIF(Daily_Sales!$D$4:$D$503,B72,Daily_Sales!$G$4:$G$503)</f>
        <v>0</v>
      </c>
      <c r="E72" s="12">
        <f>SUMIF(Daily_Sales!$D$4:$D$503,B72,Daily_Sales!$H$4:$H$503)</f>
        <v>0</v>
      </c>
      <c r="F72" s="9" t="str">
        <f t="shared" si="4"/>
        <v/>
      </c>
      <c r="G72" s="12">
        <f>SUMIFS(Cash_Book!$G$4:$G$1008,Cash_Book!$C$4:$C$1008,"DUKANDAR",Cash_Book!$D$4:$D$1008,"RECEIPT",Cash_Book!$E$4:$E$1008,B72)</f>
        <v>0</v>
      </c>
      <c r="H72" s="15" t="str">
        <f t="shared" si="5"/>
        <v/>
      </c>
    </row>
    <row r="73" spans="1:8" x14ac:dyDescent="0.45">
      <c r="A73">
        <v>55</v>
      </c>
      <c r="B73" t="str" cm="1">
        <f t="array" ref="B73">IF(INDEX(Masters!$J:$J,ROW()-1)="","",INDEX(Masters!$J:$J,ROW()-1))</f>
        <v/>
      </c>
      <c r="C73" s="12" cm="1">
        <f t="array" ref="C73">IF(B73="",0,INDEX(Masters!$K:$K,ROW()-1))</f>
        <v>0</v>
      </c>
      <c r="D73" s="12">
        <f>SUMIF(Daily_Sales!$D$4:$D$503,B73,Daily_Sales!$G$4:$G$503)</f>
        <v>0</v>
      </c>
      <c r="E73" s="12">
        <f>SUMIF(Daily_Sales!$D$4:$D$503,B73,Daily_Sales!$H$4:$H$503)</f>
        <v>0</v>
      </c>
      <c r="F73" s="9" t="str">
        <f t="shared" si="4"/>
        <v/>
      </c>
      <c r="G73" s="12">
        <f>SUMIFS(Cash_Book!$G$4:$G$1008,Cash_Book!$C$4:$C$1008,"DUKANDAR",Cash_Book!$D$4:$D$1008,"RECEIPT",Cash_Book!$E$4:$E$1008,B73)</f>
        <v>0</v>
      </c>
      <c r="H73" s="15" t="str">
        <f t="shared" si="5"/>
        <v/>
      </c>
    </row>
    <row r="74" spans="1:8" x14ac:dyDescent="0.45">
      <c r="A74">
        <v>55</v>
      </c>
      <c r="B74" t="str" cm="1">
        <f t="array" ref="B74">IF(INDEX(Masters!$J:$J,ROW()-1)="","",INDEX(Masters!$J:$J,ROW()-1))</f>
        <v/>
      </c>
      <c r="C74" s="12" cm="1">
        <f t="array" ref="C74">IF(B74="",0,INDEX(Masters!$K:$K,ROW()-1))</f>
        <v>0</v>
      </c>
      <c r="D74" s="12">
        <f>SUMIF(Daily_Sales!$D$4:$D$503,B74,Daily_Sales!$G$4:$G$503)</f>
        <v>0</v>
      </c>
      <c r="E74" s="12">
        <f>SUMIF(Daily_Sales!$D$4:$D$503,B74,Daily_Sales!$H$4:$H$503)</f>
        <v>0</v>
      </c>
      <c r="F74" s="9" t="str">
        <f t="shared" si="4"/>
        <v/>
      </c>
      <c r="G74" s="12">
        <f>SUMIFS(Cash_Book!$G$4:$G$1008,Cash_Book!$C$4:$C$1008,"DUKANDAR",Cash_Book!$D$4:$D$1008,"RECEIPT",Cash_Book!$E$4:$E$1008,B74)</f>
        <v>0</v>
      </c>
      <c r="H74" s="15" t="str">
        <f t="shared" si="5"/>
        <v/>
      </c>
    </row>
    <row r="75" spans="1:8" x14ac:dyDescent="0.45">
      <c r="A75">
        <v>55</v>
      </c>
      <c r="B75" t="str" cm="1">
        <f t="array" ref="B75">IF(INDEX(Masters!$J:$J,ROW()-1)="","",INDEX(Masters!$J:$J,ROW()-1))</f>
        <v/>
      </c>
      <c r="C75" s="12" cm="1">
        <f t="array" ref="C75">IF(B75="",0,INDEX(Masters!$K:$K,ROW()-1))</f>
        <v>0</v>
      </c>
      <c r="D75" s="12">
        <f>SUMIF(Daily_Sales!$D$4:$D$503,B75,Daily_Sales!$G$4:$G$503)</f>
        <v>0</v>
      </c>
      <c r="E75" s="12">
        <f>SUMIF(Daily_Sales!$D$4:$D$503,B75,Daily_Sales!$H$4:$H$503)</f>
        <v>0</v>
      </c>
      <c r="F75" s="9" t="str">
        <f t="shared" si="4"/>
        <v/>
      </c>
      <c r="G75" s="12">
        <f>SUMIFS(Cash_Book!$G$4:$G$1008,Cash_Book!$C$4:$C$1008,"DUKANDAR",Cash_Book!$D$4:$D$1008,"RECEIPT",Cash_Book!$E$4:$E$1008,B75)</f>
        <v>0</v>
      </c>
      <c r="H75" s="15" t="str">
        <f t="shared" si="5"/>
        <v/>
      </c>
    </row>
    <row r="76" spans="1:8" x14ac:dyDescent="0.45">
      <c r="A76">
        <v>55</v>
      </c>
      <c r="B76" t="str" cm="1">
        <f t="array" ref="B76">IF(INDEX(Masters!$J:$J,ROW()-1)="","",INDEX(Masters!$J:$J,ROW()-1))</f>
        <v/>
      </c>
      <c r="C76" s="12" cm="1">
        <f t="array" ref="C76">IF(B76="",0,INDEX(Masters!$K:$K,ROW()-1))</f>
        <v>0</v>
      </c>
      <c r="D76" s="12">
        <f>SUMIF(Daily_Sales!$D$4:$D$503,B76,Daily_Sales!$G$4:$G$503)</f>
        <v>0</v>
      </c>
      <c r="E76" s="12">
        <f>SUMIF(Daily_Sales!$D$4:$D$503,B76,Daily_Sales!$H$4:$H$503)</f>
        <v>0</v>
      </c>
      <c r="F76" s="9" t="str">
        <f t="shared" si="4"/>
        <v/>
      </c>
      <c r="G76" s="12">
        <f>SUMIFS(Cash_Book!$G$4:$G$1008,Cash_Book!$C$4:$C$1008,"DUKANDAR",Cash_Book!$D$4:$D$1008,"RECEIPT",Cash_Book!$E$4:$E$1008,B76)</f>
        <v>0</v>
      </c>
      <c r="H76" s="15" t="str">
        <f t="shared" si="5"/>
        <v/>
      </c>
    </row>
    <row r="77" spans="1:8" x14ac:dyDescent="0.45">
      <c r="A77">
        <v>55</v>
      </c>
      <c r="B77" t="str" cm="1">
        <f t="array" ref="B77">IF(INDEX(Masters!$J:$J,ROW()-1)="","",INDEX(Masters!$J:$J,ROW()-1))</f>
        <v/>
      </c>
      <c r="C77" s="12" cm="1">
        <f t="array" ref="C77">IF(B77="",0,INDEX(Masters!$K:$K,ROW()-1))</f>
        <v>0</v>
      </c>
      <c r="D77" s="12">
        <f>SUMIF(Daily_Sales!$D$4:$D$503,B77,Daily_Sales!$G$4:$G$503)</f>
        <v>0</v>
      </c>
      <c r="E77" s="12">
        <f>SUMIF(Daily_Sales!$D$4:$D$503,B77,Daily_Sales!$H$4:$H$503)</f>
        <v>0</v>
      </c>
      <c r="F77" s="9" t="str">
        <f t="shared" si="4"/>
        <v/>
      </c>
      <c r="G77" s="12">
        <f>SUMIFS(Cash_Book!$G$4:$G$1008,Cash_Book!$C$4:$C$1008,"DUKANDAR",Cash_Book!$D$4:$D$1008,"RECEIPT",Cash_Book!$E$4:$E$1008,B77)</f>
        <v>0</v>
      </c>
      <c r="H77" s="15" t="str">
        <f t="shared" si="5"/>
        <v/>
      </c>
    </row>
    <row r="78" spans="1:8" x14ac:dyDescent="0.45">
      <c r="A78">
        <v>55</v>
      </c>
      <c r="B78" t="str" cm="1">
        <f t="array" ref="B78">IF(INDEX(Masters!$J:$J,ROW()-1)="","",INDEX(Masters!$J:$J,ROW()-1))</f>
        <v/>
      </c>
      <c r="C78" s="12" cm="1">
        <f t="array" ref="C78">IF(B78="",0,INDEX(Masters!$K:$K,ROW()-1))</f>
        <v>0</v>
      </c>
      <c r="D78" s="12">
        <f>SUMIF(Daily_Sales!$D$4:$D$503,B78,Daily_Sales!$G$4:$G$503)</f>
        <v>0</v>
      </c>
      <c r="E78" s="12">
        <f>SUMIF(Daily_Sales!$D$4:$D$503,B78,Daily_Sales!$H$4:$H$503)</f>
        <v>0</v>
      </c>
      <c r="F78" s="9" t="str">
        <f t="shared" si="4"/>
        <v/>
      </c>
      <c r="G78" s="12">
        <f>SUMIFS(Cash_Book!$G$4:$G$1008,Cash_Book!$C$4:$C$1008,"DUKANDAR",Cash_Book!$D$4:$D$1008,"RECEIPT",Cash_Book!$E$4:$E$1008,B78)</f>
        <v>0</v>
      </c>
      <c r="H78" s="15" t="str">
        <f t="shared" si="5"/>
        <v/>
      </c>
    </row>
    <row r="79" spans="1:8" x14ac:dyDescent="0.45">
      <c r="A79">
        <v>55</v>
      </c>
      <c r="B79" t="str" cm="1">
        <f t="array" ref="B79">IF(INDEX(Masters!$J:$J,ROW()-1)="","",INDEX(Masters!$J:$J,ROW()-1))</f>
        <v/>
      </c>
      <c r="C79" s="12" cm="1">
        <f t="array" ref="C79">IF(B79="",0,INDEX(Masters!$K:$K,ROW()-1))</f>
        <v>0</v>
      </c>
      <c r="D79" s="12">
        <f>SUMIF(Daily_Sales!$D$4:$D$503,B79,Daily_Sales!$G$4:$G$503)</f>
        <v>0</v>
      </c>
      <c r="E79" s="12">
        <f>SUMIF(Daily_Sales!$D$4:$D$503,B79,Daily_Sales!$H$4:$H$503)</f>
        <v>0</v>
      </c>
      <c r="F79" s="9" t="str">
        <f t="shared" si="4"/>
        <v/>
      </c>
      <c r="G79" s="12">
        <f>SUMIFS(Cash_Book!$G$4:$G$1008,Cash_Book!$C$4:$C$1008,"DUKANDAR",Cash_Book!$D$4:$D$1008,"RECEIPT",Cash_Book!$E$4:$E$1008,B79)</f>
        <v>0</v>
      </c>
      <c r="H79" s="15" t="str">
        <f t="shared" si="5"/>
        <v/>
      </c>
    </row>
    <row r="80" spans="1:8" x14ac:dyDescent="0.45">
      <c r="A80">
        <v>55</v>
      </c>
      <c r="B80" t="str" cm="1">
        <f t="array" ref="B80">IF(INDEX(Masters!$J:$J,ROW()-1)="","",INDEX(Masters!$J:$J,ROW()-1))</f>
        <v/>
      </c>
      <c r="C80" s="12" cm="1">
        <f t="array" ref="C80">IF(B80="",0,INDEX(Masters!$K:$K,ROW()-1))</f>
        <v>0</v>
      </c>
      <c r="D80" s="12">
        <f>SUMIF(Daily_Sales!$D$4:$D$503,B80,Daily_Sales!$G$4:$G$503)</f>
        <v>0</v>
      </c>
      <c r="E80" s="12">
        <f>SUMIF(Daily_Sales!$D$4:$D$503,B80,Daily_Sales!$H$4:$H$503)</f>
        <v>0</v>
      </c>
      <c r="F80" s="9" t="str">
        <f t="shared" si="4"/>
        <v/>
      </c>
      <c r="G80" s="12">
        <f>SUMIFS(Cash_Book!$G$4:$G$1008,Cash_Book!$C$4:$C$1008,"DUKANDAR",Cash_Book!$D$4:$D$1008,"RECEIPT",Cash_Book!$E$4:$E$1008,B80)</f>
        <v>0</v>
      </c>
      <c r="H80" s="15" t="str">
        <f t="shared" si="5"/>
        <v/>
      </c>
    </row>
    <row r="81" spans="1:8" x14ac:dyDescent="0.45">
      <c r="A81">
        <v>55</v>
      </c>
      <c r="B81" t="str" cm="1">
        <f t="array" ref="B81">IF(INDEX(Masters!$J:$J,ROW()-1)="","",INDEX(Masters!$J:$J,ROW()-1))</f>
        <v/>
      </c>
      <c r="C81" s="12" cm="1">
        <f t="array" ref="C81">IF(B81="",0,INDEX(Masters!$K:$K,ROW()-1))</f>
        <v>0</v>
      </c>
      <c r="D81" s="12">
        <f>SUMIF(Daily_Sales!$D$4:$D$503,B81,Daily_Sales!$G$4:$G$503)</f>
        <v>0</v>
      </c>
      <c r="E81" s="12">
        <f>SUMIF(Daily_Sales!$D$4:$D$503,B81,Daily_Sales!$H$4:$H$503)</f>
        <v>0</v>
      </c>
      <c r="F81" s="9" t="str">
        <f t="shared" si="4"/>
        <v/>
      </c>
      <c r="G81" s="12">
        <f>SUMIFS(Cash_Book!$G$4:$G$1008,Cash_Book!$C$4:$C$1008,"DUKANDAR",Cash_Book!$D$4:$D$1008,"RECEIPT",Cash_Book!$E$4:$E$1008,B81)</f>
        <v>0</v>
      </c>
      <c r="H81" s="15" t="str">
        <f t="shared" si="5"/>
        <v/>
      </c>
    </row>
    <row r="82" spans="1:8" x14ac:dyDescent="0.45">
      <c r="A82">
        <v>55</v>
      </c>
      <c r="B82" t="str" cm="1">
        <f t="array" ref="B82">IF(INDEX(Masters!$J:$J,ROW()-1)="","",INDEX(Masters!$J:$J,ROW()-1))</f>
        <v/>
      </c>
      <c r="C82" s="12" cm="1">
        <f t="array" ref="C82">IF(B82="",0,INDEX(Masters!$K:$K,ROW()-1))</f>
        <v>0</v>
      </c>
      <c r="D82" s="12">
        <f>SUMIF(Daily_Sales!$D$4:$D$503,B82,Daily_Sales!$G$4:$G$503)</f>
        <v>0</v>
      </c>
      <c r="E82" s="12">
        <f>SUMIF(Daily_Sales!$D$4:$D$503,B82,Daily_Sales!$H$4:$H$503)</f>
        <v>0</v>
      </c>
      <c r="F82" s="9" t="str">
        <f t="shared" si="4"/>
        <v/>
      </c>
      <c r="G82" s="12">
        <f>SUMIFS(Cash_Book!$G$4:$G$1008,Cash_Book!$C$4:$C$1008,"DUKANDAR",Cash_Book!$D$4:$D$1008,"RECEIPT",Cash_Book!$E$4:$E$1008,B82)</f>
        <v>0</v>
      </c>
      <c r="H82" s="15" t="str">
        <f t="shared" si="5"/>
        <v/>
      </c>
    </row>
    <row r="83" spans="1:8" x14ac:dyDescent="0.45">
      <c r="A83">
        <v>55</v>
      </c>
      <c r="B83" t="str" cm="1">
        <f t="array" ref="B83">IF(INDEX(Masters!$J:$J,ROW()-1)="","",INDEX(Masters!$J:$J,ROW()-1))</f>
        <v/>
      </c>
      <c r="C83" s="12" cm="1">
        <f t="array" ref="C83">IF(B83="",0,INDEX(Masters!$K:$K,ROW()-1))</f>
        <v>0</v>
      </c>
      <c r="D83" s="12">
        <f>SUMIF(Daily_Sales!$D$4:$D$503,B83,Daily_Sales!$G$4:$G$503)</f>
        <v>0</v>
      </c>
      <c r="E83" s="12">
        <f>SUMIF(Daily_Sales!$D$4:$D$503,B83,Daily_Sales!$H$4:$H$503)</f>
        <v>0</v>
      </c>
      <c r="F83" s="9" t="str">
        <f t="shared" si="4"/>
        <v/>
      </c>
      <c r="G83" s="12">
        <f>SUMIFS(Cash_Book!$G$4:$G$1008,Cash_Book!$C$4:$C$1008,"DUKANDAR",Cash_Book!$D$4:$D$1008,"RECEIPT",Cash_Book!$E$4:$E$1008,B83)</f>
        <v>0</v>
      </c>
      <c r="H83" s="15" t="str">
        <f t="shared" si="5"/>
        <v/>
      </c>
    </row>
    <row r="84" spans="1:8" x14ac:dyDescent="0.45">
      <c r="A84">
        <v>55</v>
      </c>
      <c r="B84" t="str" cm="1">
        <f t="array" ref="B84">IF(INDEX(Masters!$J:$J,ROW()-1)="","",INDEX(Masters!$J:$J,ROW()-1))</f>
        <v/>
      </c>
      <c r="C84" s="12" cm="1">
        <f t="array" ref="C84">IF(B84="",0,INDEX(Masters!$K:$K,ROW()-1))</f>
        <v>0</v>
      </c>
      <c r="D84" s="12">
        <f>SUMIF(Daily_Sales!$D$4:$D$503,B84,Daily_Sales!$G$4:$G$503)</f>
        <v>0</v>
      </c>
      <c r="E84" s="12">
        <f>SUMIF(Daily_Sales!$D$4:$D$503,B84,Daily_Sales!$H$4:$H$503)</f>
        <v>0</v>
      </c>
      <c r="F84" s="9" t="str">
        <f t="shared" si="4"/>
        <v/>
      </c>
      <c r="G84" s="12">
        <f>SUMIFS(Cash_Book!$G$4:$G$1008,Cash_Book!$C$4:$C$1008,"DUKANDAR",Cash_Book!$D$4:$D$1008,"RECEIPT",Cash_Book!$E$4:$E$1008,B84)</f>
        <v>0</v>
      </c>
      <c r="H84" s="15" t="str">
        <f t="shared" si="5"/>
        <v/>
      </c>
    </row>
    <row r="85" spans="1:8" x14ac:dyDescent="0.45">
      <c r="A85">
        <v>55</v>
      </c>
      <c r="B85" t="str" cm="1">
        <f t="array" ref="B85">IF(INDEX(Masters!$J:$J,ROW()-1)="","",INDEX(Masters!$J:$J,ROW()-1))</f>
        <v/>
      </c>
      <c r="C85" s="12" cm="1">
        <f t="array" ref="C85">IF(B85="",0,INDEX(Masters!$K:$K,ROW()-1))</f>
        <v>0</v>
      </c>
      <c r="D85" s="12">
        <f>SUMIF(Daily_Sales!$D$4:$D$503,B85,Daily_Sales!$G$4:$G$503)</f>
        <v>0</v>
      </c>
      <c r="E85" s="12">
        <f>SUMIF(Daily_Sales!$D$4:$D$503,B85,Daily_Sales!$H$4:$H$503)</f>
        <v>0</v>
      </c>
      <c r="F85" s="9" t="str">
        <f t="shared" si="4"/>
        <v/>
      </c>
      <c r="G85" s="12">
        <f>SUMIFS(Cash_Book!$G$4:$G$1008,Cash_Book!$C$4:$C$1008,"DUKANDAR",Cash_Book!$D$4:$D$1008,"RECEIPT",Cash_Book!$E$4:$E$1008,B85)</f>
        <v>0</v>
      </c>
      <c r="H85" s="15" t="str">
        <f t="shared" si="5"/>
        <v/>
      </c>
    </row>
    <row r="86" spans="1:8" x14ac:dyDescent="0.45">
      <c r="A86">
        <v>55</v>
      </c>
      <c r="B86" t="str" cm="1">
        <f t="array" ref="B86">IF(INDEX(Masters!$J:$J,ROW()-1)="","",INDEX(Masters!$J:$J,ROW()-1))</f>
        <v/>
      </c>
      <c r="C86" s="12" cm="1">
        <f t="array" ref="C86">IF(B86="",0,INDEX(Masters!$K:$K,ROW()-1))</f>
        <v>0</v>
      </c>
      <c r="D86" s="12">
        <f>SUMIF(Daily_Sales!$D$4:$D$503,B86,Daily_Sales!$G$4:$G$503)</f>
        <v>0</v>
      </c>
      <c r="E86" s="12">
        <f>SUMIF(Daily_Sales!$D$4:$D$503,B86,Daily_Sales!$H$4:$H$503)</f>
        <v>0</v>
      </c>
      <c r="F86" s="9" t="str">
        <f t="shared" si="4"/>
        <v/>
      </c>
      <c r="G86" s="12">
        <f>SUMIFS(Cash_Book!$G$4:$G$1008,Cash_Book!$C$4:$C$1008,"DUKANDAR",Cash_Book!$D$4:$D$1008,"RECEIPT",Cash_Book!$E$4:$E$1008,B86)</f>
        <v>0</v>
      </c>
      <c r="H86" s="15" t="str">
        <f t="shared" si="5"/>
        <v/>
      </c>
    </row>
    <row r="87" spans="1:8" x14ac:dyDescent="0.45">
      <c r="A87">
        <v>55</v>
      </c>
      <c r="B87" t="str" cm="1">
        <f t="array" ref="B87">IF(INDEX(Masters!$J:$J,ROW()-1)="","",INDEX(Masters!$J:$J,ROW()-1))</f>
        <v/>
      </c>
      <c r="C87" s="12" cm="1">
        <f t="array" ref="C87">IF(B87="",0,INDEX(Masters!$K:$K,ROW()-1))</f>
        <v>0</v>
      </c>
      <c r="D87" s="12">
        <f>SUMIF(Daily_Sales!$D$4:$D$503,B87,Daily_Sales!$G$4:$G$503)</f>
        <v>0</v>
      </c>
      <c r="E87" s="12">
        <f>SUMIF(Daily_Sales!$D$4:$D$503,B87,Daily_Sales!$H$4:$H$503)</f>
        <v>0</v>
      </c>
      <c r="F87" s="9" t="str">
        <f t="shared" si="4"/>
        <v/>
      </c>
      <c r="G87" s="12">
        <f>SUMIFS(Cash_Book!$G$4:$G$1008,Cash_Book!$C$4:$C$1008,"DUKANDAR",Cash_Book!$D$4:$D$1008,"RECEIPT",Cash_Book!$E$4:$E$1008,B87)</f>
        <v>0</v>
      </c>
      <c r="H87" s="15" t="str">
        <f t="shared" si="5"/>
        <v/>
      </c>
    </row>
    <row r="88" spans="1:8" x14ac:dyDescent="0.45">
      <c r="A88">
        <v>55</v>
      </c>
      <c r="B88" t="str" cm="1">
        <f t="array" ref="B88">IF(INDEX(Masters!$J:$J,ROW()-1)="","",INDEX(Masters!$J:$J,ROW()-1))</f>
        <v/>
      </c>
      <c r="C88" s="12" cm="1">
        <f t="array" ref="C88">IF(B88="",0,INDEX(Masters!$K:$K,ROW()-1))</f>
        <v>0</v>
      </c>
      <c r="D88" s="12">
        <f>SUMIF(Daily_Sales!$D$4:$D$503,B88,Daily_Sales!$G$4:$G$503)</f>
        <v>0</v>
      </c>
      <c r="E88" s="12">
        <f>SUMIF(Daily_Sales!$D$4:$D$503,B88,Daily_Sales!$H$4:$H$503)</f>
        <v>0</v>
      </c>
      <c r="F88" s="9" t="str">
        <f t="shared" si="4"/>
        <v/>
      </c>
      <c r="G88" s="12">
        <f>SUMIFS(Cash_Book!$G$4:$G$1008,Cash_Book!$C$4:$C$1008,"DUKANDAR",Cash_Book!$D$4:$D$1008,"RECEIPT",Cash_Book!$E$4:$E$1008,B88)</f>
        <v>0</v>
      </c>
      <c r="H88" s="15" t="str">
        <f t="shared" si="5"/>
        <v/>
      </c>
    </row>
    <row r="89" spans="1:8" x14ac:dyDescent="0.45">
      <c r="A89">
        <v>55</v>
      </c>
      <c r="B89" t="str" cm="1">
        <f t="array" ref="B89">IF(INDEX(Masters!$J:$J,ROW()-1)="","",INDEX(Masters!$J:$J,ROW()-1))</f>
        <v/>
      </c>
      <c r="C89" s="12" cm="1">
        <f t="array" ref="C89">IF(B89="",0,INDEX(Masters!$K:$K,ROW()-1))</f>
        <v>0</v>
      </c>
      <c r="D89" s="12">
        <f>SUMIF(Daily_Sales!$D$4:$D$503,B89,Daily_Sales!$G$4:$G$503)</f>
        <v>0</v>
      </c>
      <c r="E89" s="12">
        <f>SUMIF(Daily_Sales!$D$4:$D$503,B89,Daily_Sales!$H$4:$H$503)</f>
        <v>0</v>
      </c>
      <c r="F89" s="9" t="str">
        <f t="shared" si="4"/>
        <v/>
      </c>
      <c r="G89" s="12">
        <f>SUMIFS(Cash_Book!$G$4:$G$1008,Cash_Book!$C$4:$C$1008,"DUKANDAR",Cash_Book!$D$4:$D$1008,"RECEIPT",Cash_Book!$E$4:$E$1008,B89)</f>
        <v>0</v>
      </c>
      <c r="H89" s="15" t="str">
        <f t="shared" si="5"/>
        <v/>
      </c>
    </row>
    <row r="90" spans="1:8" x14ac:dyDescent="0.45">
      <c r="A90">
        <v>55</v>
      </c>
      <c r="B90" t="str" cm="1">
        <f t="array" ref="B90">IF(INDEX(Masters!$J:$J,ROW()-1)="","",INDEX(Masters!$J:$J,ROW()-1))</f>
        <v/>
      </c>
      <c r="C90" s="12" cm="1">
        <f t="array" ref="C90">IF(B90="",0,INDEX(Masters!$K:$K,ROW()-1))</f>
        <v>0</v>
      </c>
      <c r="D90" s="12">
        <f>SUMIF(Daily_Sales!$D$4:$D$503,B90,Daily_Sales!$G$4:$G$503)</f>
        <v>0</v>
      </c>
      <c r="E90" s="12">
        <f>SUMIF(Daily_Sales!$D$4:$D$503,B90,Daily_Sales!$H$4:$H$503)</f>
        <v>0</v>
      </c>
      <c r="F90" s="9" t="str">
        <f t="shared" si="4"/>
        <v/>
      </c>
      <c r="G90" s="12">
        <f>SUMIFS(Cash_Book!$G$4:$G$1008,Cash_Book!$C$4:$C$1008,"DUKANDAR",Cash_Book!$D$4:$D$1008,"RECEIPT",Cash_Book!$E$4:$E$1008,B90)</f>
        <v>0</v>
      </c>
      <c r="H90" s="15" t="str">
        <f t="shared" si="5"/>
        <v/>
      </c>
    </row>
    <row r="91" spans="1:8" x14ac:dyDescent="0.45">
      <c r="A91">
        <v>55</v>
      </c>
      <c r="B91" t="str" cm="1">
        <f t="array" ref="B91">IF(INDEX(Masters!$J:$J,ROW()-1)="","",INDEX(Masters!$J:$J,ROW()-1))</f>
        <v/>
      </c>
      <c r="C91" s="12" cm="1">
        <f t="array" ref="C91">IF(B91="",0,INDEX(Masters!$K:$K,ROW()-1))</f>
        <v>0</v>
      </c>
      <c r="D91" s="12">
        <f>SUMIF(Daily_Sales!$D$4:$D$503,B91,Daily_Sales!$G$4:$G$503)</f>
        <v>0</v>
      </c>
      <c r="E91" s="12">
        <f>SUMIF(Daily_Sales!$D$4:$D$503,B91,Daily_Sales!$H$4:$H$503)</f>
        <v>0</v>
      </c>
      <c r="F91" s="9" t="str">
        <f t="shared" si="4"/>
        <v/>
      </c>
      <c r="G91" s="12">
        <f>SUMIFS(Cash_Book!$G$4:$G$1008,Cash_Book!$C$4:$C$1008,"DUKANDAR",Cash_Book!$D$4:$D$1008,"RECEIPT",Cash_Book!$E$4:$E$1008,B91)</f>
        <v>0</v>
      </c>
      <c r="H91" s="15" t="str">
        <f t="shared" si="5"/>
        <v/>
      </c>
    </row>
    <row r="92" spans="1:8" x14ac:dyDescent="0.45">
      <c r="A92">
        <v>55</v>
      </c>
      <c r="B92" t="str" cm="1">
        <f t="array" ref="B92">IF(INDEX(Masters!$J:$J,ROW()-1)="","",INDEX(Masters!$J:$J,ROW()-1))</f>
        <v/>
      </c>
      <c r="C92" s="12" cm="1">
        <f t="array" ref="C92">IF(B92="",0,INDEX(Masters!$K:$K,ROW()-1))</f>
        <v>0</v>
      </c>
      <c r="D92" s="12">
        <f>SUMIF(Daily_Sales!$D$4:$D$503,B92,Daily_Sales!$G$4:$G$503)</f>
        <v>0</v>
      </c>
      <c r="E92" s="12">
        <f>SUMIF(Daily_Sales!$D$4:$D$503,B92,Daily_Sales!$H$4:$H$503)</f>
        <v>0</v>
      </c>
      <c r="F92" s="9" t="str">
        <f t="shared" si="4"/>
        <v/>
      </c>
      <c r="G92" s="12">
        <f>SUMIFS(Cash_Book!$G$4:$G$1008,Cash_Book!$C$4:$C$1008,"DUKANDAR",Cash_Book!$D$4:$D$1008,"RECEIPT",Cash_Book!$E$4:$E$1008,B92)</f>
        <v>0</v>
      </c>
      <c r="H92" s="15" t="str">
        <f t="shared" si="5"/>
        <v/>
      </c>
    </row>
    <row r="93" spans="1:8" x14ac:dyDescent="0.45">
      <c r="A93">
        <v>55</v>
      </c>
      <c r="B93" t="str" cm="1">
        <f t="array" ref="B93">IF(INDEX(Masters!$J:$J,ROW()-1)="","",INDEX(Masters!$J:$J,ROW()-1))</f>
        <v/>
      </c>
      <c r="C93" s="12" cm="1">
        <f t="array" ref="C93">IF(B93="",0,INDEX(Masters!$K:$K,ROW()-1))</f>
        <v>0</v>
      </c>
      <c r="D93" s="12">
        <f>SUMIF(Daily_Sales!$D$4:$D$503,B93,Daily_Sales!$G$4:$G$503)</f>
        <v>0</v>
      </c>
      <c r="E93" s="12">
        <f>SUMIF(Daily_Sales!$D$4:$D$503,B93,Daily_Sales!$H$4:$H$503)</f>
        <v>0</v>
      </c>
      <c r="F93" s="9" t="str">
        <f t="shared" si="4"/>
        <v/>
      </c>
      <c r="G93" s="12">
        <f>SUMIFS(Cash_Book!$G$4:$G$1008,Cash_Book!$C$4:$C$1008,"DUKANDAR",Cash_Book!$D$4:$D$1008,"RECEIPT",Cash_Book!$E$4:$E$1008,B93)</f>
        <v>0</v>
      </c>
      <c r="H93" s="15" t="str">
        <f t="shared" si="5"/>
        <v/>
      </c>
    </row>
    <row r="94" spans="1:8" x14ac:dyDescent="0.45">
      <c r="A94">
        <v>55</v>
      </c>
      <c r="B94" t="str" cm="1">
        <f t="array" ref="B94">IF(INDEX(Masters!$J:$J,ROW()-1)="","",INDEX(Masters!$J:$J,ROW()-1))</f>
        <v/>
      </c>
      <c r="C94" s="12" cm="1">
        <f t="array" ref="C94">IF(B94="",0,INDEX(Masters!$K:$K,ROW()-1))</f>
        <v>0</v>
      </c>
      <c r="D94" s="12">
        <f>SUMIF(Daily_Sales!$D$4:$D$503,B94,Daily_Sales!$G$4:$G$503)</f>
        <v>0</v>
      </c>
      <c r="E94" s="12">
        <f>SUMIF(Daily_Sales!$D$4:$D$503,B94,Daily_Sales!$H$4:$H$503)</f>
        <v>0</v>
      </c>
      <c r="F94" s="9" t="str">
        <f t="shared" si="4"/>
        <v/>
      </c>
      <c r="G94" s="12">
        <f>SUMIFS(Cash_Book!$G$4:$G$1008,Cash_Book!$C$4:$C$1008,"DUKANDAR",Cash_Book!$D$4:$D$1008,"RECEIPT",Cash_Book!$E$4:$E$1008,B94)</f>
        <v>0</v>
      </c>
      <c r="H94" s="15" t="str">
        <f t="shared" si="5"/>
        <v/>
      </c>
    </row>
    <row r="95" spans="1:8" x14ac:dyDescent="0.45">
      <c r="A95">
        <v>55</v>
      </c>
      <c r="B95" t="str" cm="1">
        <f t="array" ref="B95">IF(INDEX(Masters!$J:$J,ROW()-1)="","",INDEX(Masters!$J:$J,ROW()-1))</f>
        <v/>
      </c>
      <c r="C95" s="12" cm="1">
        <f t="array" ref="C95">IF(B95="",0,INDEX(Masters!$K:$K,ROW()-1))</f>
        <v>0</v>
      </c>
      <c r="D95" s="12">
        <f>SUMIF(Daily_Sales!$D$4:$D$503,B95,Daily_Sales!$G$4:$G$503)</f>
        <v>0</v>
      </c>
      <c r="E95" s="12">
        <f>SUMIF(Daily_Sales!$D$4:$D$503,B95,Daily_Sales!$H$4:$H$503)</f>
        <v>0</v>
      </c>
      <c r="F95" s="9" t="str">
        <f t="shared" si="4"/>
        <v/>
      </c>
      <c r="G95" s="12">
        <f>SUMIFS(Cash_Book!$G$4:$G$1008,Cash_Book!$C$4:$C$1008,"DUKANDAR",Cash_Book!$D$4:$D$1008,"RECEIPT",Cash_Book!$E$4:$E$1008,B95)</f>
        <v>0</v>
      </c>
      <c r="H95" s="15" t="str">
        <f t="shared" si="5"/>
        <v/>
      </c>
    </row>
    <row r="96" spans="1:8" x14ac:dyDescent="0.45">
      <c r="A96">
        <v>55</v>
      </c>
      <c r="B96" t="str" cm="1">
        <f t="array" ref="B96">IF(INDEX(Masters!$J:$J,ROW()-1)="","",INDEX(Masters!$J:$J,ROW()-1))</f>
        <v/>
      </c>
      <c r="C96" s="12" cm="1">
        <f t="array" ref="C96">IF(B96="",0,INDEX(Masters!$K:$K,ROW()-1))</f>
        <v>0</v>
      </c>
      <c r="D96" s="12">
        <f>SUMIF(Daily_Sales!$D$4:$D$503,B96,Daily_Sales!$G$4:$G$503)</f>
        <v>0</v>
      </c>
      <c r="E96" s="12">
        <f>SUMIF(Daily_Sales!$D$4:$D$503,B96,Daily_Sales!$H$4:$H$503)</f>
        <v>0</v>
      </c>
      <c r="F96" s="9" t="str">
        <f t="shared" si="4"/>
        <v/>
      </c>
      <c r="G96" s="12">
        <f>SUMIFS(Cash_Book!$G$4:$G$1008,Cash_Book!$C$4:$C$1008,"DUKANDAR",Cash_Book!$D$4:$D$1008,"RECEIPT",Cash_Book!$E$4:$E$1008,B96)</f>
        <v>0</v>
      </c>
      <c r="H96" s="15" t="str">
        <f t="shared" si="5"/>
        <v/>
      </c>
    </row>
    <row r="97" spans="1:8" x14ac:dyDescent="0.45">
      <c r="A97">
        <v>55</v>
      </c>
      <c r="B97" t="str" cm="1">
        <f t="array" ref="B97">IF(INDEX(Masters!$J:$J,ROW()-1)="","",INDEX(Masters!$J:$J,ROW()-1))</f>
        <v/>
      </c>
      <c r="C97" s="12" cm="1">
        <f t="array" ref="C97">IF(B97="",0,INDEX(Masters!$K:$K,ROW()-1))</f>
        <v>0</v>
      </c>
      <c r="D97" s="12">
        <f>SUMIF(Daily_Sales!$D$4:$D$503,B97,Daily_Sales!$G$4:$G$503)</f>
        <v>0</v>
      </c>
      <c r="E97" s="12">
        <f>SUMIF(Daily_Sales!$D$4:$D$503,B97,Daily_Sales!$H$4:$H$503)</f>
        <v>0</v>
      </c>
      <c r="F97" s="9" t="str">
        <f t="shared" si="4"/>
        <v/>
      </c>
      <c r="G97" s="12">
        <f>SUMIFS(Cash_Book!$G$4:$G$1008,Cash_Book!$C$4:$C$1008,"DUKANDAR",Cash_Book!$D$4:$D$1008,"RECEIPT",Cash_Book!$E$4:$E$1008,B97)</f>
        <v>0</v>
      </c>
      <c r="H97" s="15" t="str">
        <f t="shared" si="5"/>
        <v/>
      </c>
    </row>
    <row r="98" spans="1:8" x14ac:dyDescent="0.45">
      <c r="A98">
        <v>55</v>
      </c>
      <c r="B98" t="str" cm="1">
        <f t="array" ref="B98">IF(INDEX(Masters!$J:$J,ROW()-1)="","",INDEX(Masters!$J:$J,ROW()-1))</f>
        <v/>
      </c>
      <c r="C98" s="12" cm="1">
        <f t="array" ref="C98">IF(B98="",0,INDEX(Masters!$K:$K,ROW()-1))</f>
        <v>0</v>
      </c>
      <c r="D98" s="12">
        <f>SUMIF(Daily_Sales!$D$4:$D$503,B98,Daily_Sales!$G$4:$G$503)</f>
        <v>0</v>
      </c>
      <c r="E98" s="12">
        <f>SUMIF(Daily_Sales!$D$4:$D$503,B98,Daily_Sales!$H$4:$H$503)</f>
        <v>0</v>
      </c>
      <c r="F98" s="9" t="str">
        <f t="shared" si="4"/>
        <v/>
      </c>
      <c r="G98" s="12">
        <f>SUMIFS(Cash_Book!$G$4:$G$1008,Cash_Book!$C$4:$C$1008,"DUKANDAR",Cash_Book!$D$4:$D$1008,"RECEIPT",Cash_Book!$E$4:$E$1008,B98)</f>
        <v>0</v>
      </c>
      <c r="H98" s="15" t="str">
        <f t="shared" si="5"/>
        <v/>
      </c>
    </row>
    <row r="99" spans="1:8" x14ac:dyDescent="0.45">
      <c r="A99">
        <v>55</v>
      </c>
      <c r="B99" t="str" cm="1">
        <f t="array" ref="B99">IF(INDEX(Masters!$J:$J,ROW()-1)="","",INDEX(Masters!$J:$J,ROW()-1))</f>
        <v/>
      </c>
      <c r="C99" s="12" cm="1">
        <f t="array" ref="C99">IF(B99="",0,INDEX(Masters!$K:$K,ROW()-1))</f>
        <v>0</v>
      </c>
      <c r="D99" s="12">
        <f>SUMIF(Daily_Sales!$D$4:$D$503,B99,Daily_Sales!$G$4:$G$503)</f>
        <v>0</v>
      </c>
      <c r="E99" s="12">
        <f>SUMIF(Daily_Sales!$D$4:$D$503,B99,Daily_Sales!$H$4:$H$503)</f>
        <v>0</v>
      </c>
      <c r="F99" s="9" t="str">
        <f t="shared" si="4"/>
        <v/>
      </c>
      <c r="G99" s="12">
        <f>SUMIFS(Cash_Book!$G$4:$G$1008,Cash_Book!$C$4:$C$1008,"DUKANDAR",Cash_Book!$D$4:$D$1008,"RECEIPT",Cash_Book!$E$4:$E$1008,B99)</f>
        <v>0</v>
      </c>
      <c r="H99" s="15" t="str">
        <f t="shared" si="5"/>
        <v/>
      </c>
    </row>
    <row r="100" spans="1:8" x14ac:dyDescent="0.45">
      <c r="A100">
        <v>55</v>
      </c>
      <c r="B100" t="str" cm="1">
        <f t="array" ref="B100">IF(INDEX(Masters!$J:$J,ROW()-1)="","",INDEX(Masters!$J:$J,ROW()-1))</f>
        <v/>
      </c>
      <c r="C100" s="12" cm="1">
        <f t="array" ref="C100">IF(B100="",0,INDEX(Masters!$K:$K,ROW()-1))</f>
        <v>0</v>
      </c>
      <c r="D100" s="12">
        <f>SUMIF(Daily_Sales!$D$4:$D$503,B100,Daily_Sales!$G$4:$G$503)</f>
        <v>0</v>
      </c>
      <c r="E100" s="12">
        <f>SUMIF(Daily_Sales!$D$4:$D$503,B100,Daily_Sales!$H$4:$H$503)</f>
        <v>0</v>
      </c>
      <c r="F100" s="9" t="str">
        <f t="shared" si="4"/>
        <v/>
      </c>
      <c r="G100" s="12">
        <f>SUMIFS(Cash_Book!$G$4:$G$1008,Cash_Book!$C$4:$C$1008,"DUKANDAR",Cash_Book!$D$4:$D$1008,"RECEIPT",Cash_Book!$E$4:$E$1008,B100)</f>
        <v>0</v>
      </c>
      <c r="H100" s="15" t="str">
        <f t="shared" si="5"/>
        <v/>
      </c>
    </row>
    <row r="101" spans="1:8" x14ac:dyDescent="0.45">
      <c r="A101">
        <v>55</v>
      </c>
      <c r="B101" t="str" cm="1">
        <f t="array" ref="B101">IF(INDEX(Masters!$J:$J,ROW()-1)="","",INDEX(Masters!$J:$J,ROW()-1))</f>
        <v/>
      </c>
      <c r="C101" s="12" cm="1">
        <f t="array" ref="C101">IF(B101="",0,INDEX(Masters!$K:$K,ROW()-1))</f>
        <v>0</v>
      </c>
      <c r="D101" s="12">
        <f>SUMIF(Daily_Sales!$D$4:$D$503,B101,Daily_Sales!$G$4:$G$503)</f>
        <v>0</v>
      </c>
      <c r="E101" s="12">
        <f>SUMIF(Daily_Sales!$D$4:$D$503,B101,Daily_Sales!$H$4:$H$503)</f>
        <v>0</v>
      </c>
      <c r="F101" s="9" t="str">
        <f t="shared" si="4"/>
        <v/>
      </c>
      <c r="G101" s="12">
        <f>SUMIFS(Cash_Book!$G$4:$G$1008,Cash_Book!$C$4:$C$1008,"DUKANDAR",Cash_Book!$D$4:$D$1008,"RECEIPT",Cash_Book!$E$4:$E$1008,B101)</f>
        <v>0</v>
      </c>
      <c r="H101" s="15" t="str">
        <f t="shared" si="5"/>
        <v/>
      </c>
    </row>
    <row r="102" spans="1:8" x14ac:dyDescent="0.45">
      <c r="A102">
        <v>55</v>
      </c>
      <c r="B102" t="str" cm="1">
        <f t="array" ref="B102">IF(INDEX(Masters!$J:$J,ROW()-1)="","",INDEX(Masters!$J:$J,ROW()-1))</f>
        <v/>
      </c>
      <c r="C102" s="12" cm="1">
        <f t="array" ref="C102">IF(B102="",0,INDEX(Masters!$K:$K,ROW()-1))</f>
        <v>0</v>
      </c>
      <c r="D102" s="12">
        <f>SUMIF(Daily_Sales!$D$4:$D$503,B102,Daily_Sales!$G$4:$G$503)</f>
        <v>0</v>
      </c>
      <c r="E102" s="12">
        <f>SUMIF(Daily_Sales!$D$4:$D$503,B102,Daily_Sales!$H$4:$H$503)</f>
        <v>0</v>
      </c>
      <c r="F102" s="9" t="str">
        <f t="shared" si="4"/>
        <v/>
      </c>
      <c r="G102" s="12">
        <f>SUMIFS(Cash_Book!$G$4:$G$1008,Cash_Book!$C$4:$C$1008,"DUKANDAR",Cash_Book!$D$4:$D$1008,"RECEIPT",Cash_Book!$E$4:$E$1008,B102)</f>
        <v>0</v>
      </c>
      <c r="H102" s="15" t="str">
        <f t="shared" si="5"/>
        <v/>
      </c>
    </row>
    <row r="103" spans="1:8" x14ac:dyDescent="0.45">
      <c r="A103">
        <v>55</v>
      </c>
      <c r="B103" t="str" cm="1">
        <f t="array" ref="B103">IF(INDEX(Masters!$J:$J,ROW()-1)="","",INDEX(Masters!$J:$J,ROW()-1))</f>
        <v/>
      </c>
      <c r="C103" s="12" cm="1">
        <f t="array" ref="C103">IF(B103="",0,INDEX(Masters!$K:$K,ROW()-1))</f>
        <v>0</v>
      </c>
      <c r="D103" s="12">
        <f>SUMIF(Daily_Sales!$D$4:$D$503,B103,Daily_Sales!$G$4:$G$503)</f>
        <v>0</v>
      </c>
      <c r="E103" s="12">
        <f>SUMIF(Daily_Sales!$D$4:$D$503,B103,Daily_Sales!$H$4:$H$503)</f>
        <v>0</v>
      </c>
      <c r="F103" s="9" t="str">
        <f t="shared" si="4"/>
        <v/>
      </c>
      <c r="G103" s="12">
        <f>SUMIFS(Cash_Book!$G$4:$G$1008,Cash_Book!$C$4:$C$1008,"DUKANDAR",Cash_Book!$D$4:$D$1008,"RECEIPT",Cash_Book!$E$4:$E$1008,B103)</f>
        <v>0</v>
      </c>
      <c r="H103" s="15" t="str">
        <f t="shared" si="5"/>
        <v/>
      </c>
    </row>
    <row r="104" spans="1:8" x14ac:dyDescent="0.45">
      <c r="A104" s="3" t="s">
        <v>135</v>
      </c>
      <c r="B104" t="s">
        <v>144</v>
      </c>
      <c r="C104" s="15">
        <f t="shared" ref="C104:H104" si="6">SUM(C4:C103)</f>
        <v>4602621</v>
      </c>
      <c r="D104" s="15">
        <f t="shared" si="6"/>
        <v>4962000</v>
      </c>
      <c r="E104" s="15">
        <f t="shared" si="6"/>
        <v>29050</v>
      </c>
      <c r="F104" s="15">
        <f t="shared" si="6"/>
        <v>9535571</v>
      </c>
      <c r="G104" s="15">
        <f t="shared" si="6"/>
        <v>3098966</v>
      </c>
      <c r="H104" s="15">
        <f t="shared" si="6"/>
        <v>6436605</v>
      </c>
    </row>
    <row r="106" spans="1:8" x14ac:dyDescent="0.45">
      <c r="E106" s="16" t="s">
        <v>136</v>
      </c>
    </row>
    <row r="107" spans="1:8" x14ac:dyDescent="0.45">
      <c r="F107" t="s">
        <v>145</v>
      </c>
      <c r="H107" s="9">
        <f>SUMIF(H4:H103,"&gt;0",H4:H103)</f>
        <v>6444105</v>
      </c>
    </row>
    <row r="108" spans="1:8" x14ac:dyDescent="0.45">
      <c r="F108" t="s">
        <v>146</v>
      </c>
      <c r="H108" s="9">
        <f>-SUMIF(H4:H103,"&lt;0",H4:H103)</f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38"/>
  <sheetViews>
    <sheetView workbookViewId="0">
      <selection activeCell="F9" sqref="F9"/>
    </sheetView>
  </sheetViews>
  <sheetFormatPr defaultRowHeight="14.25" x14ac:dyDescent="0.45"/>
  <cols>
    <col min="1" max="1" width="4" customWidth="1"/>
    <col min="2" max="2" width="26" customWidth="1"/>
    <col min="3" max="3" width="10" customWidth="1"/>
    <col min="4" max="5" width="14" customWidth="1"/>
    <col min="6" max="6" width="18" customWidth="1"/>
    <col min="7" max="7" width="16" customWidth="1"/>
  </cols>
  <sheetData>
    <row r="1" spans="1:7" ht="18" x14ac:dyDescent="0.55000000000000004">
      <c r="A1" s="1" t="s">
        <v>147</v>
      </c>
    </row>
    <row r="3" spans="1:7" ht="28.5" x14ac:dyDescent="0.45">
      <c r="A3" s="17" t="s">
        <v>5</v>
      </c>
      <c r="B3" s="17" t="s">
        <v>13</v>
      </c>
      <c r="C3" s="17" t="s">
        <v>14</v>
      </c>
      <c r="D3" s="17" t="s">
        <v>9</v>
      </c>
      <c r="E3" s="17" t="s">
        <v>148</v>
      </c>
      <c r="F3" s="17" t="s">
        <v>149</v>
      </c>
      <c r="G3" s="17" t="s">
        <v>150</v>
      </c>
    </row>
    <row r="4" spans="1:7" x14ac:dyDescent="0.45">
      <c r="A4">
        <v>1</v>
      </c>
      <c r="B4" t="str">
        <f>IF(Masters!$P$3="","",Masters!$P$3)</f>
        <v>MHN CAPITAL</v>
      </c>
      <c r="C4" t="str">
        <f>IF(B4="","",Masters!$R$3)</f>
        <v>CAPITAL</v>
      </c>
      <c r="D4" s="12">
        <f>IF(B4="",0,Masters!$Q$3)</f>
        <v>4469981</v>
      </c>
      <c r="E4" s="12">
        <f>IF(B4="",0,SUMIFS(Cash_Book!$G$4:$G$1008,Cash_Book!$C$4:$C$1008,C4,Cash_Book!$D$4:$D$1008,"TAKEN",Cash_Book!$E$4:$E$1008,B4))</f>
        <v>0</v>
      </c>
      <c r="F4" s="12">
        <f>IF(B4="",0,SUMIFS(Cash_Book!$G$4:$G$1008,Cash_Book!$C$4:$C$1008,C4,Cash_Book!$D$4:$D$1008,"WITHDRAWN",Cash_Book!$E$4:$E$1008,B4)+SUMIFS(Cash_Book!$G$4:$G$1008,Cash_Book!$C$4:$C$1008,C4,Cash_Book!$D$4:$D$1008,"REPAID",Cash_Book!$E$4:$E$1008,B4))</f>
        <v>0</v>
      </c>
      <c r="G4" s="13">
        <f t="shared" ref="G4:G33" si="0">IF(B4="","",D4+E4-F4)</f>
        <v>4469981</v>
      </c>
    </row>
    <row r="5" spans="1:7" x14ac:dyDescent="0.45">
      <c r="A5">
        <v>2</v>
      </c>
      <c r="B5" t="str">
        <f>IF(Masters!$P$4="","",Masters!$P$4)</f>
        <v>SHAKIL GHODEGAON AMANAT</v>
      </c>
      <c r="C5" t="str">
        <f>IF(B5="","",Masters!$R$4)</f>
        <v>AMANAT</v>
      </c>
      <c r="D5" s="12">
        <f>IF(B5="",0,Masters!$Q$4)</f>
        <v>2000000</v>
      </c>
      <c r="E5" s="12">
        <f>IF(B5="",0,SUMIFS(Cash_Book!$G$4:$G$1008,Cash_Book!$C$4:$C$1008,C5,Cash_Book!$D$4:$D$1008,"TAKEN",Cash_Book!$E$4:$E$1008,B5))</f>
        <v>500000</v>
      </c>
      <c r="F5" s="12">
        <f>IF(B5="",0,SUMIFS(Cash_Book!$G$4:$G$1008,Cash_Book!$C$4:$C$1008,C5,Cash_Book!$D$4:$D$1008,"WITHDRAWN",Cash_Book!$E$4:$E$1008,B5)+SUMIFS(Cash_Book!$G$4:$G$1008,Cash_Book!$C$4:$C$1008,C5,Cash_Book!$D$4:$D$1008,"REPAID",Cash_Book!$E$4:$E$1008,B5))</f>
        <v>0</v>
      </c>
      <c r="G5" s="13">
        <f t="shared" si="0"/>
        <v>2500000</v>
      </c>
    </row>
    <row r="6" spans="1:7" x14ac:dyDescent="0.45">
      <c r="A6">
        <v>3</v>
      </c>
      <c r="B6" t="str">
        <f>IF(Masters!$P$5="","",Masters!$P$5)</f>
        <v>KMN</v>
      </c>
      <c r="C6" t="str">
        <f>IF(B6="","",Masters!$R$5)</f>
        <v>AMANAT</v>
      </c>
      <c r="D6" s="12">
        <f>IF(B6="",0,Masters!$Q$5)</f>
        <v>0</v>
      </c>
      <c r="E6" s="12">
        <f>IF(B6="",0,SUMIFS(Cash_Book!$G$4:$G$1008,Cash_Book!$C$4:$C$1008,C6,Cash_Book!$D$4:$D$1008,"TAKEN",Cash_Book!$E$4:$E$1008,B6))</f>
        <v>0</v>
      </c>
      <c r="F6" s="12">
        <f>IF(B6="",0,SUMIFS(Cash_Book!$G$4:$G$1008,Cash_Book!$C$4:$C$1008,C6,Cash_Book!$D$4:$D$1008,"WITHDRAWN",Cash_Book!$E$4:$E$1008,B6)+SUMIFS(Cash_Book!$G$4:$G$1008,Cash_Book!$C$4:$C$1008,C6,Cash_Book!$D$4:$D$1008,"REPAID",Cash_Book!$E$4:$E$1008,B6))</f>
        <v>0</v>
      </c>
      <c r="G6" s="13">
        <f t="shared" si="0"/>
        <v>0</v>
      </c>
    </row>
    <row r="7" spans="1:7" x14ac:dyDescent="0.45">
      <c r="A7">
        <v>4</v>
      </c>
      <c r="B7" t="str">
        <f>IF(Masters!$P$6="","",Masters!$P$6)</f>
        <v>AYAAN</v>
      </c>
      <c r="C7" t="str">
        <f>IF(B7="","",Masters!$R$6)</f>
        <v>AMANAT</v>
      </c>
      <c r="D7" s="12">
        <f>IF(B7="",0,Masters!$Q$6)</f>
        <v>0</v>
      </c>
      <c r="E7" s="12">
        <f>IF(B7="",0,SUMIFS(Cash_Book!$G$4:$G$1008,Cash_Book!$C$4:$C$1008,C7,Cash_Book!$D$4:$D$1008,"TAKEN",Cash_Book!$E$4:$E$1008,B7))</f>
        <v>0</v>
      </c>
      <c r="F7" s="12">
        <f>IF(B7="",0,SUMIFS(Cash_Book!$G$4:$G$1008,Cash_Book!$C$4:$C$1008,C7,Cash_Book!$D$4:$D$1008,"WITHDRAWN",Cash_Book!$E$4:$E$1008,B7)+SUMIFS(Cash_Book!$G$4:$G$1008,Cash_Book!$C$4:$C$1008,C7,Cash_Book!$D$4:$D$1008,"REPAID",Cash_Book!$E$4:$E$1008,B7))</f>
        <v>0</v>
      </c>
      <c r="G7" s="13">
        <f t="shared" si="0"/>
        <v>0</v>
      </c>
    </row>
    <row r="8" spans="1:7" x14ac:dyDescent="0.45">
      <c r="A8">
        <v>5</v>
      </c>
      <c r="B8" t="str">
        <f>IF(Masters!$P$7="","",Masters!$P$7)</f>
        <v>WAHIDA</v>
      </c>
      <c r="C8" t="str">
        <f>IF(B8="","",Masters!$R$7)</f>
        <v>AMANAT</v>
      </c>
      <c r="D8" s="12">
        <f>IF(B8="",0,Masters!$Q$7)</f>
        <v>0</v>
      </c>
      <c r="E8" s="12">
        <f>IF(B8="",0,SUMIFS(Cash_Book!$G$4:$G$1008,Cash_Book!$C$4:$C$1008,C8,Cash_Book!$D$4:$D$1008,"TAKEN",Cash_Book!$E$4:$E$1008,B8))</f>
        <v>5000</v>
      </c>
      <c r="F8" s="12">
        <f>IF(B8="",0,SUMIFS(Cash_Book!$G$4:$G$1008,Cash_Book!$C$4:$C$1008,C8,Cash_Book!$D$4:$D$1008,"WITHDRAWN",Cash_Book!$E$4:$E$1008,B8)+SUMIFS(Cash_Book!$G$4:$G$1008,Cash_Book!$C$4:$C$1008,C8,Cash_Book!$D$4:$D$1008,"REPAID",Cash_Book!$E$4:$E$1008,B8))</f>
        <v>5000</v>
      </c>
      <c r="G8" s="13">
        <f t="shared" si="0"/>
        <v>0</v>
      </c>
    </row>
    <row r="9" spans="1:7" x14ac:dyDescent="0.45">
      <c r="A9">
        <v>6</v>
      </c>
      <c r="B9" t="str">
        <f>IF(Masters!$P$8="","",Masters!$P$8)</f>
        <v>TILLA</v>
      </c>
      <c r="C9" t="str">
        <f>IF(B9="","",Masters!$R$8)</f>
        <v>AMANAT</v>
      </c>
      <c r="D9" s="12">
        <f>IF(B9="",0,Masters!$Q$8)</f>
        <v>0</v>
      </c>
      <c r="E9" s="12">
        <f>IF(B9="",0,SUMIFS(Cash_Book!$G$4:$G$1008,Cash_Book!$C$4:$C$1008,C9,Cash_Book!$D$4:$D$1008,"TAKEN",Cash_Book!$E$4:$E$1008,B9))</f>
        <v>100000</v>
      </c>
      <c r="F9" s="12">
        <f>IF(B9="",0,SUMIFS(Cash_Book!$G$4:$G$1008,Cash_Book!$C$4:$C$1008,C9,Cash_Book!$D$4:$D$1008,"WITHDRAWN",Cash_Book!$E$4:$E$1008,B9)+SUMIFS(Cash_Book!$G$4:$G$1008,Cash_Book!$C$4:$C$1008,C9,Cash_Book!$D$4:$D$1008,"REPAID",Cash_Book!$E$4:$E$1008,B9))</f>
        <v>100000</v>
      </c>
      <c r="G9" s="13">
        <f t="shared" si="0"/>
        <v>0</v>
      </c>
    </row>
    <row r="10" spans="1:7" x14ac:dyDescent="0.45">
      <c r="A10">
        <v>7</v>
      </c>
      <c r="B10" t="str">
        <f>IF(Masters!$P$9="","",Masters!$P$9)</f>
        <v/>
      </c>
      <c r="C10" t="str">
        <f>IF(B10="","",Masters!$R$9)</f>
        <v/>
      </c>
      <c r="D10" s="12">
        <f>IF(B10="",0,Masters!$Q$9)</f>
        <v>0</v>
      </c>
      <c r="E10" s="12">
        <f>IF(B10="",0,SUMIFS(Cash_Book!$G$4:$G$1008,Cash_Book!$C$4:$C$1008,C10,Cash_Book!$D$4:$D$1008,"TAKEN",Cash_Book!$E$4:$E$1008,B10))</f>
        <v>0</v>
      </c>
      <c r="F10" s="12">
        <f>IF(B10="",0,SUMIFS(Cash_Book!$G$4:$G$1008,Cash_Book!$C$4:$C$1008,C10,Cash_Book!$D$4:$D$1008,"WITHDRAWN",Cash_Book!$E$4:$E$1008,B10)+SUMIFS(Cash_Book!$G$4:$G$1008,Cash_Book!$C$4:$C$1008,C10,Cash_Book!$D$4:$D$1008,"REPAID",Cash_Book!$E$4:$E$1008,B10))</f>
        <v>0</v>
      </c>
      <c r="G10" s="13" t="str">
        <f t="shared" si="0"/>
        <v/>
      </c>
    </row>
    <row r="11" spans="1:7" x14ac:dyDescent="0.45">
      <c r="A11">
        <v>8</v>
      </c>
      <c r="B11" t="str">
        <f>IF(Masters!$P$10="","",Masters!$P$10)</f>
        <v/>
      </c>
      <c r="C11" t="str">
        <f>IF(B11="","",Masters!$R$10)</f>
        <v/>
      </c>
      <c r="D11" s="12">
        <f>IF(B11="",0,Masters!$Q$10)</f>
        <v>0</v>
      </c>
      <c r="E11" s="12">
        <f>IF(B11="",0,SUMIFS(Cash_Book!$G$4:$G$1008,Cash_Book!$C$4:$C$1008,C11,Cash_Book!$D$4:$D$1008,"TAKEN",Cash_Book!$E$4:$E$1008,B11))</f>
        <v>0</v>
      </c>
      <c r="F11" s="12">
        <f>IF(B11="",0,SUMIFS(Cash_Book!$G$4:$G$1008,Cash_Book!$C$4:$C$1008,C11,Cash_Book!$D$4:$D$1008,"WITHDRAWN",Cash_Book!$E$4:$E$1008,B11)+SUMIFS(Cash_Book!$G$4:$G$1008,Cash_Book!$C$4:$C$1008,C11,Cash_Book!$D$4:$D$1008,"REPAID",Cash_Book!$E$4:$E$1008,B11))</f>
        <v>0</v>
      </c>
      <c r="G11" s="13" t="str">
        <f t="shared" si="0"/>
        <v/>
      </c>
    </row>
    <row r="12" spans="1:7" x14ac:dyDescent="0.45">
      <c r="A12">
        <v>9</v>
      </c>
      <c r="B12" t="str">
        <f>IF(Masters!$P$11="","",Masters!$P$11)</f>
        <v/>
      </c>
      <c r="C12" t="str">
        <f>IF(B12="","",Masters!$R$11)</f>
        <v/>
      </c>
      <c r="D12" s="12">
        <f>IF(B12="",0,Masters!$Q$11)</f>
        <v>0</v>
      </c>
      <c r="E12" s="12">
        <f>IF(B12="",0,SUMIFS(Cash_Book!$G$4:$G$1008,Cash_Book!$C$4:$C$1008,C12,Cash_Book!$D$4:$D$1008,"TAKEN",Cash_Book!$E$4:$E$1008,B12))</f>
        <v>0</v>
      </c>
      <c r="F12" s="12">
        <f>IF(B12="",0,SUMIFS(Cash_Book!$G$4:$G$1008,Cash_Book!$C$4:$C$1008,C12,Cash_Book!$D$4:$D$1008,"WITHDRAWN",Cash_Book!$E$4:$E$1008,B12)+SUMIFS(Cash_Book!$G$4:$G$1008,Cash_Book!$C$4:$C$1008,C12,Cash_Book!$D$4:$D$1008,"REPAID",Cash_Book!$E$4:$E$1008,B12))</f>
        <v>0</v>
      </c>
      <c r="G12" s="13" t="str">
        <f t="shared" si="0"/>
        <v/>
      </c>
    </row>
    <row r="13" spans="1:7" x14ac:dyDescent="0.45">
      <c r="A13">
        <v>10</v>
      </c>
      <c r="B13" t="str">
        <f>IF(Masters!$P$12="","",Masters!$P$12)</f>
        <v/>
      </c>
      <c r="C13" t="str">
        <f>IF(B13="","",Masters!$R$12)</f>
        <v/>
      </c>
      <c r="D13" s="12">
        <f>IF(B13="",0,Masters!$Q$12)</f>
        <v>0</v>
      </c>
      <c r="E13" s="12">
        <f>IF(B13="",0,SUMIFS(Cash_Book!$G$4:$G$1008,Cash_Book!$C$4:$C$1008,C13,Cash_Book!$D$4:$D$1008,"TAKEN",Cash_Book!$E$4:$E$1008,B13))</f>
        <v>0</v>
      </c>
      <c r="F13" s="12">
        <f>IF(B13="",0,SUMIFS(Cash_Book!$G$4:$G$1008,Cash_Book!$C$4:$C$1008,C13,Cash_Book!$D$4:$D$1008,"WITHDRAWN",Cash_Book!$E$4:$E$1008,B13)+SUMIFS(Cash_Book!$G$4:$G$1008,Cash_Book!$C$4:$C$1008,C13,Cash_Book!$D$4:$D$1008,"REPAID",Cash_Book!$E$4:$E$1008,B13))</f>
        <v>0</v>
      </c>
      <c r="G13" s="13" t="str">
        <f t="shared" si="0"/>
        <v/>
      </c>
    </row>
    <row r="14" spans="1:7" x14ac:dyDescent="0.45">
      <c r="A14">
        <v>11</v>
      </c>
      <c r="B14" t="str">
        <f>IF(Masters!$P$13="","",Masters!$P$13)</f>
        <v/>
      </c>
      <c r="C14" t="str">
        <f>IF(B14="","",Masters!$R$13)</f>
        <v/>
      </c>
      <c r="D14" s="12">
        <f>IF(B14="",0,Masters!$Q$13)</f>
        <v>0</v>
      </c>
      <c r="E14" s="12">
        <f>IF(B14="",0,SUMIFS(Cash_Book!$G$4:$G$1008,Cash_Book!$C$4:$C$1008,C14,Cash_Book!$D$4:$D$1008,"TAKEN",Cash_Book!$E$4:$E$1008,B14))</f>
        <v>0</v>
      </c>
      <c r="F14" s="12">
        <f>IF(B14="",0,SUMIFS(Cash_Book!$G$4:$G$1008,Cash_Book!$C$4:$C$1008,C14,Cash_Book!$D$4:$D$1008,"WITHDRAWN",Cash_Book!$E$4:$E$1008,B14)+SUMIFS(Cash_Book!$G$4:$G$1008,Cash_Book!$C$4:$C$1008,C14,Cash_Book!$D$4:$D$1008,"REPAID",Cash_Book!$E$4:$E$1008,B14))</f>
        <v>0</v>
      </c>
      <c r="G14" s="13" t="str">
        <f t="shared" si="0"/>
        <v/>
      </c>
    </row>
    <row r="15" spans="1:7" x14ac:dyDescent="0.45">
      <c r="A15">
        <v>12</v>
      </c>
      <c r="B15" t="str">
        <f>IF(Masters!$P$14="","",Masters!$P$14)</f>
        <v/>
      </c>
      <c r="C15" t="str">
        <f>IF(B15="","",Masters!$R$14)</f>
        <v/>
      </c>
      <c r="D15" s="12">
        <f>IF(B15="",0,Masters!$Q$14)</f>
        <v>0</v>
      </c>
      <c r="E15" s="12">
        <f>IF(B15="",0,SUMIFS(Cash_Book!$G$4:$G$1008,Cash_Book!$C$4:$C$1008,C15,Cash_Book!$D$4:$D$1008,"TAKEN",Cash_Book!$E$4:$E$1008,B15))</f>
        <v>0</v>
      </c>
      <c r="F15" s="12">
        <f>IF(B15="",0,SUMIFS(Cash_Book!$G$4:$G$1008,Cash_Book!$C$4:$C$1008,C15,Cash_Book!$D$4:$D$1008,"WITHDRAWN",Cash_Book!$E$4:$E$1008,B15)+SUMIFS(Cash_Book!$G$4:$G$1008,Cash_Book!$C$4:$C$1008,C15,Cash_Book!$D$4:$D$1008,"REPAID",Cash_Book!$E$4:$E$1008,B15))</f>
        <v>0</v>
      </c>
      <c r="G15" s="13" t="str">
        <f t="shared" si="0"/>
        <v/>
      </c>
    </row>
    <row r="16" spans="1:7" x14ac:dyDescent="0.45">
      <c r="A16">
        <v>13</v>
      </c>
      <c r="B16" t="str">
        <f>IF(Masters!$P$15="","",Masters!$P$15)</f>
        <v/>
      </c>
      <c r="C16" t="str">
        <f>IF(B16="","",Masters!$R$15)</f>
        <v/>
      </c>
      <c r="D16" s="12">
        <f>IF(B16="",0,Masters!$Q$15)</f>
        <v>0</v>
      </c>
      <c r="E16" s="12">
        <f>IF(B16="",0,SUMIFS(Cash_Book!$G$4:$G$1008,Cash_Book!$C$4:$C$1008,C16,Cash_Book!$D$4:$D$1008,"TAKEN",Cash_Book!$E$4:$E$1008,B16))</f>
        <v>0</v>
      </c>
      <c r="F16" s="12">
        <f>IF(B16="",0,SUMIFS(Cash_Book!$G$4:$G$1008,Cash_Book!$C$4:$C$1008,C16,Cash_Book!$D$4:$D$1008,"WITHDRAWN",Cash_Book!$E$4:$E$1008,B16)+SUMIFS(Cash_Book!$G$4:$G$1008,Cash_Book!$C$4:$C$1008,C16,Cash_Book!$D$4:$D$1008,"REPAID",Cash_Book!$E$4:$E$1008,B16))</f>
        <v>0</v>
      </c>
      <c r="G16" s="13" t="str">
        <f t="shared" si="0"/>
        <v/>
      </c>
    </row>
    <row r="17" spans="1:7" x14ac:dyDescent="0.45">
      <c r="A17">
        <v>14</v>
      </c>
      <c r="B17" t="str">
        <f>IF(Masters!$P$16="","",Masters!$P$16)</f>
        <v/>
      </c>
      <c r="C17" t="str">
        <f>IF(B17="","",Masters!$R$16)</f>
        <v/>
      </c>
      <c r="D17" s="12">
        <f>IF(B17="",0,Masters!$Q$16)</f>
        <v>0</v>
      </c>
      <c r="E17" s="12">
        <f>IF(B17="",0,SUMIFS(Cash_Book!$G$4:$G$1008,Cash_Book!$C$4:$C$1008,C17,Cash_Book!$D$4:$D$1008,"TAKEN",Cash_Book!$E$4:$E$1008,B17))</f>
        <v>0</v>
      </c>
      <c r="F17" s="12">
        <f>IF(B17="",0,SUMIFS(Cash_Book!$G$4:$G$1008,Cash_Book!$C$4:$C$1008,C17,Cash_Book!$D$4:$D$1008,"WITHDRAWN",Cash_Book!$E$4:$E$1008,B17)+SUMIFS(Cash_Book!$G$4:$G$1008,Cash_Book!$C$4:$C$1008,C17,Cash_Book!$D$4:$D$1008,"REPAID",Cash_Book!$E$4:$E$1008,B17))</f>
        <v>0</v>
      </c>
      <c r="G17" s="13" t="str">
        <f t="shared" si="0"/>
        <v/>
      </c>
    </row>
    <row r="18" spans="1:7" x14ac:dyDescent="0.45">
      <c r="A18">
        <v>15</v>
      </c>
      <c r="B18" t="str">
        <f>IF(Masters!$P$17="","",Masters!$P$17)</f>
        <v/>
      </c>
      <c r="C18" t="str">
        <f>IF(B18="","",Masters!$R$17)</f>
        <v/>
      </c>
      <c r="D18" s="12">
        <f>IF(B18="",0,Masters!$Q$17)</f>
        <v>0</v>
      </c>
      <c r="E18" s="12">
        <f>IF(B18="",0,SUMIFS(Cash_Book!$G$4:$G$1008,Cash_Book!$C$4:$C$1008,C18,Cash_Book!$D$4:$D$1008,"TAKEN",Cash_Book!$E$4:$E$1008,B18))</f>
        <v>0</v>
      </c>
      <c r="F18" s="12">
        <f>IF(B18="",0,SUMIFS(Cash_Book!$G$4:$G$1008,Cash_Book!$C$4:$C$1008,C18,Cash_Book!$D$4:$D$1008,"WITHDRAWN",Cash_Book!$E$4:$E$1008,B18)+SUMIFS(Cash_Book!$G$4:$G$1008,Cash_Book!$C$4:$C$1008,C18,Cash_Book!$D$4:$D$1008,"REPAID",Cash_Book!$E$4:$E$1008,B18))</f>
        <v>0</v>
      </c>
      <c r="G18" s="13" t="str">
        <f t="shared" si="0"/>
        <v/>
      </c>
    </row>
    <row r="19" spans="1:7" x14ac:dyDescent="0.45">
      <c r="A19">
        <v>16</v>
      </c>
      <c r="B19" t="str">
        <f>IF(Masters!$P$18="","",Masters!$P$18)</f>
        <v/>
      </c>
      <c r="C19" t="str">
        <f>IF(B19="","",Masters!$R$18)</f>
        <v/>
      </c>
      <c r="D19" s="12">
        <f>IF(B19="",0,Masters!$Q$18)</f>
        <v>0</v>
      </c>
      <c r="E19" s="12">
        <f>IF(B19="",0,SUMIFS(Cash_Book!$G$4:$G$1008,Cash_Book!$C$4:$C$1008,C19,Cash_Book!$D$4:$D$1008,"TAKEN",Cash_Book!$E$4:$E$1008,B19))</f>
        <v>0</v>
      </c>
      <c r="F19" s="12">
        <f>IF(B19="",0,SUMIFS(Cash_Book!$G$4:$G$1008,Cash_Book!$C$4:$C$1008,C19,Cash_Book!$D$4:$D$1008,"WITHDRAWN",Cash_Book!$E$4:$E$1008,B19)+SUMIFS(Cash_Book!$G$4:$G$1008,Cash_Book!$C$4:$C$1008,C19,Cash_Book!$D$4:$D$1008,"REPAID",Cash_Book!$E$4:$E$1008,B19))</f>
        <v>0</v>
      </c>
      <c r="G19" s="13" t="str">
        <f t="shared" si="0"/>
        <v/>
      </c>
    </row>
    <row r="20" spans="1:7" x14ac:dyDescent="0.45">
      <c r="A20">
        <v>17</v>
      </c>
      <c r="B20" t="str">
        <f>IF(Masters!$P$19="","",Masters!$P$19)</f>
        <v/>
      </c>
      <c r="C20" t="str">
        <f>IF(B20="","",Masters!$R$19)</f>
        <v/>
      </c>
      <c r="D20" s="12">
        <f>IF(B20="",0,Masters!$Q$19)</f>
        <v>0</v>
      </c>
      <c r="E20" s="12">
        <f>IF(B20="",0,SUMIFS(Cash_Book!$G$4:$G$1008,Cash_Book!$C$4:$C$1008,C20,Cash_Book!$D$4:$D$1008,"TAKEN",Cash_Book!$E$4:$E$1008,B20))</f>
        <v>0</v>
      </c>
      <c r="F20" s="12">
        <f>IF(B20="",0,SUMIFS(Cash_Book!$G$4:$G$1008,Cash_Book!$C$4:$C$1008,C20,Cash_Book!$D$4:$D$1008,"WITHDRAWN",Cash_Book!$E$4:$E$1008,B20)+SUMIFS(Cash_Book!$G$4:$G$1008,Cash_Book!$C$4:$C$1008,C20,Cash_Book!$D$4:$D$1008,"REPAID",Cash_Book!$E$4:$E$1008,B20))</f>
        <v>0</v>
      </c>
      <c r="G20" s="13" t="str">
        <f t="shared" si="0"/>
        <v/>
      </c>
    </row>
    <row r="21" spans="1:7" x14ac:dyDescent="0.45">
      <c r="A21">
        <v>18</v>
      </c>
      <c r="B21" t="str">
        <f>IF(Masters!$P$20="","",Masters!$P$20)</f>
        <v/>
      </c>
      <c r="C21" t="str">
        <f>IF(B21="","",Masters!$R$20)</f>
        <v/>
      </c>
      <c r="D21" s="12">
        <f>IF(B21="",0,Masters!$Q$20)</f>
        <v>0</v>
      </c>
      <c r="E21" s="12">
        <f>IF(B21="",0,SUMIFS(Cash_Book!$G$4:$G$1008,Cash_Book!$C$4:$C$1008,C21,Cash_Book!$D$4:$D$1008,"TAKEN",Cash_Book!$E$4:$E$1008,B21))</f>
        <v>0</v>
      </c>
      <c r="F21" s="12">
        <f>IF(B21="",0,SUMIFS(Cash_Book!$G$4:$G$1008,Cash_Book!$C$4:$C$1008,C21,Cash_Book!$D$4:$D$1008,"WITHDRAWN",Cash_Book!$E$4:$E$1008,B21)+SUMIFS(Cash_Book!$G$4:$G$1008,Cash_Book!$C$4:$C$1008,C21,Cash_Book!$D$4:$D$1008,"REPAID",Cash_Book!$E$4:$E$1008,B21))</f>
        <v>0</v>
      </c>
      <c r="G21" s="13" t="str">
        <f t="shared" si="0"/>
        <v/>
      </c>
    </row>
    <row r="22" spans="1:7" x14ac:dyDescent="0.45">
      <c r="A22">
        <v>19</v>
      </c>
      <c r="B22" t="str">
        <f>IF(Masters!$P$21="","",Masters!$P$21)</f>
        <v/>
      </c>
      <c r="C22" t="str">
        <f>IF(B22="","",Masters!$R$21)</f>
        <v/>
      </c>
      <c r="D22" s="12">
        <f>IF(B22="",0,Masters!$Q$21)</f>
        <v>0</v>
      </c>
      <c r="E22" s="12">
        <f>IF(B22="",0,SUMIFS(Cash_Book!$G$4:$G$1008,Cash_Book!$C$4:$C$1008,C22,Cash_Book!$D$4:$D$1008,"TAKEN",Cash_Book!$E$4:$E$1008,B22))</f>
        <v>0</v>
      </c>
      <c r="F22" s="12">
        <f>IF(B22="",0,SUMIFS(Cash_Book!$G$4:$G$1008,Cash_Book!$C$4:$C$1008,C22,Cash_Book!$D$4:$D$1008,"WITHDRAWN",Cash_Book!$E$4:$E$1008,B22)+SUMIFS(Cash_Book!$G$4:$G$1008,Cash_Book!$C$4:$C$1008,C22,Cash_Book!$D$4:$D$1008,"REPAID",Cash_Book!$E$4:$E$1008,B22))</f>
        <v>0</v>
      </c>
      <c r="G22" s="13" t="str">
        <f t="shared" si="0"/>
        <v/>
      </c>
    </row>
    <row r="23" spans="1:7" x14ac:dyDescent="0.45">
      <c r="A23">
        <v>20</v>
      </c>
      <c r="B23" t="str">
        <f>IF(Masters!$P$22="","",Masters!$P$22)</f>
        <v/>
      </c>
      <c r="C23" t="str">
        <f>IF(B23="","",Masters!$R$22)</f>
        <v/>
      </c>
      <c r="D23" s="12">
        <f>IF(B23="",0,Masters!$Q$22)</f>
        <v>0</v>
      </c>
      <c r="E23" s="12">
        <f>IF(B23="",0,SUMIFS(Cash_Book!$G$4:$G$1008,Cash_Book!$C$4:$C$1008,C23,Cash_Book!$D$4:$D$1008,"TAKEN",Cash_Book!$E$4:$E$1008,B23))</f>
        <v>0</v>
      </c>
      <c r="F23" s="12">
        <f>IF(B23="",0,SUMIFS(Cash_Book!$G$4:$G$1008,Cash_Book!$C$4:$C$1008,C23,Cash_Book!$D$4:$D$1008,"WITHDRAWN",Cash_Book!$E$4:$E$1008,B23)+SUMIFS(Cash_Book!$G$4:$G$1008,Cash_Book!$C$4:$C$1008,C23,Cash_Book!$D$4:$D$1008,"REPAID",Cash_Book!$E$4:$E$1008,B23))</f>
        <v>0</v>
      </c>
      <c r="G23" s="13" t="str">
        <f t="shared" si="0"/>
        <v/>
      </c>
    </row>
    <row r="24" spans="1:7" x14ac:dyDescent="0.45">
      <c r="A24">
        <v>21</v>
      </c>
      <c r="B24" t="str">
        <f>IF(Masters!$P$23="","",Masters!$P$23)</f>
        <v/>
      </c>
      <c r="C24" t="str">
        <f>IF(B24="","",Masters!$R$23)</f>
        <v/>
      </c>
      <c r="D24" s="12">
        <f>IF(B24="",0,Masters!$Q$23)</f>
        <v>0</v>
      </c>
      <c r="E24" s="12">
        <f>IF(B24="",0,SUMIFS(Cash_Book!$G$4:$G$1008,Cash_Book!$C$4:$C$1008,C24,Cash_Book!$D$4:$D$1008,"TAKEN",Cash_Book!$E$4:$E$1008,B24))</f>
        <v>0</v>
      </c>
      <c r="F24" s="12">
        <f>IF(B24="",0,SUMIFS(Cash_Book!$G$4:$G$1008,Cash_Book!$C$4:$C$1008,C24,Cash_Book!$D$4:$D$1008,"WITHDRAWN",Cash_Book!$E$4:$E$1008,B24)+SUMIFS(Cash_Book!$G$4:$G$1008,Cash_Book!$C$4:$C$1008,C24,Cash_Book!$D$4:$D$1008,"REPAID",Cash_Book!$E$4:$E$1008,B24))</f>
        <v>0</v>
      </c>
      <c r="G24" s="13" t="str">
        <f t="shared" si="0"/>
        <v/>
      </c>
    </row>
    <row r="25" spans="1:7" x14ac:dyDescent="0.45">
      <c r="A25">
        <v>22</v>
      </c>
      <c r="B25" t="str">
        <f>IF(Masters!$P$24="","",Masters!$P$24)</f>
        <v/>
      </c>
      <c r="C25" t="str">
        <f>IF(B25="","",Masters!$R$24)</f>
        <v/>
      </c>
      <c r="D25" s="12">
        <f>IF(B25="",0,Masters!$Q$24)</f>
        <v>0</v>
      </c>
      <c r="E25" s="12">
        <f>IF(B25="",0,SUMIFS(Cash_Book!$G$4:$G$1008,Cash_Book!$C$4:$C$1008,C25,Cash_Book!$D$4:$D$1008,"TAKEN",Cash_Book!$E$4:$E$1008,B25))</f>
        <v>0</v>
      </c>
      <c r="F25" s="12">
        <f>IF(B25="",0,SUMIFS(Cash_Book!$G$4:$G$1008,Cash_Book!$C$4:$C$1008,C25,Cash_Book!$D$4:$D$1008,"WITHDRAWN",Cash_Book!$E$4:$E$1008,B25)+SUMIFS(Cash_Book!$G$4:$G$1008,Cash_Book!$C$4:$C$1008,C25,Cash_Book!$D$4:$D$1008,"REPAID",Cash_Book!$E$4:$E$1008,B25))</f>
        <v>0</v>
      </c>
      <c r="G25" s="13" t="str">
        <f t="shared" si="0"/>
        <v/>
      </c>
    </row>
    <row r="26" spans="1:7" x14ac:dyDescent="0.45">
      <c r="A26">
        <v>23</v>
      </c>
      <c r="B26" t="str">
        <f>IF(Masters!$P$25="","",Masters!$P$25)</f>
        <v/>
      </c>
      <c r="C26" t="str">
        <f>IF(B26="","",Masters!$R$25)</f>
        <v/>
      </c>
      <c r="D26" s="12">
        <f>IF(B26="",0,Masters!$Q$25)</f>
        <v>0</v>
      </c>
      <c r="E26" s="12">
        <f>IF(B26="",0,SUMIFS(Cash_Book!$G$4:$G$1008,Cash_Book!$C$4:$C$1008,C26,Cash_Book!$D$4:$D$1008,"TAKEN",Cash_Book!$E$4:$E$1008,B26))</f>
        <v>0</v>
      </c>
      <c r="F26" s="12">
        <f>IF(B26="",0,SUMIFS(Cash_Book!$G$4:$G$1008,Cash_Book!$C$4:$C$1008,C26,Cash_Book!$D$4:$D$1008,"WITHDRAWN",Cash_Book!$E$4:$E$1008,B26)+SUMIFS(Cash_Book!$G$4:$G$1008,Cash_Book!$C$4:$C$1008,C26,Cash_Book!$D$4:$D$1008,"REPAID",Cash_Book!$E$4:$E$1008,B26))</f>
        <v>0</v>
      </c>
      <c r="G26" s="13" t="str">
        <f t="shared" si="0"/>
        <v/>
      </c>
    </row>
    <row r="27" spans="1:7" x14ac:dyDescent="0.45">
      <c r="A27">
        <v>24</v>
      </c>
      <c r="B27" t="str">
        <f>IF(Masters!$P$26="","",Masters!$P$26)</f>
        <v/>
      </c>
      <c r="C27" t="str">
        <f>IF(B27="","",Masters!$R$26)</f>
        <v/>
      </c>
      <c r="D27" s="12">
        <f>IF(B27="",0,Masters!$Q$26)</f>
        <v>0</v>
      </c>
      <c r="E27" s="12">
        <f>IF(B27="",0,SUMIFS(Cash_Book!$G$4:$G$1008,Cash_Book!$C$4:$C$1008,C27,Cash_Book!$D$4:$D$1008,"TAKEN",Cash_Book!$E$4:$E$1008,B27))</f>
        <v>0</v>
      </c>
      <c r="F27" s="12">
        <f>IF(B27="",0,SUMIFS(Cash_Book!$G$4:$G$1008,Cash_Book!$C$4:$C$1008,C27,Cash_Book!$D$4:$D$1008,"WITHDRAWN",Cash_Book!$E$4:$E$1008,B27)+SUMIFS(Cash_Book!$G$4:$G$1008,Cash_Book!$C$4:$C$1008,C27,Cash_Book!$D$4:$D$1008,"REPAID",Cash_Book!$E$4:$E$1008,B27))</f>
        <v>0</v>
      </c>
      <c r="G27" s="13" t="str">
        <f t="shared" si="0"/>
        <v/>
      </c>
    </row>
    <row r="28" spans="1:7" x14ac:dyDescent="0.45">
      <c r="A28">
        <v>25</v>
      </c>
      <c r="B28" t="str">
        <f>IF(Masters!$P$27="","",Masters!$P$27)</f>
        <v/>
      </c>
      <c r="C28" t="str">
        <f>IF(B28="","",Masters!$R$27)</f>
        <v/>
      </c>
      <c r="D28" s="12">
        <f>IF(B28="",0,Masters!$Q$27)</f>
        <v>0</v>
      </c>
      <c r="E28" s="12">
        <f>IF(B28="",0,SUMIFS(Cash_Book!$G$4:$G$1008,Cash_Book!$C$4:$C$1008,C28,Cash_Book!$D$4:$D$1008,"TAKEN",Cash_Book!$E$4:$E$1008,B28))</f>
        <v>0</v>
      </c>
      <c r="F28" s="12">
        <f>IF(B28="",0,SUMIFS(Cash_Book!$G$4:$G$1008,Cash_Book!$C$4:$C$1008,C28,Cash_Book!$D$4:$D$1008,"WITHDRAWN",Cash_Book!$E$4:$E$1008,B28)+SUMIFS(Cash_Book!$G$4:$G$1008,Cash_Book!$C$4:$C$1008,C28,Cash_Book!$D$4:$D$1008,"REPAID",Cash_Book!$E$4:$E$1008,B28))</f>
        <v>0</v>
      </c>
      <c r="G28" s="13" t="str">
        <f t="shared" si="0"/>
        <v/>
      </c>
    </row>
    <row r="29" spans="1:7" x14ac:dyDescent="0.45">
      <c r="A29">
        <v>26</v>
      </c>
      <c r="B29" t="str">
        <f>IF(Masters!$P$28="","",Masters!$P$28)</f>
        <v/>
      </c>
      <c r="C29" t="str">
        <f>IF(B29="","",Masters!$R$28)</f>
        <v/>
      </c>
      <c r="D29" s="12">
        <f>IF(B29="",0,Masters!$Q$28)</f>
        <v>0</v>
      </c>
      <c r="E29" s="12">
        <f>IF(B29="",0,SUMIFS(Cash_Book!$G$4:$G$1008,Cash_Book!$C$4:$C$1008,C29,Cash_Book!$D$4:$D$1008,"TAKEN",Cash_Book!$E$4:$E$1008,B29))</f>
        <v>0</v>
      </c>
      <c r="F29" s="12">
        <f>IF(B29="",0,SUMIFS(Cash_Book!$G$4:$G$1008,Cash_Book!$C$4:$C$1008,C29,Cash_Book!$D$4:$D$1008,"WITHDRAWN",Cash_Book!$E$4:$E$1008,B29)+SUMIFS(Cash_Book!$G$4:$G$1008,Cash_Book!$C$4:$C$1008,C29,Cash_Book!$D$4:$D$1008,"REPAID",Cash_Book!$E$4:$E$1008,B29))</f>
        <v>0</v>
      </c>
      <c r="G29" s="13" t="str">
        <f t="shared" si="0"/>
        <v/>
      </c>
    </row>
    <row r="30" spans="1:7" x14ac:dyDescent="0.45">
      <c r="A30">
        <v>27</v>
      </c>
      <c r="B30" t="str">
        <f>IF(Masters!$P$29="","",Masters!$P$29)</f>
        <v/>
      </c>
      <c r="C30" t="str">
        <f>IF(B30="","",Masters!$R$29)</f>
        <v/>
      </c>
      <c r="D30" s="12">
        <f>IF(B30="",0,Masters!$Q$29)</f>
        <v>0</v>
      </c>
      <c r="E30" s="12">
        <f>IF(B30="",0,SUMIFS(Cash_Book!$G$4:$G$1008,Cash_Book!$C$4:$C$1008,C30,Cash_Book!$D$4:$D$1008,"TAKEN",Cash_Book!$E$4:$E$1008,B30))</f>
        <v>0</v>
      </c>
      <c r="F30" s="12">
        <f>IF(B30="",0,SUMIFS(Cash_Book!$G$4:$G$1008,Cash_Book!$C$4:$C$1008,C30,Cash_Book!$D$4:$D$1008,"WITHDRAWN",Cash_Book!$E$4:$E$1008,B30)+SUMIFS(Cash_Book!$G$4:$G$1008,Cash_Book!$C$4:$C$1008,C30,Cash_Book!$D$4:$D$1008,"REPAID",Cash_Book!$E$4:$E$1008,B30))</f>
        <v>0</v>
      </c>
      <c r="G30" s="13" t="str">
        <f t="shared" si="0"/>
        <v/>
      </c>
    </row>
    <row r="31" spans="1:7" x14ac:dyDescent="0.45">
      <c r="A31">
        <v>28</v>
      </c>
      <c r="B31" t="str">
        <f>IF(Masters!$P$30="","",Masters!$P$30)</f>
        <v/>
      </c>
      <c r="C31" t="str">
        <f>IF(B31="","",Masters!$R$30)</f>
        <v/>
      </c>
      <c r="D31" s="12">
        <f>IF(B31="",0,Masters!$Q$30)</f>
        <v>0</v>
      </c>
      <c r="E31" s="12">
        <f>IF(B31="",0,SUMIFS(Cash_Book!$G$4:$G$1008,Cash_Book!$C$4:$C$1008,C31,Cash_Book!$D$4:$D$1008,"TAKEN",Cash_Book!$E$4:$E$1008,B31))</f>
        <v>0</v>
      </c>
      <c r="F31" s="12">
        <f>IF(B31="",0,SUMIFS(Cash_Book!$G$4:$G$1008,Cash_Book!$C$4:$C$1008,C31,Cash_Book!$D$4:$D$1008,"WITHDRAWN",Cash_Book!$E$4:$E$1008,B31)+SUMIFS(Cash_Book!$G$4:$G$1008,Cash_Book!$C$4:$C$1008,C31,Cash_Book!$D$4:$D$1008,"REPAID",Cash_Book!$E$4:$E$1008,B31))</f>
        <v>0</v>
      </c>
      <c r="G31" s="13" t="str">
        <f t="shared" si="0"/>
        <v/>
      </c>
    </row>
    <row r="32" spans="1:7" x14ac:dyDescent="0.45">
      <c r="A32">
        <v>29</v>
      </c>
      <c r="B32" t="str">
        <f>IF(Masters!$P$31="","",Masters!$P$31)</f>
        <v/>
      </c>
      <c r="C32" t="str">
        <f>IF(B32="","",Masters!$R$31)</f>
        <v/>
      </c>
      <c r="D32" s="12">
        <f>IF(B32="",0,Masters!$Q$31)</f>
        <v>0</v>
      </c>
      <c r="E32" s="12">
        <f>IF(B32="",0,SUMIFS(Cash_Book!$G$4:$G$1008,Cash_Book!$C$4:$C$1008,C32,Cash_Book!$D$4:$D$1008,"TAKEN",Cash_Book!$E$4:$E$1008,B32))</f>
        <v>0</v>
      </c>
      <c r="F32" s="12">
        <f>IF(B32="",0,SUMIFS(Cash_Book!$G$4:$G$1008,Cash_Book!$C$4:$C$1008,C32,Cash_Book!$D$4:$D$1008,"WITHDRAWN",Cash_Book!$E$4:$E$1008,B32)+SUMIFS(Cash_Book!$G$4:$G$1008,Cash_Book!$C$4:$C$1008,C32,Cash_Book!$D$4:$D$1008,"REPAID",Cash_Book!$E$4:$E$1008,B32))</f>
        <v>0</v>
      </c>
      <c r="G32" s="13" t="str">
        <f t="shared" si="0"/>
        <v/>
      </c>
    </row>
    <row r="33" spans="1:7" x14ac:dyDescent="0.45">
      <c r="A33">
        <v>30</v>
      </c>
      <c r="B33" t="str">
        <f>IF(Masters!$P$32="","",Masters!$P$32)</f>
        <v/>
      </c>
      <c r="C33" t="str">
        <f>IF(B33="","",Masters!$R$32)</f>
        <v/>
      </c>
      <c r="D33" s="12">
        <f>IF(B33="",0,Masters!$Q$32)</f>
        <v>0</v>
      </c>
      <c r="E33" s="12">
        <f>IF(B33="",0,SUMIFS(Cash_Book!$G$4:$G$1008,Cash_Book!$C$4:$C$1008,C33,Cash_Book!$D$4:$D$1008,"TAKEN",Cash_Book!$E$4:$E$1008,B33))</f>
        <v>0</v>
      </c>
      <c r="F33" s="12">
        <f>IF(B33="",0,SUMIFS(Cash_Book!$G$4:$G$1008,Cash_Book!$C$4:$C$1008,C33,Cash_Book!$D$4:$D$1008,"WITHDRAWN",Cash_Book!$E$4:$E$1008,B33)+SUMIFS(Cash_Book!$G$4:$G$1008,Cash_Book!$C$4:$C$1008,C33,Cash_Book!$D$4:$D$1008,"REPAID",Cash_Book!$E$4:$E$1008,B33))</f>
        <v>0</v>
      </c>
      <c r="G33" s="13" t="str">
        <f t="shared" si="0"/>
        <v/>
      </c>
    </row>
    <row r="35" spans="1:7" x14ac:dyDescent="0.45">
      <c r="A35" s="3" t="s">
        <v>151</v>
      </c>
    </row>
    <row r="36" spans="1:7" x14ac:dyDescent="0.45">
      <c r="B36" t="s">
        <v>152</v>
      </c>
      <c r="G36" s="13">
        <f>SUMIF(C4:C33,"CAPITAL",G4:G33)</f>
        <v>4469981</v>
      </c>
    </row>
    <row r="37" spans="1:7" x14ac:dyDescent="0.45">
      <c r="B37" t="s">
        <v>153</v>
      </c>
      <c r="G37" s="13">
        <f>SUMIF(C4:C33,"LOAN",G4:G33)</f>
        <v>0</v>
      </c>
    </row>
    <row r="38" spans="1:7" x14ac:dyDescent="0.45">
      <c r="B38" t="s">
        <v>154</v>
      </c>
      <c r="G38" s="13">
        <f>SUMIF(C4:C33,"AMANAT",G4:G33)</f>
        <v>2500000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95548"/>
  </sheetPr>
  <dimension ref="A1:B32"/>
  <sheetViews>
    <sheetView topLeftCell="A11" workbookViewId="0">
      <selection activeCell="G37" sqref="G37"/>
    </sheetView>
  </sheetViews>
  <sheetFormatPr defaultRowHeight="14.25" x14ac:dyDescent="0.45"/>
  <cols>
    <col min="1" max="1" width="22" customWidth="1"/>
    <col min="2" max="2" width="14" customWidth="1"/>
  </cols>
  <sheetData>
    <row r="1" spans="1:2" ht="18" x14ac:dyDescent="0.55000000000000004">
      <c r="A1" s="1" t="s">
        <v>155</v>
      </c>
    </row>
    <row r="3" spans="1:2" x14ac:dyDescent="0.45">
      <c r="A3" t="s">
        <v>156</v>
      </c>
      <c r="B3" s="5" t="s">
        <v>51</v>
      </c>
    </row>
    <row r="6" spans="1:2" x14ac:dyDescent="0.45">
      <c r="A6" s="3" t="s">
        <v>157</v>
      </c>
    </row>
    <row r="7" spans="1:2" x14ac:dyDescent="0.45">
      <c r="A7" t="s">
        <v>158</v>
      </c>
      <c r="B7" s="14">
        <f>SUMIF(Daily_Sales!$C$4:$C$503,$B$3,Daily_Sales!$E$4:$E$503)</f>
        <v>58</v>
      </c>
    </row>
    <row r="8" spans="1:2" x14ac:dyDescent="0.45">
      <c r="A8" t="s">
        <v>122</v>
      </c>
      <c r="B8" s="12">
        <f>SUMIF(Daily_Sales!$C$4:$C$503,$B$3,Daily_Sales!$G$4:$G$503)</f>
        <v>574300</v>
      </c>
    </row>
    <row r="10" spans="1:2" x14ac:dyDescent="0.45">
      <c r="A10" s="3" t="s">
        <v>159</v>
      </c>
    </row>
    <row r="11" spans="1:2" x14ac:dyDescent="0.45">
      <c r="A11" t="s">
        <v>160</v>
      </c>
      <c r="B11" s="14" t="str">
        <f>IF(IFERROR(INDEX(Masters!$D$3:$D$52,MATCH($B$3,Masters!$B$3:$B$52,0)),"")="","% Based","Flat ₹/Goat")</f>
        <v>% Based</v>
      </c>
    </row>
    <row r="12" spans="1:2" x14ac:dyDescent="0.45">
      <c r="A12" t="s">
        <v>161</v>
      </c>
      <c r="B12" s="14">
        <f>IFERROR(INDEX(Masters!$C$3:$C$52,MATCH($B$3,Masters!$B$3:$B$52,0)),4)</f>
        <v>4</v>
      </c>
    </row>
    <row r="13" spans="1:2" x14ac:dyDescent="0.45">
      <c r="A13" t="s">
        <v>8</v>
      </c>
      <c r="B13" s="12">
        <f>IFERROR(INDEX(Masters!$D$3:$D$52,MATCH($B$3,Masters!$B$3:$B$52,0)),"")</f>
        <v>0</v>
      </c>
    </row>
    <row r="14" spans="1:2" x14ac:dyDescent="0.45">
      <c r="A14" t="s">
        <v>162</v>
      </c>
      <c r="B14" s="12">
        <f>IFERROR(IF(B13&gt;0,B13*B7,B8*B12/100),B8*B12/100)</f>
        <v>22972</v>
      </c>
    </row>
    <row r="15" spans="1:2" x14ac:dyDescent="0.45">
      <c r="A15" t="s">
        <v>163</v>
      </c>
      <c r="B15" s="12">
        <f>IF(B7&gt;0,Masters!$Y$3,0)</f>
        <v>100</v>
      </c>
    </row>
    <row r="16" spans="1:2" x14ac:dyDescent="0.45">
      <c r="A16" t="s">
        <v>125</v>
      </c>
      <c r="B16" s="12">
        <f>B7*Masters!$Y$4</f>
        <v>580</v>
      </c>
    </row>
    <row r="17" spans="1:2" x14ac:dyDescent="0.45">
      <c r="A17" t="s">
        <v>126</v>
      </c>
      <c r="B17" s="12">
        <f>SUMIFS(Cash_Book!$G$4:$G$1008,Cash_Book!$C$4:$C$1008,"BEPAARI",Cash_Book!$D$4:$D$1008,"MOTOR",Cash_Book!$E$4:$E$1008,$B$3)</f>
        <v>15600</v>
      </c>
    </row>
    <row r="18" spans="1:2" x14ac:dyDescent="0.45">
      <c r="A18" t="s">
        <v>127</v>
      </c>
      <c r="B18" s="12">
        <f>SUMIFS(Cash_Book!$G$4:$G$1008,Cash_Book!$C$4:$C$1008,"BEPAARI",Cash_Book!$D$4:$D$1008,"BHUSSA",Cash_Book!$E$4:$E$1008,$B$3)</f>
        <v>400</v>
      </c>
    </row>
    <row r="19" spans="1:2" x14ac:dyDescent="0.45">
      <c r="A19" t="s">
        <v>128</v>
      </c>
      <c r="B19" s="12">
        <f>SUMIFS(Cash_Book!$G$4:$G$1008,Cash_Book!$C$4:$C$1008,"BEPAARI",Cash_Book!$D$4:$D$1008,"GAWALI",Cash_Book!$E$4:$E$1008,$B$3)</f>
        <v>3540</v>
      </c>
    </row>
    <row r="20" spans="1:2" x14ac:dyDescent="0.45">
      <c r="A20" t="s">
        <v>129</v>
      </c>
      <c r="B20" s="12">
        <f>SUMIFS(Cash_Book!$G$4:$G$1008,Cash_Book!$C$4:$C$1008,"BEPAARI",Cash_Book!$D$4:$D$1008,"CASH_ADV",Cash_Book!$E$4:$E$1008,$B$3)</f>
        <v>0</v>
      </c>
    </row>
    <row r="21" spans="1:2" x14ac:dyDescent="0.45">
      <c r="A21" s="3" t="s">
        <v>164</v>
      </c>
      <c r="B21" s="13">
        <f>SUM(B14:B20)</f>
        <v>43192</v>
      </c>
    </row>
    <row r="23" spans="1:2" x14ac:dyDescent="0.45">
      <c r="A23" s="3" t="s">
        <v>165</v>
      </c>
    </row>
    <row r="24" spans="1:2" x14ac:dyDescent="0.45">
      <c r="A24" t="s">
        <v>122</v>
      </c>
      <c r="B24" s="12">
        <f>B8</f>
        <v>574300</v>
      </c>
    </row>
    <row r="25" spans="1:2" x14ac:dyDescent="0.45">
      <c r="A25" t="s">
        <v>166</v>
      </c>
      <c r="B25" s="12">
        <f>B21</f>
        <v>43192</v>
      </c>
    </row>
    <row r="26" spans="1:2" x14ac:dyDescent="0.45">
      <c r="A26" t="s">
        <v>167</v>
      </c>
      <c r="B26" s="12">
        <f>IFERROR(INDEX(Masters!$E$3:$E$52,MATCH($B$3,Masters!$B$3:$B$52,0)),0)</f>
        <v>0</v>
      </c>
    </row>
    <row r="27" spans="1:2" x14ac:dyDescent="0.45">
      <c r="A27" s="3" t="s">
        <v>168</v>
      </c>
      <c r="B27" s="13">
        <f>B24-B25+B26</f>
        <v>531108</v>
      </c>
    </row>
    <row r="29" spans="1:2" x14ac:dyDescent="0.45">
      <c r="A29" s="3" t="s">
        <v>169</v>
      </c>
    </row>
    <row r="30" spans="1:2" x14ac:dyDescent="0.45">
      <c r="A30" t="s">
        <v>170</v>
      </c>
      <c r="B30" s="12">
        <f>SUMIFS(Cash_Book!$G$4:$G$1008,Cash_Book!$C$4:$C$1008,"BEPAARI",Cash_Book!$D$4:$D$1008,"PAYMENT",Cash_Book!$E$4:$E$1008,$B$3)</f>
        <v>460024</v>
      </c>
    </row>
    <row r="32" spans="1:2" x14ac:dyDescent="0.45">
      <c r="A32" s="3" t="s">
        <v>171</v>
      </c>
      <c r="B32" s="13">
        <f>B27-B30</f>
        <v>71084</v>
      </c>
    </row>
  </sheetData>
  <dataValidations count="1">
    <dataValidation type="list" sqref="B3" xr:uid="{00000000-0002-0000-0600-000000000000}">
      <formula1>BEPAARI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E38"/>
  <sheetViews>
    <sheetView topLeftCell="A14" workbookViewId="0">
      <selection activeCell="B39" sqref="B39"/>
    </sheetView>
  </sheetViews>
  <sheetFormatPr defaultRowHeight="14.25" x14ac:dyDescent="0.45"/>
  <cols>
    <col min="1" max="1" width="28" customWidth="1"/>
    <col min="2" max="2" width="14" customWidth="1"/>
    <col min="3" max="3" width="3" customWidth="1"/>
    <col min="4" max="4" width="28" customWidth="1"/>
    <col min="5" max="5" width="14" customWidth="1"/>
  </cols>
  <sheetData>
    <row r="1" spans="1:5" ht="18" x14ac:dyDescent="0.55000000000000004">
      <c r="A1" s="1" t="s">
        <v>172</v>
      </c>
      <c r="E1" s="18" t="s">
        <v>173</v>
      </c>
    </row>
    <row r="3" spans="1:5" x14ac:dyDescent="0.45">
      <c r="A3" s="19" t="s">
        <v>174</v>
      </c>
      <c r="D3" s="20" t="s">
        <v>175</v>
      </c>
    </row>
    <row r="4" spans="1:5" x14ac:dyDescent="0.45">
      <c r="A4" s="21" t="s">
        <v>109</v>
      </c>
      <c r="B4" s="21" t="s">
        <v>110</v>
      </c>
      <c r="D4" s="22" t="s">
        <v>109</v>
      </c>
      <c r="E4" s="22" t="s">
        <v>110</v>
      </c>
    </row>
    <row r="5" spans="1:5" x14ac:dyDescent="0.45">
      <c r="A5" s="3" t="s">
        <v>19</v>
      </c>
      <c r="B5" s="9">
        <f>Capital_Loan_Ledger!G36</f>
        <v>4469981</v>
      </c>
      <c r="D5" s="3" t="s">
        <v>176</v>
      </c>
      <c r="E5" s="9">
        <f>Cash_Book!J10</f>
        <v>386735</v>
      </c>
    </row>
    <row r="6" spans="1:5" x14ac:dyDescent="0.45">
      <c r="A6" s="3" t="s">
        <v>177</v>
      </c>
      <c r="B6" s="9">
        <f>Capital_Loan_Ledger!G37</f>
        <v>0</v>
      </c>
      <c r="D6" s="3" t="s">
        <v>178</v>
      </c>
      <c r="E6" s="9">
        <f>Cash_Book!J11</f>
        <v>537228</v>
      </c>
    </row>
    <row r="7" spans="1:5" x14ac:dyDescent="0.45">
      <c r="A7" s="3" t="s">
        <v>24</v>
      </c>
      <c r="B7" s="9">
        <f>Capital_Loan_Ledger!G38</f>
        <v>2500000</v>
      </c>
    </row>
    <row r="8" spans="1:5" x14ac:dyDescent="0.45">
      <c r="D8" s="3" t="s">
        <v>179</v>
      </c>
      <c r="E8" s="12">
        <f>Dukandar_Ledger!H107</f>
        <v>6444105</v>
      </c>
    </row>
    <row r="9" spans="1:5" x14ac:dyDescent="0.45">
      <c r="A9" s="3" t="s">
        <v>180</v>
      </c>
      <c r="B9" s="12">
        <f>Bepaari_Ledger!S58</f>
        <v>1105792</v>
      </c>
      <c r="D9" s="3" t="s">
        <v>181</v>
      </c>
      <c r="E9" s="12">
        <f>Bepaari_Ledger!S59</f>
        <v>216554</v>
      </c>
    </row>
    <row r="10" spans="1:5" x14ac:dyDescent="0.45">
      <c r="A10" s="3" t="s">
        <v>182</v>
      </c>
      <c r="B10" s="12">
        <f>Dukandar_Ledger!H108</f>
        <v>7500</v>
      </c>
    </row>
    <row r="11" spans="1:5" x14ac:dyDescent="0.45">
      <c r="D11" s="3" t="s">
        <v>183</v>
      </c>
      <c r="E11" s="12"/>
    </row>
    <row r="12" spans="1:5" x14ac:dyDescent="0.45">
      <c r="A12" s="3" t="s">
        <v>184</v>
      </c>
    </row>
    <row r="13" spans="1:5" x14ac:dyDescent="0.45">
      <c r="A13" t="s">
        <v>185</v>
      </c>
      <c r="B13" s="12">
        <f>Masters!$Y$10</f>
        <v>17100</v>
      </c>
      <c r="D13" s="3" t="s">
        <v>186</v>
      </c>
    </row>
    <row r="14" spans="1:5" x14ac:dyDescent="0.45">
      <c r="A14" t="s">
        <v>187</v>
      </c>
      <c r="B14" s="12">
        <f>Bepaari_Ledger!J55</f>
        <v>4660</v>
      </c>
      <c r="D14" t="s">
        <v>185</v>
      </c>
      <c r="E14" s="12">
        <f>Masters!$Y$16</f>
        <v>24816</v>
      </c>
    </row>
    <row r="15" spans="1:5" x14ac:dyDescent="0.45">
      <c r="A15" t="s">
        <v>188</v>
      </c>
      <c r="B15" s="12">
        <f>-SUMIFS(Cash_Book!$G$4:$G$1008,Cash_Book!$D$4:$D$1008,"JB_PAID")</f>
        <v>-18000</v>
      </c>
      <c r="D15" t="s">
        <v>189</v>
      </c>
      <c r="E15" s="12">
        <f>SUMIFS(Cash_Book!$G$4:$G$1008,Cash_Book!$D$4:$D$1008,"MANDI")+SUMIFS(Cash_Book!$G$4:$G$1008,Cash_Book!$D$4:$D$1008,"TRAVEL")+SUMIFS(Cash_Book!$G$4:$G$1008,Cash_Book!$D$4:$D$1008,"FOOD")+SUMIFS(Cash_Book!$G$4:$G$1008,Cash_Book!$D$4:$D$1008,"SALARY")+SUMIFS(Cash_Book!$G$4:$G$1008,Cash_Book!$D$4:$D$1008,"MISC")+SUMIFS(Cash_Book!$G$4:$G$1008,Cash_Book!$D$4:$D$1008,"OTHER")</f>
        <v>14360</v>
      </c>
    </row>
    <row r="16" spans="1:5" x14ac:dyDescent="0.45">
      <c r="A16" s="3" t="s">
        <v>190</v>
      </c>
      <c r="B16" s="9">
        <f>B13+B14+B15</f>
        <v>3760</v>
      </c>
      <c r="D16" s="3" t="s">
        <v>191</v>
      </c>
      <c r="E16" s="9">
        <f>E14+E15</f>
        <v>39176</v>
      </c>
    </row>
    <row r="18" spans="1:5" x14ac:dyDescent="0.45">
      <c r="A18" s="3" t="s">
        <v>192</v>
      </c>
      <c r="D18" s="3" t="s">
        <v>193</v>
      </c>
    </row>
    <row r="19" spans="1:5" x14ac:dyDescent="0.45">
      <c r="A19" t="s">
        <v>185</v>
      </c>
      <c r="B19" s="12">
        <f>Masters!$Y$11</f>
        <v>10100</v>
      </c>
      <c r="D19" t="s">
        <v>185</v>
      </c>
      <c r="E19" s="12">
        <f>Masters!$Y$17</f>
        <v>17450</v>
      </c>
    </row>
    <row r="20" spans="1:5" x14ac:dyDescent="0.45">
      <c r="A20" t="s">
        <v>187</v>
      </c>
      <c r="B20" s="12">
        <f>Bepaari_Ledger!I55</f>
        <v>1100</v>
      </c>
      <c r="D20" t="s">
        <v>189</v>
      </c>
      <c r="E20" s="12">
        <f>SUMIFS(Cash_Book!$G$4:$G$1008,Cash_Book!$D$4:$D$1008,"BF_DISC")</f>
        <v>9988</v>
      </c>
    </row>
    <row r="21" spans="1:5" x14ac:dyDescent="0.45">
      <c r="A21" s="3" t="s">
        <v>194</v>
      </c>
      <c r="B21" s="9">
        <f>B19+B20</f>
        <v>11200</v>
      </c>
      <c r="D21" s="3" t="s">
        <v>195</v>
      </c>
      <c r="E21" s="9">
        <f>E19+E20</f>
        <v>27438</v>
      </c>
    </row>
    <row r="23" spans="1:5" x14ac:dyDescent="0.45">
      <c r="A23" s="3" t="s">
        <v>196</v>
      </c>
      <c r="D23" s="3" t="s">
        <v>197</v>
      </c>
    </row>
    <row r="24" spans="1:5" x14ac:dyDescent="0.45">
      <c r="A24" t="s">
        <v>185</v>
      </c>
      <c r="B24" s="12">
        <f>Masters!$Y$13</f>
        <v>358808</v>
      </c>
      <c r="D24" t="s">
        <v>185</v>
      </c>
      <c r="E24" s="12">
        <f>Masters!$Y$18</f>
        <v>294265</v>
      </c>
    </row>
    <row r="25" spans="1:5" x14ac:dyDescent="0.45">
      <c r="A25" t="s">
        <v>198</v>
      </c>
      <c r="B25" s="12">
        <f>Bepaari_Ledger!H55</f>
        <v>198480</v>
      </c>
      <c r="D25" t="s">
        <v>199</v>
      </c>
      <c r="E25" s="12">
        <f>SUMIFS(Cash_Book!$G$4:$G$1008,Cash_Book!$D$4:$D$1008,"MHN_PERSONAL")</f>
        <v>4881</v>
      </c>
    </row>
    <row r="26" spans="1:5" x14ac:dyDescent="0.45">
      <c r="A26" t="s">
        <v>200</v>
      </c>
      <c r="B26" s="12">
        <f>-Dukandar_Ledger!E104</f>
        <v>-29050</v>
      </c>
      <c r="D26" s="3" t="s">
        <v>201</v>
      </c>
      <c r="E26" s="9">
        <f>E24+E25</f>
        <v>299146</v>
      </c>
    </row>
    <row r="27" spans="1:5" x14ac:dyDescent="0.45">
      <c r="A27" s="3" t="s">
        <v>202</v>
      </c>
      <c r="B27" s="9">
        <f>B24+B25+B26</f>
        <v>528238</v>
      </c>
    </row>
    <row r="28" spans="1:5" x14ac:dyDescent="0.45">
      <c r="D28" t="s">
        <v>225</v>
      </c>
      <c r="E28">
        <f>Masters!$V$3+SUMIFS(Cash_Book!$G$4:$G$1008,Cash_Book!$C$4:$C$1008,"ADVANCE",Cash_Book!$D$4:$D$1008,"GIVEN",Cash_Book!$E$4:$E$1008,"SALIM MANGROL")-SUMIFS(Cash_Book!$G$4:$G$1008,Cash_Book!$C$4:$C$1008,"ADVANCE",Cash_Book!$D$4:$D$1008,"RECEIVED",Cash_Book!$E$4:$E$1008,"SALIM MANGROL")</f>
        <v>50000</v>
      </c>
    </row>
    <row r="29" spans="1:5" x14ac:dyDescent="0.45">
      <c r="A29" s="3" t="s">
        <v>203</v>
      </c>
      <c r="D29" t="s">
        <v>226</v>
      </c>
      <c r="E29">
        <f>Masters!$V$4+SUMIFS(Cash_Book!$G$4:$G$1008,Cash_Book!$C$4:$C$1008,"ADVANCE",Cash_Book!$D$4:$D$1008,"GIVEN",Cash_Book!$E$4:$E$1008,"MUDASSIR")-SUMIFS(Cash_Book!$G$4:$G$1008,Cash_Book!$C$4:$C$1008,"ADVANCE",Cash_Book!$D$4:$D$1008,"RECEIVED",Cash_Book!$E$4:$E$1008,"MUDASSIR")</f>
        <v>25000</v>
      </c>
    </row>
    <row r="30" spans="1:5" x14ac:dyDescent="0.45">
      <c r="A30" t="s">
        <v>204</v>
      </c>
      <c r="B30" s="9">
        <f>Masters!$Y$12+SUMIFS(Cash_Book!$G$4:$G$1008,Cash_Book!$D$4:$D$1008,"PROVISION")-SUMIFS(Cash_Book!$G$4:$G$1008,Cash_Book!$D$4:$D$1008,"PAID")</f>
        <v>53111</v>
      </c>
      <c r="D30" t="s">
        <v>227</v>
      </c>
      <c r="E30">
        <f>Masters!$V$6+SUMIFS(Cash_Book!$G$4:$G$1008,Cash_Book!$C$4:$C$1008,"ADVANCE",Cash_Book!$D$4:$D$1008,"GIVEN",Cash_Book!$E$4:$E$1008,"KMN")-SUMIFS(Cash_Book!$G$4:$G$1008,Cash_Book!$C$4:$C$1008,"ADVANCE",Cash_Book!$D$4:$D$1008,"RECEIVED",Cash_Book!$E$4:$E$1008,"KMN")</f>
        <v>347500</v>
      </c>
    </row>
    <row r="31" spans="1:5" x14ac:dyDescent="0.45">
      <c r="B31" s="9"/>
      <c r="D31" t="s">
        <v>230</v>
      </c>
      <c r="E31">
        <f>Masters!$V$7+SUMIFS(Cash_Book!$G$4:$G$1008,Cash_Book!$C$4:$C$1008,"ADVANCE",Cash_Book!$D$4:$D$1008,"GIVEN",Cash_Book!$E$4:$E$1008,"SANTOSH")-SUMIFS(Cash_Book!$G$4:$G$1008,Cash_Book!$C$4:$C$1008,"ADVANCE",Cash_Book!$D$4:$D$1008,"RECEIVED",Cash_Book!$E$4:$E$1008,"SANTOSH")</f>
        <v>3000</v>
      </c>
    </row>
    <row r="32" spans="1:5" x14ac:dyDescent="0.45">
      <c r="B32" s="9"/>
      <c r="D32" t="s">
        <v>231</v>
      </c>
      <c r="E32">
        <f>Masters!$V$8+SUMIFS(Cash_Book!$G$4:$G$1008,Cash_Book!$C$4:$C$1008,"ADVANCE",Cash_Book!$D$4:$D$1008,"GIVEN",Cash_Book!$E$4:$E$1008,"SHAKIL GHODEGAON")-SUMIFS(Cash_Book!$G$4:$G$1008,Cash_Book!$C$4:$C$1008,"ADVANCE",Cash_Book!$D$4:$D$1008,"RECEIVED",Cash_Book!$E$4:$E$1008,"SHAKIL GHODEGAON")</f>
        <v>0</v>
      </c>
    </row>
    <row r="33" spans="1:5" x14ac:dyDescent="0.45">
      <c r="B33" s="9"/>
      <c r="D33" t="s">
        <v>232</v>
      </c>
      <c r="E33">
        <f>Masters!$V$5+SUMIFS(Cash_Book!$G$4:$G$1008,Cash_Book!$C$4:$C$1008,"ADVANCE",Cash_Book!$D$4:$D$1008,"GIVEN",Cash_Book!$E$4:$E$1008,"AYAAN")-SUMIFS(Cash_Book!$G$4:$G$1008,Cash_Book!$C$4:$C$1008,"ADVANCE",Cash_Book!$D$4:$D$1008,"RECEIVED",Cash_Book!$E$4:$E$1008,"AYAAN")</f>
        <v>53700</v>
      </c>
    </row>
    <row r="34" spans="1:5" x14ac:dyDescent="0.45">
      <c r="B34" s="9"/>
    </row>
    <row r="36" spans="1:5" ht="15.75" x14ac:dyDescent="0.5">
      <c r="A36" s="23" t="s">
        <v>205</v>
      </c>
      <c r="B36" s="24">
        <f>B5+B6+B7+B9+B10+B16+B21+B27+B30</f>
        <v>8679582</v>
      </c>
      <c r="D36" s="23" t="s">
        <v>206</v>
      </c>
      <c r="E36" s="24">
        <f>E5+E6+E8+E9+E11+E16+E21+E26+E28+E29+E30+E31+E32+E33</f>
        <v>8429582</v>
      </c>
    </row>
    <row r="38" spans="1:5" x14ac:dyDescent="0.45">
      <c r="A38" s="25" t="s">
        <v>207</v>
      </c>
      <c r="B38" s="26">
        <f>B36-E36</f>
        <v>250000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B20"/>
  <sheetViews>
    <sheetView workbookViewId="0">
      <selection activeCell="B20" sqref="B20"/>
    </sheetView>
  </sheetViews>
  <sheetFormatPr defaultRowHeight="14.25" x14ac:dyDescent="0.45"/>
  <cols>
    <col min="1" max="1" width="26" customWidth="1"/>
    <col min="2" max="2" width="14" customWidth="1"/>
  </cols>
  <sheetData>
    <row r="1" spans="1:2" ht="18" x14ac:dyDescent="0.55000000000000004">
      <c r="A1" s="1" t="s">
        <v>208</v>
      </c>
    </row>
    <row r="3" spans="1:2" x14ac:dyDescent="0.45">
      <c r="A3" s="3" t="s">
        <v>209</v>
      </c>
      <c r="B3" s="12">
        <f>Bepaari_Ledger!F55</f>
        <v>4962000</v>
      </c>
    </row>
    <row r="4" spans="1:2" x14ac:dyDescent="0.45">
      <c r="A4" s="3" t="s">
        <v>210</v>
      </c>
      <c r="B4" s="27">
        <f>Bepaari_Ledger!G55</f>
        <v>466</v>
      </c>
    </row>
    <row r="6" spans="1:2" x14ac:dyDescent="0.45">
      <c r="A6" s="3" t="s">
        <v>211</v>
      </c>
    </row>
    <row r="7" spans="1:2" x14ac:dyDescent="0.45">
      <c r="A7" t="s">
        <v>212</v>
      </c>
      <c r="B7" s="12">
        <f>Bepaari_Ledger!H55</f>
        <v>198480</v>
      </c>
    </row>
    <row r="8" spans="1:2" x14ac:dyDescent="0.45">
      <c r="A8" t="s">
        <v>213</v>
      </c>
      <c r="B8" s="12">
        <f>-Dukandar_Ledger!E104</f>
        <v>-29050</v>
      </c>
    </row>
    <row r="9" spans="1:2" x14ac:dyDescent="0.45">
      <c r="A9" t="s">
        <v>214</v>
      </c>
      <c r="B9" s="12">
        <f>B6+B7</f>
        <v>198480</v>
      </c>
    </row>
    <row r="10" spans="1:2" x14ac:dyDescent="0.45">
      <c r="A10" t="s">
        <v>215</v>
      </c>
      <c r="B10" s="12">
        <f>Bepaari_Ledger!J55</f>
        <v>4660</v>
      </c>
    </row>
    <row r="11" spans="1:2" x14ac:dyDescent="0.45">
      <c r="A11" t="s">
        <v>216</v>
      </c>
      <c r="B11" s="12">
        <f>Bepaari_Ledger!I55</f>
        <v>1100</v>
      </c>
    </row>
    <row r="12" spans="1:2" x14ac:dyDescent="0.45">
      <c r="A12" s="3" t="s">
        <v>217</v>
      </c>
      <c r="B12" s="13">
        <f>B8+B9+B10</f>
        <v>174090</v>
      </c>
    </row>
    <row r="14" spans="1:2" x14ac:dyDescent="0.45">
      <c r="A14" s="3" t="s">
        <v>218</v>
      </c>
    </row>
    <row r="15" spans="1:2" x14ac:dyDescent="0.45">
      <c r="A15" t="s">
        <v>219</v>
      </c>
      <c r="B15" s="12">
        <f>SUMIFS(Cash_Book!$G$4:$G$1008,Cash_Book!$D$4:$D$1008,"MANDI")+SUMIFS(Cash_Book!$G$4:$G$1008,Cash_Book!$D$4:$D$1008,"TRAVEL")+SUMIFS(Cash_Book!$G$4:$G$1008,Cash_Book!$D$4:$D$1008,"FOOD")+SUMIFS(Cash_Book!$G$4:$G$1008,Cash_Book!$D$4:$D$1008,"SALARY")+SUMIFS(Cash_Book!$G$4:$G$1008,Cash_Book!$D$4:$D$1008,"MISC")+SUMIFS(Cash_Book!$G$4:$G$1008,Cash_Book!$D$4:$D$1008,"OTHER")</f>
        <v>14360</v>
      </c>
    </row>
    <row r="16" spans="1:2" x14ac:dyDescent="0.45">
      <c r="A16" t="s">
        <v>220</v>
      </c>
      <c r="B16" s="12">
        <f>SUMIFS(Cash_Book!$G$4:$G$1008,Cash_Book!$D$4:$D$1008,"BF_DISC")</f>
        <v>9988</v>
      </c>
    </row>
    <row r="17" spans="1:2" x14ac:dyDescent="0.45">
      <c r="A17" t="s">
        <v>221</v>
      </c>
      <c r="B17" s="12">
        <f>SUMIFS(Cash_Book!$G$4:$G$1008,Cash_Book!$D$4:$D$1008,"JB_PAID")</f>
        <v>18000</v>
      </c>
    </row>
    <row r="18" spans="1:2" x14ac:dyDescent="0.45">
      <c r="A18" s="3" t="s">
        <v>222</v>
      </c>
      <c r="B18" s="13">
        <f>B14+B15+B16</f>
        <v>24348</v>
      </c>
    </row>
    <row r="20" spans="1:2" x14ac:dyDescent="0.45">
      <c r="A20" s="3" t="s">
        <v>223</v>
      </c>
      <c r="B20" s="13">
        <f>B11-B17</f>
        <v>-16900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Masters</vt:lpstr>
      <vt:lpstr>Daily_Sales</vt:lpstr>
      <vt:lpstr>Cash_Book</vt:lpstr>
      <vt:lpstr>Bepaari_Ledger</vt:lpstr>
      <vt:lpstr>Dukandar_Ledger</vt:lpstr>
      <vt:lpstr>Capital_Loan_Ledger</vt:lpstr>
      <vt:lpstr>Bepaari_Aakda</vt:lpstr>
      <vt:lpstr>Balance_Sheet</vt:lpstr>
      <vt:lpstr>Commission_Summary</vt:lpstr>
      <vt:lpstr>ADVANCE</vt:lpstr>
      <vt:lpstr>AMANAT</vt:lpstr>
      <vt:lpstr>BEPAARI</vt:lpstr>
      <vt:lpstr>CAPITAL</vt:lpstr>
      <vt:lpstr>DUKANDAR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TRAVELDESK BOM</cp:lastModifiedBy>
  <dcterms:created xsi:type="dcterms:W3CDTF">2026-03-26T14:56:02Z</dcterms:created>
  <dcterms:modified xsi:type="dcterms:W3CDTF">2026-04-02T18:44:11Z</dcterms:modified>
</cp:coreProperties>
</file>