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s" sheetId="1" state="visible" r:id="rId1"/>
    <sheet name="Daily_Sales" sheetId="2" state="visible" r:id="rId2"/>
    <sheet name="Cash_Book" sheetId="3" state="visible" r:id="rId3"/>
    <sheet name="Bepaari_Ledger" sheetId="4" state="visible" r:id="rId4"/>
    <sheet name="Dukandar_Ledger" sheetId="5" state="visible" r:id="rId5"/>
    <sheet name="Bepaari_Aakda" sheetId="6" state="visible" r:id="rId6"/>
    <sheet name="Balance_Sheet" sheetId="7" state="visible" r:id="rId7"/>
    <sheet name="Commission_Summary" sheetId="8" state="visible" r:id="rId8"/>
  </sheets>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9">
    <font>
      <name val="Calibri"/>
      <family val="2"/>
      <color theme="1"/>
      <sz val="11"/>
      <scheme val="minor"/>
    </font>
    <font>
      <b val="1"/>
      <color rgb="000D47A1"/>
      <sz val="14"/>
    </font>
    <font>
      <b val="1"/>
      <color rgb="00FFFFFF"/>
      <sz val="11"/>
    </font>
    <font>
      <b val="1"/>
    </font>
    <font/>
    <font>
      <i val="1"/>
      <sz val="9"/>
    </font>
    <font>
      <b val="1"/>
      <color rgb="001565C0"/>
      <sz val="11"/>
    </font>
    <font>
      <i val="1"/>
      <color rgb="00FF0000"/>
      <sz val="10"/>
    </font>
    <font>
      <b val="1"/>
      <color rgb="00FF0000"/>
    </font>
  </fonts>
  <fills count="9">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0" fontId="0" fillId="3" borderId="0" pivotButton="0" quotePrefix="0" xfId="0"/>
    <xf numFmtId="164" fontId="0" fillId="3" borderId="0" pivotButton="0" quotePrefix="0" xfId="0"/>
    <xf numFmtId="0" fontId="4" fillId="0" borderId="0" pivotButton="0" quotePrefix="0" xfId="0"/>
    <xf numFmtId="0" fontId="5" fillId="0" borderId="0" pivotButton="0" quotePrefix="0" xfId="0"/>
    <xf numFmtId="165" fontId="0" fillId="3" borderId="0" pivotButton="0" quotePrefix="0" xfId="0"/>
    <xf numFmtId="164" fontId="0" fillId="4" borderId="0" pivotButton="0" quotePrefix="0" xfId="0"/>
    <xf numFmtId="0" fontId="6" fillId="0" borderId="0" pivotButton="0" quotePrefix="0" xfId="0"/>
    <xf numFmtId="164" fontId="0" fillId="0" borderId="0" pivotButton="0" quotePrefix="0" xfId="0"/>
    <xf numFmtId="164" fontId="3" fillId="4" borderId="0" pivotButton="0" quotePrefix="0" xfId="0"/>
    <xf numFmtId="3" fontId="0" fillId="0" borderId="0" pivotButton="0" quotePrefix="0" xfId="0"/>
    <xf numFmtId="164" fontId="3" fillId="0" borderId="0" pivotButton="0" quotePrefix="0" xfId="0"/>
    <xf numFmtId="0" fontId="7" fillId="0" borderId="0" pivotButton="0" quotePrefix="0" xfId="0"/>
    <xf numFmtId="0" fontId="6" fillId="5" borderId="0" pivotButton="0" quotePrefix="0" xfId="0"/>
    <xf numFmtId="0" fontId="6" fillId="7" borderId="0" pivotButton="0" quotePrefix="0" xfId="0"/>
    <xf numFmtId="0" fontId="2" fillId="6" borderId="1" applyAlignment="1" pivotButton="0" quotePrefix="0" xfId="0">
      <alignment horizontal="center" vertical="center" wrapText="1"/>
    </xf>
    <xf numFmtId="0" fontId="2" fillId="8" borderId="1" applyAlignment="1" pivotButton="0" quotePrefix="0" xfId="0">
      <alignment horizontal="center" vertical="center" wrapText="1"/>
    </xf>
    <xf numFmtId="0" fontId="8" fillId="0" borderId="0" pivotButton="0" quotePrefix="0" xfId="0"/>
    <xf numFmtId="164" fontId="8" fillId="0" borderId="0" pivotButton="0" quotePrefix="0" xfId="0"/>
    <xf numFmtId="3"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X79"/>
  <sheetViews>
    <sheetView workbookViewId="0">
      <selection activeCell="A1" sqref="A1"/>
    </sheetView>
  </sheetViews>
  <sheetFormatPr baseColWidth="8" defaultRowHeight="15"/>
  <cols>
    <col width="4" customWidth="1" min="1" max="1"/>
    <col width="20" customWidth="1" min="2" max="2"/>
    <col width="8" customWidth="1" min="3" max="3"/>
    <col width="12" customWidth="1" min="4" max="4"/>
    <col width="10" customWidth="1" min="5" max="5"/>
    <col width="10" customWidth="1" min="6" max="6"/>
    <col width="2" customWidth="1" min="7" max="7"/>
    <col width="4" customWidth="1" min="8" max="8"/>
    <col width="20" customWidth="1" min="9" max="9"/>
    <col width="12" customWidth="1" min="10" max="10"/>
    <col width="10" customWidth="1" min="11" max="11"/>
    <col width="10" customWidth="1" min="12" max="12"/>
    <col width="2" customWidth="1" min="13" max="13"/>
    <col width="4" customWidth="1" min="14" max="14"/>
    <col width="20" customWidth="1" min="15" max="15"/>
    <col width="12" customWidth="1" min="16" max="16"/>
    <col width="10" customWidth="1" min="17" max="17"/>
    <col width="2" customWidth="1" min="18" max="18"/>
    <col width="4" customWidth="1" min="19" max="19"/>
    <col width="20" customWidth="1" min="20" max="20"/>
    <col width="12" customWidth="1" min="21" max="21"/>
    <col width="2" customWidth="1" min="22" max="22"/>
    <col width="22" customWidth="1" min="23" max="23"/>
    <col width="12" customWidth="1" min="24" max="24"/>
  </cols>
  <sheetData>
    <row r="1">
      <c r="A1" s="1" t="inlineStr">
        <is>
          <t>BEPAARI MASTER</t>
        </is>
      </c>
      <c r="H1" s="1" t="inlineStr">
        <is>
          <t>DUKANDAR MASTER</t>
        </is>
      </c>
      <c r="N1" s="1" t="inlineStr">
        <is>
          <t>CAPITAL/LOAN PARTIES</t>
        </is>
      </c>
      <c r="S1" s="1" t="inlineStr">
        <is>
          <t>ADVANCE PARTIES</t>
        </is>
      </c>
      <c r="W1" s="1" t="inlineStr">
        <is>
          <t>SETTINGS</t>
        </is>
      </c>
    </row>
    <row r="2">
      <c r="A2" s="2" t="inlineStr">
        <is>
          <t>Sr</t>
        </is>
      </c>
      <c r="B2" s="2" t="inlineStr">
        <is>
          <t>Bepaari Name</t>
        </is>
      </c>
      <c r="C2" s="2" t="inlineStr">
        <is>
          <t>Comm%</t>
        </is>
      </c>
      <c r="D2" s="2" t="inlineStr">
        <is>
          <t>Opening Bal</t>
        </is>
      </c>
      <c r="E2" s="2" t="inlineStr">
        <is>
          <t>Phone</t>
        </is>
      </c>
      <c r="F2" s="2" t="inlineStr">
        <is>
          <t>Remarks</t>
        </is>
      </c>
      <c r="H2" s="2" t="inlineStr">
        <is>
          <t>Sr</t>
        </is>
      </c>
      <c r="I2" s="2" t="inlineStr">
        <is>
          <t>Dukandar Name</t>
        </is>
      </c>
      <c r="J2" s="2" t="inlineStr">
        <is>
          <t>Opening Bal</t>
        </is>
      </c>
      <c r="K2" s="2" t="inlineStr">
        <is>
          <t>Phone</t>
        </is>
      </c>
      <c r="L2" s="2" t="inlineStr">
        <is>
          <t>Remarks</t>
        </is>
      </c>
      <c r="N2" s="2" t="inlineStr">
        <is>
          <t>Sr</t>
        </is>
      </c>
      <c r="O2" s="2" t="inlineStr">
        <is>
          <t>Party Name</t>
        </is>
      </c>
      <c r="P2" s="2" t="inlineStr">
        <is>
          <t>Opening Bal</t>
        </is>
      </c>
      <c r="Q2" s="2" t="inlineStr">
        <is>
          <t>Type</t>
        </is>
      </c>
      <c r="S2" s="2" t="inlineStr">
        <is>
          <t>Sr</t>
        </is>
      </c>
      <c r="T2" s="2" t="inlineStr">
        <is>
          <t>Party Name</t>
        </is>
      </c>
      <c r="U2" s="2" t="inlineStr">
        <is>
          <t>Opening Bal</t>
        </is>
      </c>
      <c r="W2" s="3" t="inlineStr">
        <is>
          <t>Commission Rate (%)</t>
        </is>
      </c>
      <c r="X2" s="4" t="n">
        <v>4</v>
      </c>
    </row>
    <row r="3">
      <c r="A3" t="n">
        <v>1</v>
      </c>
      <c r="B3" s="4" t="inlineStr">
        <is>
          <t>ABUL HASAN</t>
        </is>
      </c>
      <c r="C3" s="4" t="n">
        <v>4</v>
      </c>
      <c r="D3" s="5" t="n">
        <v>0</v>
      </c>
      <c r="H3" t="n">
        <v>1</v>
      </c>
      <c r="I3" s="4" t="inlineStr">
        <is>
          <t>SAKIM</t>
        </is>
      </c>
      <c r="J3" s="5" t="n">
        <v>0</v>
      </c>
      <c r="N3" t="n">
        <v>1</v>
      </c>
      <c r="O3" s="4" t="inlineStr">
        <is>
          <t>MHN</t>
        </is>
      </c>
      <c r="P3" s="5" t="n">
        <v>0</v>
      </c>
      <c r="Q3" s="4" t="inlineStr">
        <is>
          <t>CAPITAL</t>
        </is>
      </c>
      <c r="S3" t="n">
        <v>1</v>
      </c>
      <c r="T3" s="4" t="n"/>
      <c r="U3" s="4" t="n"/>
      <c r="W3" s="3" t="inlineStr">
        <is>
          <t>KK Fixed (₹/Bepari)</t>
        </is>
      </c>
      <c r="X3" s="4" t="n">
        <v>100</v>
      </c>
    </row>
    <row r="4">
      <c r="A4" t="n">
        <v>2</v>
      </c>
      <c r="B4" s="4" t="inlineStr">
        <is>
          <t>SHARAFAT</t>
        </is>
      </c>
      <c r="C4" s="4" t="n">
        <v>4</v>
      </c>
      <c r="D4" s="5" t="n">
        <v>0</v>
      </c>
      <c r="H4" t="n">
        <v>2</v>
      </c>
      <c r="I4" s="4" t="inlineStr">
        <is>
          <t>SHARIK</t>
        </is>
      </c>
      <c r="J4" s="5" t="n">
        <v>0</v>
      </c>
      <c r="N4" t="n">
        <v>2</v>
      </c>
      <c r="O4" s="4" t="inlineStr">
        <is>
          <t>SHAKIL GHODEGAON</t>
        </is>
      </c>
      <c r="P4" s="5" t="n">
        <v>0</v>
      </c>
      <c r="Q4" s="4" t="inlineStr">
        <is>
          <t>LOAN</t>
        </is>
      </c>
      <c r="S4" t="n">
        <v>2</v>
      </c>
      <c r="T4" s="4" t="n"/>
      <c r="U4" s="4" t="n"/>
      <c r="W4" s="3" t="inlineStr">
        <is>
          <t>JB Rate (₹/Goat)</t>
        </is>
      </c>
      <c r="X4" s="4" t="n">
        <v>10</v>
      </c>
    </row>
    <row r="5">
      <c r="A5" t="n">
        <v>3</v>
      </c>
      <c r="B5" s="4" t="inlineStr">
        <is>
          <t>SHARIK</t>
        </is>
      </c>
      <c r="C5" s="4" t="n">
        <v>4</v>
      </c>
      <c r="D5" s="5" t="n">
        <v>0</v>
      </c>
      <c r="H5" t="n">
        <v>3</v>
      </c>
      <c r="I5" s="4" t="inlineStr">
        <is>
          <t>YUNUS</t>
        </is>
      </c>
      <c r="J5" s="5" t="n">
        <v>0</v>
      </c>
      <c r="N5" t="n">
        <v>3</v>
      </c>
      <c r="O5" s="4" t="n"/>
      <c r="P5" s="4" t="n"/>
      <c r="Q5" s="4" t="n"/>
      <c r="S5" t="n">
        <v>3</v>
      </c>
      <c r="T5" s="4" t="n"/>
      <c r="U5" s="4" t="n"/>
      <c r="W5" s="6" t="inlineStr"/>
      <c r="X5" s="4" t="inlineStr"/>
    </row>
    <row r="6">
      <c r="A6" t="n">
        <v>4</v>
      </c>
      <c r="B6" s="4" t="inlineStr">
        <is>
          <t>JUNAID</t>
        </is>
      </c>
      <c r="C6" s="4" t="n">
        <v>4</v>
      </c>
      <c r="D6" s="5" t="n">
        <v>0</v>
      </c>
      <c r="H6" t="n">
        <v>4</v>
      </c>
      <c r="I6" s="4" t="inlineStr">
        <is>
          <t>MUDASSIR</t>
        </is>
      </c>
      <c r="J6" s="5" t="n">
        <v>0</v>
      </c>
      <c r="N6" t="n">
        <v>4</v>
      </c>
      <c r="O6" s="4" t="n"/>
      <c r="P6" s="4" t="n"/>
      <c r="Q6" s="4" t="n"/>
      <c r="S6" t="n">
        <v>4</v>
      </c>
      <c r="T6" s="4" t="n"/>
      <c r="U6" s="4" t="n"/>
      <c r="W6" s="3" t="inlineStr">
        <is>
          <t>Opening Cash</t>
        </is>
      </c>
      <c r="X6" s="5" t="n">
        <v>0</v>
      </c>
    </row>
    <row r="7">
      <c r="A7" t="n">
        <v>5</v>
      </c>
      <c r="B7" s="4" t="inlineStr">
        <is>
          <t>ANNU SHARIF</t>
        </is>
      </c>
      <c r="C7" s="4" t="n">
        <v>4</v>
      </c>
      <c r="D7" s="5" t="n">
        <v>0</v>
      </c>
      <c r="H7" t="n">
        <v>5</v>
      </c>
      <c r="I7" s="4" t="inlineStr">
        <is>
          <t>ARIF</t>
        </is>
      </c>
      <c r="J7" s="5" t="n">
        <v>0</v>
      </c>
      <c r="N7" t="n">
        <v>5</v>
      </c>
      <c r="O7" s="4" t="n"/>
      <c r="P7" s="4" t="n"/>
      <c r="Q7" s="4" t="n"/>
      <c r="S7" t="n">
        <v>5</v>
      </c>
      <c r="T7" s="4" t="n"/>
      <c r="U7" s="4" t="n"/>
      <c r="W7" s="3" t="inlineStr">
        <is>
          <t>Opening Bank</t>
        </is>
      </c>
      <c r="X7" s="5" t="n">
        <v>0</v>
      </c>
    </row>
    <row r="8">
      <c r="A8" t="n">
        <v>6</v>
      </c>
      <c r="B8" s="4" t="inlineStr">
        <is>
          <t>GAYYUR</t>
        </is>
      </c>
      <c r="C8" s="4" t="n">
        <v>4</v>
      </c>
      <c r="D8" s="5" t="n">
        <v>0</v>
      </c>
      <c r="H8" t="n">
        <v>6</v>
      </c>
      <c r="I8" s="4" t="inlineStr">
        <is>
          <t>SHOEB BYCULLA</t>
        </is>
      </c>
      <c r="J8" s="5" t="n">
        <v>0</v>
      </c>
      <c r="N8" t="n">
        <v>6</v>
      </c>
      <c r="O8" s="4" t="n"/>
      <c r="P8" s="4" t="n"/>
      <c r="Q8" s="4" t="n"/>
      <c r="S8" t="n">
        <v>6</v>
      </c>
      <c r="T8" s="4" t="n"/>
      <c r="U8" s="4" t="n"/>
      <c r="W8" s="6" t="inlineStr"/>
      <c r="X8" s="4" t="inlineStr"/>
    </row>
    <row r="9">
      <c r="A9" t="n">
        <v>7</v>
      </c>
      <c r="B9" s="4" t="inlineStr">
        <is>
          <t>ARIF KK</t>
        </is>
      </c>
      <c r="C9" s="4" t="n">
        <v>4</v>
      </c>
      <c r="D9" s="5" t="n">
        <v>0</v>
      </c>
      <c r="H9" t="n">
        <v>7</v>
      </c>
      <c r="I9" s="4" t="inlineStr">
        <is>
          <t>ISLAM D</t>
        </is>
      </c>
      <c r="J9" s="5" t="n">
        <v>0</v>
      </c>
      <c r="N9" t="n">
        <v>7</v>
      </c>
      <c r="O9" s="4" t="n"/>
      <c r="P9" s="4" t="n"/>
      <c r="Q9" s="4" t="n"/>
      <c r="S9" t="n">
        <v>7</v>
      </c>
      <c r="T9" s="4" t="n"/>
      <c r="U9" s="4" t="n"/>
      <c r="W9" s="3" t="inlineStr">
        <is>
          <t>ZAKAT Opening Payable</t>
        </is>
      </c>
      <c r="X9" s="5" t="n">
        <v>0</v>
      </c>
    </row>
    <row r="10">
      <c r="A10" t="n">
        <v>8</v>
      </c>
      <c r="B10" s="4" t="inlineStr">
        <is>
          <t>KISHOR</t>
        </is>
      </c>
      <c r="C10" s="4" t="n">
        <v>4</v>
      </c>
      <c r="D10" s="5" t="n">
        <v>0</v>
      </c>
      <c r="H10" t="n">
        <v>8</v>
      </c>
      <c r="I10" s="4" t="inlineStr">
        <is>
          <t>MEHMOOD MADH</t>
        </is>
      </c>
      <c r="J10" s="5" t="n">
        <v>0</v>
      </c>
      <c r="N10" t="n">
        <v>8</v>
      </c>
      <c r="O10" s="4" t="n"/>
      <c r="P10" s="4" t="n"/>
      <c r="Q10" s="4" t="n"/>
      <c r="S10" t="n">
        <v>8</v>
      </c>
      <c r="T10" s="4" t="n"/>
      <c r="U10" s="4" t="n"/>
    </row>
    <row r="11">
      <c r="A11" t="n">
        <v>9</v>
      </c>
      <c r="B11" s="4" t="inlineStr">
        <is>
          <t>SHOEB BYCULLA</t>
        </is>
      </c>
      <c r="C11" s="4" t="n">
        <v>4</v>
      </c>
      <c r="D11" s="5" t="n">
        <v>0</v>
      </c>
      <c r="H11" t="n">
        <v>9</v>
      </c>
      <c r="I11" s="4" t="inlineStr">
        <is>
          <t>MOBIN CHIPLUN</t>
        </is>
      </c>
      <c r="J11" s="5" t="n">
        <v>0</v>
      </c>
      <c r="N11" t="n">
        <v>9</v>
      </c>
      <c r="O11" s="4" t="n"/>
      <c r="P11" s="4" t="n"/>
      <c r="Q11" s="4" t="n"/>
      <c r="S11" t="n">
        <v>9</v>
      </c>
      <c r="T11" s="4" t="n"/>
      <c r="U11" s="4" t="n"/>
    </row>
    <row r="12">
      <c r="A12" t="n">
        <v>10</v>
      </c>
      <c r="B12" s="4" t="inlineStr">
        <is>
          <t>MAULANA</t>
        </is>
      </c>
      <c r="C12" s="4" t="n">
        <v>4</v>
      </c>
      <c r="D12" s="5" t="n">
        <v>0</v>
      </c>
      <c r="H12" t="n">
        <v>10</v>
      </c>
      <c r="I12" s="4" t="inlineStr">
        <is>
          <t>JALIL</t>
        </is>
      </c>
      <c r="J12" s="5" t="n">
        <v>0</v>
      </c>
      <c r="N12" t="n">
        <v>10</v>
      </c>
      <c r="O12" s="4" t="n"/>
      <c r="P12" s="4" t="n"/>
      <c r="Q12" s="4" t="n"/>
      <c r="S12" t="n">
        <v>10</v>
      </c>
      <c r="T12" s="4" t="n"/>
      <c r="U12" s="4" t="n"/>
    </row>
    <row r="13">
      <c r="A13" t="n">
        <v>11</v>
      </c>
      <c r="B13" s="4" t="inlineStr">
        <is>
          <t>ISLAM D</t>
        </is>
      </c>
      <c r="C13" s="4" t="n">
        <v>4</v>
      </c>
      <c r="D13" s="5" t="n">
        <v>0</v>
      </c>
      <c r="H13" t="n">
        <v>11</v>
      </c>
      <c r="I13" s="4" t="inlineStr">
        <is>
          <t>IRFAN JOGESHWARI</t>
        </is>
      </c>
      <c r="J13" s="5" t="n">
        <v>0</v>
      </c>
      <c r="N13" t="n">
        <v>11</v>
      </c>
      <c r="O13" s="4" t="n"/>
      <c r="P13" s="4" t="n"/>
      <c r="Q13" s="4" t="n"/>
      <c r="S13" t="n">
        <v>11</v>
      </c>
      <c r="T13" s="4" t="n"/>
      <c r="U13" s="4" t="n"/>
    </row>
    <row r="14">
      <c r="A14" t="n">
        <v>12</v>
      </c>
      <c r="B14" s="4" t="inlineStr">
        <is>
          <t>SALIM RAJ</t>
        </is>
      </c>
      <c r="C14" s="4" t="n">
        <v>4</v>
      </c>
      <c r="D14" s="5" t="n">
        <v>0</v>
      </c>
      <c r="H14" t="n">
        <v>12</v>
      </c>
      <c r="I14" s="4" t="inlineStr">
        <is>
          <t>YUNUS DOMBIVLI</t>
        </is>
      </c>
      <c r="J14" s="5" t="n">
        <v>0</v>
      </c>
      <c r="N14" t="n">
        <v>12</v>
      </c>
      <c r="O14" s="4" t="n"/>
      <c r="P14" s="4" t="n"/>
      <c r="Q14" s="4" t="n"/>
      <c r="S14" t="n">
        <v>12</v>
      </c>
      <c r="T14" s="4" t="n"/>
      <c r="U14" s="4" t="n"/>
    </row>
    <row r="15">
      <c r="A15" t="n">
        <v>13</v>
      </c>
      <c r="B15" s="4" t="inlineStr">
        <is>
          <t>MEHMOOD MADH</t>
        </is>
      </c>
      <c r="C15" s="4" t="n">
        <v>4</v>
      </c>
      <c r="D15" s="5" t="n">
        <v>0</v>
      </c>
      <c r="H15" t="n">
        <v>13</v>
      </c>
      <c r="I15" s="4" t="inlineStr">
        <is>
          <t>IFTEKHAR PUNE</t>
        </is>
      </c>
      <c r="J15" s="5" t="n">
        <v>0</v>
      </c>
      <c r="N15" t="n">
        <v>13</v>
      </c>
      <c r="O15" s="4" t="n"/>
      <c r="P15" s="4" t="n"/>
      <c r="Q15" s="4" t="n"/>
      <c r="S15" t="n">
        <v>13</v>
      </c>
      <c r="T15" s="4" t="n"/>
      <c r="U15" s="4" t="n"/>
    </row>
    <row r="16">
      <c r="A16" t="n">
        <v>14</v>
      </c>
      <c r="B16" s="4" t="inlineStr">
        <is>
          <t>ANAS RAJ</t>
        </is>
      </c>
      <c r="C16" s="4" t="n">
        <v>4</v>
      </c>
      <c r="D16" s="5" t="n">
        <v>0</v>
      </c>
      <c r="H16" t="n">
        <v>14</v>
      </c>
      <c r="I16" s="4" t="inlineStr">
        <is>
          <t>LALA/ASIF</t>
        </is>
      </c>
      <c r="J16" s="5" t="n">
        <v>0</v>
      </c>
      <c r="N16" t="n">
        <v>14</v>
      </c>
      <c r="O16" s="4" t="n"/>
      <c r="P16" s="4" t="n"/>
      <c r="Q16" s="4" t="n"/>
      <c r="S16" t="n">
        <v>14</v>
      </c>
      <c r="T16" s="4" t="n"/>
      <c r="U16" s="4" t="n"/>
    </row>
    <row r="17">
      <c r="A17" t="n">
        <v>15</v>
      </c>
      <c r="B17" s="4" t="inlineStr">
        <is>
          <t>MOBIN CHIPLUN</t>
        </is>
      </c>
      <c r="C17" s="4" t="n">
        <v>4</v>
      </c>
      <c r="D17" s="5" t="n">
        <v>0</v>
      </c>
      <c r="H17" t="n">
        <v>15</v>
      </c>
      <c r="I17" s="4" t="inlineStr">
        <is>
          <t>JAFER KASHIMIRA</t>
        </is>
      </c>
      <c r="J17" s="5" t="n">
        <v>0</v>
      </c>
      <c r="N17" t="n">
        <v>15</v>
      </c>
      <c r="O17" s="4" t="n"/>
      <c r="P17" s="4" t="n"/>
      <c r="Q17" s="4" t="n"/>
      <c r="S17" t="n">
        <v>15</v>
      </c>
      <c r="T17" s="4" t="n"/>
      <c r="U17" s="4" t="n"/>
    </row>
    <row r="18">
      <c r="A18" t="n">
        <v>16</v>
      </c>
      <c r="B18" s="4" t="inlineStr">
        <is>
          <t>AYAZ</t>
        </is>
      </c>
      <c r="C18" s="4" t="n">
        <v>4</v>
      </c>
      <c r="D18" s="5" t="n">
        <v>0</v>
      </c>
      <c r="H18" t="n">
        <v>16</v>
      </c>
      <c r="I18" s="4" t="inlineStr">
        <is>
          <t>CHAND</t>
        </is>
      </c>
      <c r="J18" s="5" t="n">
        <v>0</v>
      </c>
      <c r="N18" t="n">
        <v>16</v>
      </c>
      <c r="O18" s="4" t="n"/>
      <c r="P18" s="4" t="n"/>
      <c r="Q18" s="4" t="n"/>
      <c r="S18" t="n">
        <v>16</v>
      </c>
      <c r="T18" s="4" t="n"/>
      <c r="U18" s="4" t="n"/>
    </row>
    <row r="19">
      <c r="A19" t="n">
        <v>17</v>
      </c>
      <c r="B19" s="4" t="inlineStr">
        <is>
          <t>JALIL</t>
        </is>
      </c>
      <c r="C19" s="4" t="n">
        <v>4</v>
      </c>
      <c r="D19" s="5" t="n">
        <v>0</v>
      </c>
      <c r="H19" t="n">
        <v>17</v>
      </c>
      <c r="I19" s="4" t="inlineStr">
        <is>
          <t>ASIF GOREGAON</t>
        </is>
      </c>
      <c r="J19" s="5" t="n">
        <v>0</v>
      </c>
      <c r="N19" t="n">
        <v>17</v>
      </c>
      <c r="O19" s="4" t="n"/>
      <c r="P19" s="4" t="n"/>
      <c r="Q19" s="4" t="n"/>
      <c r="S19" t="n">
        <v>17</v>
      </c>
      <c r="T19" s="4" t="n"/>
      <c r="U19" s="4" t="n"/>
    </row>
    <row r="20">
      <c r="A20" t="n">
        <v>18</v>
      </c>
      <c r="B20" s="4" t="inlineStr">
        <is>
          <t>NEERAJ</t>
        </is>
      </c>
      <c r="C20" s="4" t="n">
        <v>4</v>
      </c>
      <c r="D20" s="5" t="n">
        <v>0</v>
      </c>
      <c r="H20" t="n">
        <v>18</v>
      </c>
      <c r="I20" s="4" t="inlineStr">
        <is>
          <t>CHINTU SHUJALPUR</t>
        </is>
      </c>
      <c r="J20" s="5" t="n">
        <v>0</v>
      </c>
      <c r="N20" t="n">
        <v>18</v>
      </c>
      <c r="O20" s="4" t="n"/>
      <c r="P20" s="4" t="n"/>
      <c r="Q20" s="4" t="n"/>
      <c r="S20" t="n">
        <v>18</v>
      </c>
      <c r="T20" s="4" t="n"/>
      <c r="U20" s="4" t="n"/>
    </row>
    <row r="21">
      <c r="A21" t="n">
        <v>19</v>
      </c>
      <c r="B21" s="4" t="inlineStr">
        <is>
          <t>IRFAN JOGESHWARI</t>
        </is>
      </c>
      <c r="C21" s="4" t="n">
        <v>4</v>
      </c>
      <c r="D21" s="5" t="n">
        <v>0</v>
      </c>
      <c r="H21" t="n">
        <v>19</v>
      </c>
      <c r="I21" s="4" t="inlineStr">
        <is>
          <t>VAZIR</t>
        </is>
      </c>
      <c r="J21" s="5" t="n">
        <v>0</v>
      </c>
      <c r="N21" t="n">
        <v>19</v>
      </c>
      <c r="O21" s="4" t="n"/>
      <c r="P21" s="4" t="n"/>
      <c r="Q21" s="4" t="n"/>
      <c r="S21" t="n">
        <v>19</v>
      </c>
      <c r="T21" s="4" t="n"/>
      <c r="U21" s="4" t="n"/>
    </row>
    <row r="22">
      <c r="A22" t="n">
        <v>20</v>
      </c>
      <c r="B22" s="4" t="inlineStr">
        <is>
          <t>CHINTU SHUJALPUR</t>
        </is>
      </c>
      <c r="C22" s="4" t="n">
        <v>4</v>
      </c>
      <c r="D22" s="5" t="n">
        <v>0</v>
      </c>
      <c r="H22" t="n">
        <v>20</v>
      </c>
      <c r="I22" s="4" t="inlineStr">
        <is>
          <t>AKRAM</t>
        </is>
      </c>
      <c r="J22" s="5" t="n">
        <v>0</v>
      </c>
      <c r="N22" t="n">
        <v>20</v>
      </c>
      <c r="O22" s="4" t="n"/>
      <c r="P22" s="4" t="n"/>
      <c r="Q22" s="4" t="n"/>
      <c r="S22" t="n">
        <v>20</v>
      </c>
      <c r="T22" s="4" t="n"/>
      <c r="U22" s="4" t="n"/>
    </row>
    <row r="23">
      <c r="A23" t="n">
        <v>21</v>
      </c>
      <c r="B23" s="4" t="n"/>
      <c r="C23" s="4" t="n"/>
      <c r="D23" s="4" t="n"/>
      <c r="E23" s="4" t="n"/>
      <c r="F23" s="4" t="n"/>
      <c r="H23" t="n">
        <v>21</v>
      </c>
      <c r="I23" s="4" t="inlineStr">
        <is>
          <t>NADEEM BHIWANDI</t>
        </is>
      </c>
      <c r="J23" s="5" t="n">
        <v>0</v>
      </c>
      <c r="N23" t="n">
        <v>21</v>
      </c>
      <c r="O23" s="4" t="n"/>
      <c r="P23" s="4" t="n"/>
      <c r="Q23" s="4" t="n"/>
      <c r="S23" t="n">
        <v>21</v>
      </c>
      <c r="T23" s="4" t="n"/>
      <c r="U23" s="4" t="n"/>
    </row>
    <row r="24">
      <c r="A24" t="n">
        <v>22</v>
      </c>
      <c r="B24" s="4" t="n"/>
      <c r="C24" s="4" t="n"/>
      <c r="D24" s="4" t="n"/>
      <c r="E24" s="4" t="n"/>
      <c r="F24" s="4" t="n"/>
      <c r="H24" t="n">
        <v>22</v>
      </c>
      <c r="I24" s="4" t="inlineStr">
        <is>
          <t>SHAKIL KON</t>
        </is>
      </c>
      <c r="J24" s="5" t="n">
        <v>0</v>
      </c>
      <c r="N24" t="n">
        <v>22</v>
      </c>
      <c r="O24" s="4" t="n"/>
      <c r="P24" s="4" t="n"/>
      <c r="Q24" s="4" t="n"/>
      <c r="S24" t="n">
        <v>22</v>
      </c>
      <c r="T24" s="4" t="n"/>
      <c r="U24" s="4" t="n"/>
    </row>
    <row r="25">
      <c r="A25" t="n">
        <v>23</v>
      </c>
      <c r="B25" s="4" t="n"/>
      <c r="C25" s="4" t="n"/>
      <c r="D25" s="4" t="n"/>
      <c r="E25" s="4" t="n"/>
      <c r="F25" s="4" t="n"/>
      <c r="H25" t="n">
        <v>23</v>
      </c>
      <c r="I25" s="4" t="inlineStr">
        <is>
          <t>PARVEZ</t>
        </is>
      </c>
      <c r="J25" s="5" t="n">
        <v>0</v>
      </c>
    </row>
    <row r="26">
      <c r="A26" t="n">
        <v>24</v>
      </c>
      <c r="B26" s="4" t="n"/>
      <c r="C26" s="4" t="n"/>
      <c r="D26" s="4" t="n"/>
      <c r="E26" s="4" t="n"/>
      <c r="F26" s="4" t="n"/>
      <c r="H26" t="n">
        <v>24</v>
      </c>
      <c r="I26" s="4" t="n"/>
      <c r="J26" s="4" t="n"/>
      <c r="K26" s="4" t="n"/>
      <c r="L26" s="4" t="n"/>
    </row>
    <row r="27">
      <c r="A27" t="n">
        <v>25</v>
      </c>
      <c r="B27" s="4" t="n"/>
      <c r="C27" s="4" t="n"/>
      <c r="D27" s="4" t="n"/>
      <c r="E27" s="4" t="n"/>
      <c r="F27" s="4" t="n"/>
      <c r="H27" t="n">
        <v>25</v>
      </c>
      <c r="I27" s="4" t="n"/>
      <c r="J27" s="4" t="n"/>
      <c r="K27" s="4" t="n"/>
      <c r="L27" s="4" t="n"/>
    </row>
    <row r="28">
      <c r="A28" t="n">
        <v>26</v>
      </c>
      <c r="B28" s="4" t="n"/>
      <c r="C28" s="4" t="n"/>
      <c r="D28" s="4" t="n"/>
      <c r="E28" s="4" t="n"/>
      <c r="F28" s="4" t="n"/>
      <c r="H28" t="n">
        <v>26</v>
      </c>
      <c r="I28" s="4" t="n"/>
      <c r="J28" s="4" t="n"/>
      <c r="K28" s="4" t="n"/>
      <c r="L28" s="4" t="n"/>
    </row>
    <row r="29">
      <c r="A29" t="n">
        <v>27</v>
      </c>
      <c r="B29" s="4" t="n"/>
      <c r="C29" s="4" t="n"/>
      <c r="D29" s="4" t="n"/>
      <c r="E29" s="4" t="n"/>
      <c r="F29" s="4" t="n"/>
      <c r="H29" t="n">
        <v>27</v>
      </c>
      <c r="I29" s="4" t="n"/>
      <c r="J29" s="4" t="n"/>
      <c r="K29" s="4" t="n"/>
      <c r="L29" s="4" t="n"/>
    </row>
    <row r="30">
      <c r="A30" t="n">
        <v>28</v>
      </c>
      <c r="B30" s="4" t="n"/>
      <c r="C30" s="4" t="n"/>
      <c r="D30" s="4" t="n"/>
      <c r="E30" s="4" t="n"/>
      <c r="F30" s="4" t="n"/>
      <c r="H30" t="n">
        <v>28</v>
      </c>
      <c r="I30" s="4" t="n"/>
      <c r="J30" s="4" t="n"/>
      <c r="K30" s="4" t="n"/>
      <c r="L30" s="4" t="n"/>
    </row>
    <row r="31">
      <c r="A31" t="n">
        <v>29</v>
      </c>
      <c r="B31" s="4" t="n"/>
      <c r="C31" s="4" t="n"/>
      <c r="D31" s="4" t="n"/>
      <c r="E31" s="4" t="n"/>
      <c r="F31" s="4" t="n"/>
      <c r="H31" t="n">
        <v>29</v>
      </c>
      <c r="I31" s="4" t="n"/>
      <c r="J31" s="4" t="n"/>
      <c r="K31" s="4" t="n"/>
      <c r="L31" s="4" t="n"/>
    </row>
    <row r="32">
      <c r="A32" t="n">
        <v>30</v>
      </c>
      <c r="B32" s="4" t="n"/>
      <c r="C32" s="4" t="n"/>
      <c r="D32" s="4" t="n"/>
      <c r="E32" s="4" t="n"/>
      <c r="F32" s="4" t="n"/>
      <c r="H32" t="n">
        <v>30</v>
      </c>
      <c r="I32" s="4" t="n"/>
      <c r="J32" s="4" t="n"/>
      <c r="K32" s="4" t="n"/>
      <c r="L32" s="4" t="n"/>
    </row>
    <row r="33">
      <c r="A33" t="n">
        <v>31</v>
      </c>
      <c r="B33" s="4" t="n"/>
      <c r="C33" s="4" t="n"/>
      <c r="D33" s="4" t="n"/>
      <c r="E33" s="4" t="n"/>
      <c r="F33" s="4" t="n"/>
      <c r="H33" t="n">
        <v>31</v>
      </c>
      <c r="I33" s="4" t="n"/>
      <c r="J33" s="4" t="n"/>
      <c r="K33" s="4" t="n"/>
      <c r="L33" s="4" t="n"/>
    </row>
    <row r="34">
      <c r="A34" t="n">
        <v>32</v>
      </c>
      <c r="B34" s="4" t="n"/>
      <c r="C34" s="4" t="n"/>
      <c r="D34" s="4" t="n"/>
      <c r="E34" s="4" t="n"/>
      <c r="F34" s="4" t="n"/>
      <c r="H34" t="n">
        <v>32</v>
      </c>
      <c r="I34" s="4" t="n"/>
      <c r="J34" s="4" t="n"/>
      <c r="K34" s="4" t="n"/>
      <c r="L34" s="4" t="n"/>
    </row>
    <row r="35">
      <c r="A35" t="n">
        <v>33</v>
      </c>
      <c r="B35" s="4" t="n"/>
      <c r="C35" s="4" t="n"/>
      <c r="D35" s="4" t="n"/>
      <c r="E35" s="4" t="n"/>
      <c r="F35" s="4" t="n"/>
      <c r="H35" t="n">
        <v>33</v>
      </c>
      <c r="I35" s="4" t="n"/>
      <c r="J35" s="4" t="n"/>
      <c r="K35" s="4" t="n"/>
      <c r="L35" s="4" t="n"/>
    </row>
    <row r="36">
      <c r="A36" t="n">
        <v>34</v>
      </c>
      <c r="B36" s="4" t="n"/>
      <c r="C36" s="4" t="n"/>
      <c r="D36" s="4" t="n"/>
      <c r="E36" s="4" t="n"/>
      <c r="F36" s="4" t="n"/>
      <c r="H36" t="n">
        <v>34</v>
      </c>
      <c r="I36" s="4" t="n"/>
      <c r="J36" s="4" t="n"/>
      <c r="K36" s="4" t="n"/>
      <c r="L36" s="4" t="n"/>
    </row>
    <row r="37">
      <c r="A37" t="n">
        <v>35</v>
      </c>
      <c r="B37" s="4" t="n"/>
      <c r="C37" s="4" t="n"/>
      <c r="D37" s="4" t="n"/>
      <c r="E37" s="4" t="n"/>
      <c r="F37" s="4" t="n"/>
      <c r="H37" t="n">
        <v>35</v>
      </c>
      <c r="I37" s="4" t="n"/>
      <c r="J37" s="4" t="n"/>
      <c r="K37" s="4" t="n"/>
      <c r="L37" s="4" t="n"/>
    </row>
    <row r="38">
      <c r="A38" t="n">
        <v>36</v>
      </c>
      <c r="B38" s="4" t="n"/>
      <c r="C38" s="4" t="n"/>
      <c r="D38" s="4" t="n"/>
      <c r="E38" s="4" t="n"/>
      <c r="F38" s="4" t="n"/>
      <c r="H38" t="n">
        <v>36</v>
      </c>
      <c r="I38" s="4" t="n"/>
      <c r="J38" s="4" t="n"/>
      <c r="K38" s="4" t="n"/>
      <c r="L38" s="4" t="n"/>
    </row>
    <row r="39">
      <c r="A39" t="n">
        <v>37</v>
      </c>
      <c r="B39" s="4" t="n"/>
      <c r="C39" s="4" t="n"/>
      <c r="D39" s="4" t="n"/>
      <c r="E39" s="4" t="n"/>
      <c r="F39" s="4" t="n"/>
      <c r="H39" t="n">
        <v>37</v>
      </c>
      <c r="I39" s="4" t="n"/>
      <c r="J39" s="4" t="n"/>
      <c r="K39" s="4" t="n"/>
      <c r="L39" s="4" t="n"/>
    </row>
    <row r="40">
      <c r="A40" t="n">
        <v>38</v>
      </c>
      <c r="B40" s="4" t="n"/>
      <c r="C40" s="4" t="n"/>
      <c r="D40" s="4" t="n"/>
      <c r="E40" s="4" t="n"/>
      <c r="F40" s="4" t="n"/>
      <c r="H40" t="n">
        <v>38</v>
      </c>
      <c r="I40" s="4" t="n"/>
      <c r="J40" s="4" t="n"/>
      <c r="K40" s="4" t="n"/>
      <c r="L40" s="4" t="n"/>
    </row>
    <row r="41">
      <c r="A41" t="n">
        <v>39</v>
      </c>
      <c r="B41" s="4" t="n"/>
      <c r="C41" s="4" t="n"/>
      <c r="D41" s="4" t="n"/>
      <c r="E41" s="4" t="n"/>
      <c r="F41" s="4" t="n"/>
      <c r="H41" t="n">
        <v>39</v>
      </c>
      <c r="I41" s="4" t="n"/>
      <c r="J41" s="4" t="n"/>
      <c r="K41" s="4" t="n"/>
      <c r="L41" s="4" t="n"/>
    </row>
    <row r="42">
      <c r="A42" t="n">
        <v>40</v>
      </c>
      <c r="B42" s="4" t="n"/>
      <c r="C42" s="4" t="n"/>
      <c r="D42" s="4" t="n"/>
      <c r="E42" s="4" t="n"/>
      <c r="F42" s="4" t="n"/>
      <c r="H42" t="n">
        <v>40</v>
      </c>
      <c r="I42" s="4" t="n"/>
      <c r="J42" s="4" t="n"/>
      <c r="K42" s="4" t="n"/>
      <c r="L42" s="4" t="n"/>
    </row>
    <row r="43">
      <c r="A43" t="n">
        <v>41</v>
      </c>
      <c r="B43" s="4" t="n"/>
      <c r="C43" s="4" t="n"/>
      <c r="D43" s="4" t="n"/>
      <c r="E43" s="4" t="n"/>
      <c r="F43" s="4" t="n"/>
      <c r="H43" t="n">
        <v>41</v>
      </c>
      <c r="I43" s="4" t="n"/>
      <c r="J43" s="4" t="n"/>
      <c r="K43" s="4" t="n"/>
      <c r="L43" s="4" t="n"/>
    </row>
    <row r="44">
      <c r="A44" t="n">
        <v>42</v>
      </c>
      <c r="B44" s="4" t="n"/>
      <c r="C44" s="4" t="n"/>
      <c r="D44" s="4" t="n"/>
      <c r="E44" s="4" t="n"/>
      <c r="F44" s="4" t="n"/>
      <c r="H44" t="n">
        <v>42</v>
      </c>
      <c r="I44" s="4" t="n"/>
      <c r="J44" s="4" t="n"/>
      <c r="K44" s="4" t="n"/>
      <c r="L44" s="4" t="n"/>
    </row>
    <row r="45">
      <c r="A45" t="n">
        <v>43</v>
      </c>
      <c r="B45" s="4" t="n"/>
      <c r="C45" s="4" t="n"/>
      <c r="D45" s="4" t="n"/>
      <c r="E45" s="4" t="n"/>
      <c r="F45" s="4" t="n"/>
      <c r="H45" t="n">
        <v>43</v>
      </c>
      <c r="I45" s="4" t="n"/>
      <c r="J45" s="4" t="n"/>
      <c r="K45" s="4" t="n"/>
      <c r="L45" s="4" t="n"/>
    </row>
    <row r="46">
      <c r="A46" t="n">
        <v>44</v>
      </c>
      <c r="B46" s="4" t="n"/>
      <c r="C46" s="4" t="n"/>
      <c r="D46" s="4" t="n"/>
      <c r="E46" s="4" t="n"/>
      <c r="F46" s="4" t="n"/>
      <c r="H46" t="n">
        <v>44</v>
      </c>
      <c r="I46" s="4" t="n"/>
      <c r="J46" s="4" t="n"/>
      <c r="K46" s="4" t="n"/>
      <c r="L46" s="4" t="n"/>
    </row>
    <row r="47">
      <c r="A47" t="n">
        <v>45</v>
      </c>
      <c r="B47" s="4" t="n"/>
      <c r="C47" s="4" t="n"/>
      <c r="D47" s="4" t="n"/>
      <c r="E47" s="4" t="n"/>
      <c r="F47" s="4" t="n"/>
      <c r="H47" t="n">
        <v>45</v>
      </c>
      <c r="I47" s="4" t="n"/>
      <c r="J47" s="4" t="n"/>
      <c r="K47" s="4" t="n"/>
      <c r="L47" s="4" t="n"/>
    </row>
    <row r="48">
      <c r="A48" t="n">
        <v>46</v>
      </c>
      <c r="B48" s="4" t="n"/>
      <c r="C48" s="4" t="n"/>
      <c r="D48" s="4" t="n"/>
      <c r="E48" s="4" t="n"/>
      <c r="F48" s="4" t="n"/>
      <c r="H48" t="n">
        <v>46</v>
      </c>
      <c r="I48" s="4" t="n"/>
      <c r="J48" s="4" t="n"/>
      <c r="K48" s="4" t="n"/>
      <c r="L48" s="4" t="n"/>
    </row>
    <row r="49">
      <c r="A49" t="n">
        <v>47</v>
      </c>
      <c r="B49" s="4" t="n"/>
      <c r="C49" s="4" t="n"/>
      <c r="D49" s="4" t="n"/>
      <c r="E49" s="4" t="n"/>
      <c r="F49" s="4" t="n"/>
      <c r="H49" t="n">
        <v>47</v>
      </c>
      <c r="I49" s="4" t="n"/>
      <c r="J49" s="4" t="n"/>
      <c r="K49" s="4" t="n"/>
      <c r="L49" s="4" t="n"/>
    </row>
    <row r="50">
      <c r="A50" t="n">
        <v>48</v>
      </c>
      <c r="B50" s="4" t="n"/>
      <c r="C50" s="4" t="n"/>
      <c r="D50" s="4" t="n"/>
      <c r="E50" s="4" t="n"/>
      <c r="F50" s="4" t="n"/>
      <c r="H50" t="n">
        <v>48</v>
      </c>
      <c r="I50" s="4" t="n"/>
      <c r="J50" s="4" t="n"/>
      <c r="K50" s="4" t="n"/>
      <c r="L50" s="4" t="n"/>
    </row>
    <row r="51">
      <c r="A51" t="n">
        <v>49</v>
      </c>
      <c r="B51" s="4" t="n"/>
      <c r="C51" s="4" t="n"/>
      <c r="D51" s="4" t="n"/>
      <c r="E51" s="4" t="n"/>
      <c r="F51" s="4" t="n"/>
      <c r="H51" t="n">
        <v>49</v>
      </c>
      <c r="I51" s="4" t="n"/>
      <c r="J51" s="4" t="n"/>
      <c r="K51" s="4" t="n"/>
      <c r="L51" s="4" t="n"/>
    </row>
    <row r="52">
      <c r="A52" t="n">
        <v>50</v>
      </c>
      <c r="B52" s="4" t="n"/>
      <c r="C52" s="4" t="n"/>
      <c r="D52" s="4" t="n"/>
      <c r="E52" s="4" t="n"/>
      <c r="F52" s="4" t="n"/>
      <c r="H52" t="n">
        <v>50</v>
      </c>
      <c r="I52" s="4" t="n"/>
      <c r="J52" s="4" t="n"/>
      <c r="K52" s="4" t="n"/>
      <c r="L52" s="4" t="n"/>
    </row>
    <row r="53">
      <c r="A53" t="n">
        <v>51</v>
      </c>
      <c r="B53" s="4" t="n"/>
      <c r="C53" s="4" t="n"/>
      <c r="D53" s="4" t="n"/>
      <c r="E53" s="4" t="n"/>
      <c r="F53" s="4" t="n"/>
      <c r="H53" t="n">
        <v>51</v>
      </c>
      <c r="I53" s="4" t="n"/>
      <c r="J53" s="4" t="n"/>
      <c r="K53" s="4" t="n"/>
      <c r="L53" s="4" t="n"/>
    </row>
    <row r="54">
      <c r="A54" t="n">
        <v>52</v>
      </c>
      <c r="B54" s="4" t="n"/>
      <c r="C54" s="4" t="n"/>
      <c r="D54" s="4" t="n"/>
      <c r="E54" s="4" t="n"/>
      <c r="F54" s="4" t="n"/>
      <c r="H54" t="n">
        <v>52</v>
      </c>
      <c r="I54" s="4" t="n"/>
      <c r="J54" s="4" t="n"/>
      <c r="K54" s="4" t="n"/>
      <c r="L54" s="4" t="n"/>
    </row>
    <row r="55">
      <c r="A55" t="n">
        <v>53</v>
      </c>
      <c r="B55" s="4" t="n"/>
      <c r="C55" s="4" t="n"/>
      <c r="D55" s="4" t="n"/>
      <c r="E55" s="4" t="n"/>
      <c r="F55" s="4" t="n"/>
      <c r="H55" t="n">
        <v>53</v>
      </c>
      <c r="I55" s="4" t="n"/>
      <c r="J55" s="4" t="n"/>
      <c r="K55" s="4" t="n"/>
      <c r="L55" s="4" t="n"/>
    </row>
    <row r="56">
      <c r="A56" t="n">
        <v>54</v>
      </c>
      <c r="B56" s="4" t="n"/>
      <c r="C56" s="4" t="n"/>
      <c r="D56" s="4" t="n"/>
      <c r="E56" s="4" t="n"/>
      <c r="F56" s="4" t="n"/>
      <c r="H56" t="n">
        <v>54</v>
      </c>
      <c r="I56" s="4" t="n"/>
      <c r="J56" s="4" t="n"/>
      <c r="K56" s="4" t="n"/>
      <c r="L56" s="4" t="n"/>
    </row>
    <row r="57">
      <c r="A57" t="n">
        <v>55</v>
      </c>
      <c r="B57" s="4" t="n"/>
      <c r="C57" s="4" t="n"/>
      <c r="D57" s="4" t="n"/>
      <c r="E57" s="4" t="n"/>
      <c r="F57" s="4" t="n"/>
      <c r="H57" t="n">
        <v>55</v>
      </c>
      <c r="I57" s="4" t="n"/>
      <c r="J57" s="4" t="n"/>
      <c r="K57" s="4" t="n"/>
      <c r="L57" s="4" t="n"/>
    </row>
    <row r="58">
      <c r="A58" t="n">
        <v>56</v>
      </c>
      <c r="B58" s="4" t="n"/>
      <c r="C58" s="4" t="n"/>
      <c r="D58" s="4" t="n"/>
      <c r="E58" s="4" t="n"/>
      <c r="F58" s="4" t="n"/>
      <c r="H58" t="n">
        <v>56</v>
      </c>
      <c r="I58" s="4" t="n"/>
      <c r="J58" s="4" t="n"/>
      <c r="K58" s="4" t="n"/>
      <c r="L58" s="4" t="n"/>
    </row>
    <row r="59">
      <c r="A59" t="n">
        <v>57</v>
      </c>
      <c r="B59" s="4" t="n"/>
      <c r="C59" s="4" t="n"/>
      <c r="D59" s="4" t="n"/>
      <c r="E59" s="4" t="n"/>
      <c r="F59" s="4" t="n"/>
      <c r="H59" t="n">
        <v>57</v>
      </c>
      <c r="I59" s="4" t="n"/>
      <c r="J59" s="4" t="n"/>
      <c r="K59" s="4" t="n"/>
      <c r="L59" s="4" t="n"/>
    </row>
    <row r="60">
      <c r="A60" t="n">
        <v>58</v>
      </c>
      <c r="B60" s="4" t="n"/>
      <c r="C60" s="4" t="n"/>
      <c r="D60" s="4" t="n"/>
      <c r="E60" s="4" t="n"/>
      <c r="F60" s="4" t="n"/>
      <c r="H60" t="n">
        <v>58</v>
      </c>
      <c r="I60" s="4" t="n"/>
      <c r="J60" s="4" t="n"/>
      <c r="K60" s="4" t="n"/>
      <c r="L60" s="4" t="n"/>
    </row>
    <row r="61">
      <c r="A61" t="n">
        <v>59</v>
      </c>
      <c r="B61" s="4" t="n"/>
      <c r="C61" s="4" t="n"/>
      <c r="D61" s="4" t="n"/>
      <c r="E61" s="4" t="n"/>
      <c r="F61" s="4" t="n"/>
      <c r="H61" t="n">
        <v>59</v>
      </c>
      <c r="I61" s="4" t="n"/>
      <c r="J61" s="4" t="n"/>
      <c r="K61" s="4" t="n"/>
      <c r="L61" s="4" t="n"/>
    </row>
    <row r="62">
      <c r="A62" t="n">
        <v>60</v>
      </c>
      <c r="B62" s="4" t="n"/>
      <c r="C62" s="4" t="n"/>
      <c r="D62" s="4" t="n"/>
      <c r="E62" s="4" t="n"/>
      <c r="F62" s="4" t="n"/>
      <c r="H62" t="n">
        <v>60</v>
      </c>
      <c r="I62" s="4" t="n"/>
      <c r="J62" s="4" t="n"/>
      <c r="K62" s="4" t="n"/>
      <c r="L62" s="4" t="n"/>
    </row>
    <row r="63">
      <c r="A63" t="n">
        <v>61</v>
      </c>
      <c r="B63" s="4" t="n"/>
      <c r="C63" s="4" t="n"/>
      <c r="D63" s="4" t="n"/>
      <c r="E63" s="4" t="n"/>
      <c r="F63" s="4" t="n"/>
      <c r="H63" t="n">
        <v>61</v>
      </c>
      <c r="I63" s="4" t="n"/>
      <c r="J63" s="4" t="n"/>
      <c r="K63" s="4" t="n"/>
      <c r="L63" s="4" t="n"/>
    </row>
    <row r="64">
      <c r="A64" t="n">
        <v>62</v>
      </c>
      <c r="B64" s="4" t="n"/>
      <c r="C64" s="4" t="n"/>
      <c r="D64" s="4" t="n"/>
      <c r="E64" s="4" t="n"/>
      <c r="F64" s="4" t="n"/>
      <c r="H64" t="n">
        <v>62</v>
      </c>
      <c r="I64" s="4" t="n"/>
      <c r="J64" s="4" t="n"/>
      <c r="K64" s="4" t="n"/>
      <c r="L64" s="4" t="n"/>
    </row>
    <row r="65">
      <c r="A65" t="n">
        <v>63</v>
      </c>
      <c r="B65" s="4" t="n"/>
      <c r="C65" s="4" t="n"/>
      <c r="D65" s="4" t="n"/>
      <c r="E65" s="4" t="n"/>
      <c r="F65" s="4" t="n"/>
      <c r="H65" t="n">
        <v>63</v>
      </c>
      <c r="I65" s="4" t="n"/>
      <c r="J65" s="4" t="n"/>
      <c r="K65" s="4" t="n"/>
      <c r="L65" s="4" t="n"/>
    </row>
    <row r="66">
      <c r="A66" t="n">
        <v>64</v>
      </c>
      <c r="B66" s="4" t="n"/>
      <c r="C66" s="4" t="n"/>
      <c r="D66" s="4" t="n"/>
      <c r="E66" s="4" t="n"/>
      <c r="F66" s="4" t="n"/>
      <c r="H66" t="n">
        <v>64</v>
      </c>
      <c r="I66" s="4" t="n"/>
      <c r="J66" s="4" t="n"/>
      <c r="K66" s="4" t="n"/>
      <c r="L66" s="4" t="n"/>
    </row>
    <row r="67">
      <c r="A67" t="n">
        <v>65</v>
      </c>
      <c r="B67" s="4" t="n"/>
      <c r="C67" s="4" t="n"/>
      <c r="D67" s="4" t="n"/>
      <c r="E67" s="4" t="n"/>
      <c r="F67" s="4" t="n"/>
      <c r="H67" t="n">
        <v>65</v>
      </c>
      <c r="I67" s="4" t="n"/>
      <c r="J67" s="4" t="n"/>
      <c r="K67" s="4" t="n"/>
      <c r="L67" s="4" t="n"/>
    </row>
    <row r="68">
      <c r="A68" t="n">
        <v>66</v>
      </c>
      <c r="B68" s="4" t="n"/>
      <c r="C68" s="4" t="n"/>
      <c r="D68" s="4" t="n"/>
      <c r="E68" s="4" t="n"/>
      <c r="F68" s="4" t="n"/>
      <c r="H68" t="n">
        <v>66</v>
      </c>
      <c r="I68" s="4" t="n"/>
      <c r="J68" s="4" t="n"/>
      <c r="K68" s="4" t="n"/>
      <c r="L68" s="4" t="n"/>
    </row>
    <row r="69">
      <c r="A69" t="n">
        <v>67</v>
      </c>
      <c r="B69" s="4" t="n"/>
      <c r="C69" s="4" t="n"/>
      <c r="D69" s="4" t="n"/>
      <c r="E69" s="4" t="n"/>
      <c r="F69" s="4" t="n"/>
      <c r="H69" t="n">
        <v>67</v>
      </c>
      <c r="I69" s="4" t="n"/>
      <c r="J69" s="4" t="n"/>
      <c r="K69" s="4" t="n"/>
      <c r="L69" s="4" t="n"/>
    </row>
    <row r="70">
      <c r="A70" t="n">
        <v>68</v>
      </c>
      <c r="B70" s="4" t="n"/>
      <c r="C70" s="4" t="n"/>
      <c r="D70" s="4" t="n"/>
      <c r="E70" s="4" t="n"/>
      <c r="F70" s="4" t="n"/>
      <c r="H70" t="n">
        <v>68</v>
      </c>
      <c r="I70" s="4" t="n"/>
      <c r="J70" s="4" t="n"/>
      <c r="K70" s="4" t="n"/>
      <c r="L70" s="4" t="n"/>
    </row>
    <row r="71">
      <c r="A71" t="n">
        <v>69</v>
      </c>
      <c r="B71" s="4" t="n"/>
      <c r="C71" s="4" t="n"/>
      <c r="D71" s="4" t="n"/>
      <c r="E71" s="4" t="n"/>
      <c r="F71" s="4" t="n"/>
      <c r="H71" t="n">
        <v>69</v>
      </c>
      <c r="I71" s="4" t="n"/>
      <c r="J71" s="4" t="n"/>
      <c r="K71" s="4" t="n"/>
      <c r="L71" s="4" t="n"/>
    </row>
    <row r="72">
      <c r="A72" t="n">
        <v>70</v>
      </c>
      <c r="B72" s="4" t="n"/>
      <c r="C72" s="4" t="n"/>
      <c r="D72" s="4" t="n"/>
      <c r="E72" s="4" t="n"/>
      <c r="F72" s="4" t="n"/>
      <c r="H72" t="n">
        <v>70</v>
      </c>
      <c r="I72" s="4" t="n"/>
      <c r="J72" s="4" t="n"/>
      <c r="K72" s="4" t="n"/>
      <c r="L72" s="4" t="n"/>
    </row>
    <row r="73">
      <c r="A73" t="n">
        <v>71</v>
      </c>
      <c r="B73" s="4" t="n"/>
      <c r="C73" s="4" t="n"/>
      <c r="D73" s="4" t="n"/>
      <c r="E73" s="4" t="n"/>
      <c r="F73" s="4" t="n"/>
      <c r="H73" t="n">
        <v>71</v>
      </c>
      <c r="I73" s="4" t="n"/>
      <c r="J73" s="4" t="n"/>
      <c r="K73" s="4" t="n"/>
      <c r="L73" s="4" t="n"/>
    </row>
    <row r="74">
      <c r="A74" t="n">
        <v>72</v>
      </c>
      <c r="B74" s="4" t="n"/>
      <c r="C74" s="4" t="n"/>
      <c r="D74" s="4" t="n"/>
      <c r="E74" s="4" t="n"/>
      <c r="F74" s="4" t="n"/>
      <c r="H74" t="n">
        <v>72</v>
      </c>
      <c r="I74" s="4" t="n"/>
      <c r="J74" s="4" t="n"/>
      <c r="K74" s="4" t="n"/>
      <c r="L74" s="4" t="n"/>
    </row>
    <row r="75">
      <c r="A75" t="n">
        <v>73</v>
      </c>
      <c r="B75" s="4" t="n"/>
      <c r="C75" s="4" t="n"/>
      <c r="D75" s="4" t="n"/>
      <c r="E75" s="4" t="n"/>
      <c r="F75" s="4" t="n"/>
      <c r="H75" t="n">
        <v>73</v>
      </c>
      <c r="I75" s="4" t="n"/>
      <c r="J75" s="4" t="n"/>
      <c r="K75" s="4" t="n"/>
      <c r="L75" s="4" t="n"/>
    </row>
    <row r="76">
      <c r="A76" t="n">
        <v>74</v>
      </c>
      <c r="B76" s="4" t="n"/>
      <c r="C76" s="4" t="n"/>
      <c r="D76" s="4" t="n"/>
      <c r="E76" s="4" t="n"/>
      <c r="F76" s="4" t="n"/>
      <c r="H76" t="n">
        <v>74</v>
      </c>
      <c r="I76" s="4" t="n"/>
      <c r="J76" s="4" t="n"/>
      <c r="K76" s="4" t="n"/>
      <c r="L76" s="4" t="n"/>
    </row>
    <row r="77">
      <c r="A77" t="n">
        <v>75</v>
      </c>
      <c r="B77" s="4" t="n"/>
      <c r="C77" s="4" t="n"/>
      <c r="D77" s="4" t="n"/>
      <c r="E77" s="4" t="n"/>
      <c r="F77" s="4" t="n"/>
      <c r="H77" t="n">
        <v>75</v>
      </c>
      <c r="I77" s="4" t="n"/>
      <c r="J77" s="4" t="n"/>
      <c r="K77" s="4" t="n"/>
      <c r="L77" s="4" t="n"/>
    </row>
    <row r="78">
      <c r="A78" t="n">
        <v>76</v>
      </c>
      <c r="B78" s="4" t="n"/>
      <c r="C78" s="4" t="n"/>
      <c r="D78" s="4" t="n"/>
      <c r="E78" s="4" t="n"/>
      <c r="F78" s="4" t="n"/>
      <c r="H78" t="n">
        <v>76</v>
      </c>
      <c r="I78" s="4" t="n"/>
      <c r="J78" s="4" t="n"/>
      <c r="K78" s="4" t="n"/>
      <c r="L78" s="4" t="n"/>
    </row>
    <row r="79">
      <c r="A79" t="n">
        <v>77</v>
      </c>
      <c r="B79" s="4" t="n"/>
      <c r="C79" s="4" t="n"/>
      <c r="D79" s="4" t="n"/>
      <c r="E79" s="4" t="n"/>
      <c r="F79" s="4" t="n"/>
      <c r="H79" t="n">
        <v>77</v>
      </c>
      <c r="I79" s="4" t="n"/>
      <c r="J79" s="4" t="n"/>
      <c r="K79" s="4" t="n"/>
      <c r="L79" s="4" t="n"/>
    </row>
  </sheetData>
  <dataValidations count="1">
    <dataValidation sqref="Q3:Q24" showDropDown="0" showInputMessage="0" showErrorMessage="0" allowBlank="1" type="list">
      <formula1>"CAPITAL,LOAN,AMANAT"</formula1>
    </dataValidation>
  </dataValidation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I1003"/>
  <sheetViews>
    <sheetView workbookViewId="0">
      <selection activeCell="A1" sqref="A1"/>
    </sheetView>
  </sheetViews>
  <sheetFormatPr baseColWidth="8" defaultRowHeight="15"/>
  <cols>
    <col width="4" customWidth="1" min="1" max="1"/>
    <col width="11" customWidth="1" min="2" max="2"/>
    <col width="20" customWidth="1" min="3" max="3"/>
    <col width="20" customWidth="1" min="4" max="4"/>
    <col width="6" customWidth="1" min="5" max="5"/>
    <col width="10" customWidth="1" min="6" max="6"/>
    <col width="12" customWidth="1" min="7" max="7"/>
    <col width="10" customWidth="1" min="8" max="8"/>
    <col width="12" customWidth="1" min="9" max="9"/>
  </cols>
  <sheetData>
    <row r="1">
      <c r="A1" s="1" t="inlineStr">
        <is>
          <t>DAILY SALES (Bepaari → Dukandar)</t>
        </is>
      </c>
    </row>
    <row r="2">
      <c r="A2" s="7" t="inlineStr">
        <is>
          <t>This feeds: Bepaari Ledger, Dukandar Ledger, Commission</t>
        </is>
      </c>
    </row>
    <row r="3">
      <c r="A3" s="2" t="inlineStr">
        <is>
          <t>Sr</t>
        </is>
      </c>
      <c r="B3" s="2" t="inlineStr">
        <is>
          <t>Date</t>
        </is>
      </c>
      <c r="C3" s="2" t="inlineStr">
        <is>
          <t>Bepaari</t>
        </is>
      </c>
      <c r="D3" s="2" t="inlineStr">
        <is>
          <t>Dukandar</t>
        </is>
      </c>
      <c r="E3" s="2" t="inlineStr">
        <is>
          <t>Qty</t>
        </is>
      </c>
      <c r="F3" s="2" t="inlineStr">
        <is>
          <t>Rate</t>
        </is>
      </c>
      <c r="G3" s="2" t="inlineStr">
        <is>
          <t>Gross</t>
        </is>
      </c>
      <c r="H3" s="2" t="inlineStr">
        <is>
          <t>Discount</t>
        </is>
      </c>
      <c r="I3" s="2" t="inlineStr">
        <is>
          <t>Net</t>
        </is>
      </c>
    </row>
    <row r="4">
      <c r="A4" t="n">
        <v>1</v>
      </c>
      <c r="B4" s="8" t="n"/>
      <c r="C4" s="4" t="n"/>
      <c r="D4" s="4" t="n"/>
      <c r="E4" s="4" t="n"/>
      <c r="F4" s="5" t="n"/>
      <c r="G4" s="9">
        <f>IF(E4="","",E4*F4)</f>
        <v/>
      </c>
      <c r="H4" s="5" t="n"/>
      <c r="I4" s="9">
        <f>IF(G4="","",G4-IF(H4="",0,H4))</f>
        <v/>
      </c>
    </row>
    <row r="5">
      <c r="A5" t="n">
        <v>2</v>
      </c>
      <c r="B5" s="8" t="n"/>
      <c r="C5" s="4" t="n"/>
      <c r="D5" s="4" t="n"/>
      <c r="E5" s="4" t="n"/>
      <c r="F5" s="5" t="n"/>
      <c r="G5" s="9">
        <f>IF(E5="","",E5*F5)</f>
        <v/>
      </c>
      <c r="H5" s="5" t="n"/>
      <c r="I5" s="9">
        <f>IF(G5="","",G5-IF(H5="",0,H5))</f>
        <v/>
      </c>
    </row>
    <row r="6">
      <c r="A6" t="n">
        <v>3</v>
      </c>
      <c r="B6" s="8" t="n"/>
      <c r="C6" s="4" t="n"/>
      <c r="D6" s="4" t="n"/>
      <c r="E6" s="4" t="n"/>
      <c r="F6" s="5" t="n"/>
      <c r="G6" s="9">
        <f>IF(E6="","",E6*F6)</f>
        <v/>
      </c>
      <c r="H6" s="5" t="n"/>
      <c r="I6" s="9">
        <f>IF(G6="","",G6-IF(H6="",0,H6))</f>
        <v/>
      </c>
    </row>
    <row r="7">
      <c r="A7" t="n">
        <v>4</v>
      </c>
      <c r="B7" s="8" t="n"/>
      <c r="C7" s="4" t="n"/>
      <c r="D7" s="4" t="n"/>
      <c r="E7" s="4" t="n"/>
      <c r="F7" s="5" t="n"/>
      <c r="G7" s="9">
        <f>IF(E7="","",E7*F7)</f>
        <v/>
      </c>
      <c r="H7" s="5" t="n"/>
      <c r="I7" s="9">
        <f>IF(G7="","",G7-IF(H7="",0,H7))</f>
        <v/>
      </c>
    </row>
    <row r="8">
      <c r="A8" t="n">
        <v>5</v>
      </c>
      <c r="B8" s="8" t="n"/>
      <c r="C8" s="4" t="n"/>
      <c r="D8" s="4" t="n"/>
      <c r="E8" s="4" t="n"/>
      <c r="F8" s="5" t="n"/>
      <c r="G8" s="9">
        <f>IF(E8="","",E8*F8)</f>
        <v/>
      </c>
      <c r="H8" s="5" t="n"/>
      <c r="I8" s="9">
        <f>IF(G8="","",G8-IF(H8="",0,H8))</f>
        <v/>
      </c>
    </row>
    <row r="9">
      <c r="A9" t="n">
        <v>6</v>
      </c>
      <c r="B9" s="8" t="n"/>
      <c r="C9" s="4" t="n"/>
      <c r="D9" s="4" t="n"/>
      <c r="E9" s="4" t="n"/>
      <c r="F9" s="5" t="n"/>
      <c r="G9" s="9">
        <f>IF(E9="","",E9*F9)</f>
        <v/>
      </c>
      <c r="H9" s="5" t="n"/>
      <c r="I9" s="9">
        <f>IF(G9="","",G9-IF(H9="",0,H9))</f>
        <v/>
      </c>
    </row>
    <row r="10">
      <c r="A10" t="n">
        <v>7</v>
      </c>
      <c r="B10" s="8" t="n"/>
      <c r="C10" s="4" t="n"/>
      <c r="D10" s="4" t="n"/>
      <c r="E10" s="4" t="n"/>
      <c r="F10" s="5" t="n"/>
      <c r="G10" s="9">
        <f>IF(E10="","",E10*F10)</f>
        <v/>
      </c>
      <c r="H10" s="5" t="n"/>
      <c r="I10" s="9">
        <f>IF(G10="","",G10-IF(H10="",0,H10))</f>
        <v/>
      </c>
    </row>
    <row r="11">
      <c r="A11" t="n">
        <v>8</v>
      </c>
      <c r="B11" s="8" t="n"/>
      <c r="C11" s="4" t="n"/>
      <c r="D11" s="4" t="n"/>
      <c r="E11" s="4" t="n"/>
      <c r="F11" s="5" t="n"/>
      <c r="G11" s="9">
        <f>IF(E11="","",E11*F11)</f>
        <v/>
      </c>
      <c r="H11" s="5" t="n"/>
      <c r="I11" s="9">
        <f>IF(G11="","",G11-IF(H11="",0,H11))</f>
        <v/>
      </c>
    </row>
    <row r="12">
      <c r="A12" t="n">
        <v>9</v>
      </c>
      <c r="B12" s="8" t="n"/>
      <c r="C12" s="4" t="n"/>
      <c r="D12" s="4" t="n"/>
      <c r="E12" s="4" t="n"/>
      <c r="F12" s="5" t="n"/>
      <c r="G12" s="9">
        <f>IF(E12="","",E12*F12)</f>
        <v/>
      </c>
      <c r="H12" s="5" t="n"/>
      <c r="I12" s="9">
        <f>IF(G12="","",G12-IF(H12="",0,H12))</f>
        <v/>
      </c>
    </row>
    <row r="13">
      <c r="A13" t="n">
        <v>10</v>
      </c>
      <c r="B13" s="8" t="n"/>
      <c r="C13" s="4" t="n"/>
      <c r="D13" s="4" t="n"/>
      <c r="E13" s="4" t="n"/>
      <c r="F13" s="5" t="n"/>
      <c r="G13" s="9">
        <f>IF(E13="","",E13*F13)</f>
        <v/>
      </c>
      <c r="H13" s="5" t="n"/>
      <c r="I13" s="9">
        <f>IF(G13="","",G13-IF(H13="",0,H13))</f>
        <v/>
      </c>
    </row>
    <row r="14">
      <c r="A14" t="n">
        <v>11</v>
      </c>
      <c r="B14" s="8" t="n"/>
      <c r="C14" s="4" t="n"/>
      <c r="D14" s="4" t="n"/>
      <c r="E14" s="4" t="n"/>
      <c r="F14" s="5" t="n"/>
      <c r="G14" s="9">
        <f>IF(E14="","",E14*F14)</f>
        <v/>
      </c>
      <c r="H14" s="5" t="n"/>
      <c r="I14" s="9">
        <f>IF(G14="","",G14-IF(H14="",0,H14))</f>
        <v/>
      </c>
    </row>
    <row r="15">
      <c r="A15" t="n">
        <v>12</v>
      </c>
      <c r="B15" s="8" t="n"/>
      <c r="C15" s="4" t="n"/>
      <c r="D15" s="4" t="n"/>
      <c r="E15" s="4" t="n"/>
      <c r="F15" s="5" t="n"/>
      <c r="G15" s="9">
        <f>IF(E15="","",E15*F15)</f>
        <v/>
      </c>
      <c r="H15" s="5" t="n"/>
      <c r="I15" s="9">
        <f>IF(G15="","",G15-IF(H15="",0,H15))</f>
        <v/>
      </c>
    </row>
    <row r="16">
      <c r="A16" t="n">
        <v>13</v>
      </c>
      <c r="B16" s="8" t="n"/>
      <c r="C16" s="4" t="n"/>
      <c r="D16" s="4" t="n"/>
      <c r="E16" s="4" t="n"/>
      <c r="F16" s="5" t="n"/>
      <c r="G16" s="9">
        <f>IF(E16="","",E16*F16)</f>
        <v/>
      </c>
      <c r="H16" s="5" t="n"/>
      <c r="I16" s="9">
        <f>IF(G16="","",G16-IF(H16="",0,H16))</f>
        <v/>
      </c>
    </row>
    <row r="17">
      <c r="A17" t="n">
        <v>14</v>
      </c>
      <c r="B17" s="8" t="n"/>
      <c r="C17" s="4" t="n"/>
      <c r="D17" s="4" t="n"/>
      <c r="E17" s="4" t="n"/>
      <c r="F17" s="5" t="n"/>
      <c r="G17" s="9">
        <f>IF(E17="","",E17*F17)</f>
        <v/>
      </c>
      <c r="H17" s="5" t="n"/>
      <c r="I17" s="9">
        <f>IF(G17="","",G17-IF(H17="",0,H17))</f>
        <v/>
      </c>
    </row>
    <row r="18">
      <c r="A18" t="n">
        <v>15</v>
      </c>
      <c r="B18" s="8" t="n"/>
      <c r="C18" s="4" t="n"/>
      <c r="D18" s="4" t="n"/>
      <c r="E18" s="4" t="n"/>
      <c r="F18" s="5" t="n"/>
      <c r="G18" s="9">
        <f>IF(E18="","",E18*F18)</f>
        <v/>
      </c>
      <c r="H18" s="5" t="n"/>
      <c r="I18" s="9">
        <f>IF(G18="","",G18-IF(H18="",0,H18))</f>
        <v/>
      </c>
    </row>
    <row r="19">
      <c r="A19" t="n">
        <v>16</v>
      </c>
      <c r="B19" s="8" t="n"/>
      <c r="C19" s="4" t="n"/>
      <c r="D19" s="4" t="n"/>
      <c r="E19" s="4" t="n"/>
      <c r="F19" s="5" t="n"/>
      <c r="G19" s="9">
        <f>IF(E19="","",E19*F19)</f>
        <v/>
      </c>
      <c r="H19" s="5" t="n"/>
      <c r="I19" s="9">
        <f>IF(G19="","",G19-IF(H19="",0,H19))</f>
        <v/>
      </c>
    </row>
    <row r="20">
      <c r="A20" t="n">
        <v>17</v>
      </c>
      <c r="B20" s="8" t="n"/>
      <c r="C20" s="4" t="n"/>
      <c r="D20" s="4" t="n"/>
      <c r="E20" s="4" t="n"/>
      <c r="F20" s="5" t="n"/>
      <c r="G20" s="9">
        <f>IF(E20="","",E20*F20)</f>
        <v/>
      </c>
      <c r="H20" s="5" t="n"/>
      <c r="I20" s="9">
        <f>IF(G20="","",G20-IF(H20="",0,H20))</f>
        <v/>
      </c>
    </row>
    <row r="21">
      <c r="A21" t="n">
        <v>18</v>
      </c>
      <c r="B21" s="8" t="n"/>
      <c r="C21" s="4" t="n"/>
      <c r="D21" s="4" t="n"/>
      <c r="E21" s="4" t="n"/>
      <c r="F21" s="5" t="n"/>
      <c r="G21" s="9">
        <f>IF(E21="","",E21*F21)</f>
        <v/>
      </c>
      <c r="H21" s="5" t="n"/>
      <c r="I21" s="9">
        <f>IF(G21="","",G21-IF(H21="",0,H21))</f>
        <v/>
      </c>
    </row>
    <row r="22">
      <c r="A22" t="n">
        <v>19</v>
      </c>
      <c r="B22" s="8" t="n"/>
      <c r="C22" s="4" t="n"/>
      <c r="D22" s="4" t="n"/>
      <c r="E22" s="4" t="n"/>
      <c r="F22" s="5" t="n"/>
      <c r="G22" s="9">
        <f>IF(E22="","",E22*F22)</f>
        <v/>
      </c>
      <c r="H22" s="5" t="n"/>
      <c r="I22" s="9">
        <f>IF(G22="","",G22-IF(H22="",0,H22))</f>
        <v/>
      </c>
    </row>
    <row r="23">
      <c r="A23" t="n">
        <v>20</v>
      </c>
      <c r="B23" s="8" t="n"/>
      <c r="C23" s="4" t="n"/>
      <c r="D23" s="4" t="n"/>
      <c r="E23" s="4" t="n"/>
      <c r="F23" s="5" t="n"/>
      <c r="G23" s="9">
        <f>IF(E23="","",E23*F23)</f>
        <v/>
      </c>
      <c r="H23" s="5" t="n"/>
      <c r="I23" s="9">
        <f>IF(G23="","",G23-IF(H23="",0,H23))</f>
        <v/>
      </c>
    </row>
    <row r="24">
      <c r="A24" t="n">
        <v>21</v>
      </c>
      <c r="B24" s="8" t="n"/>
      <c r="C24" s="4" t="n"/>
      <c r="D24" s="4" t="n"/>
      <c r="E24" s="4" t="n"/>
      <c r="F24" s="5" t="n"/>
      <c r="G24" s="9">
        <f>IF(E24="","",E24*F24)</f>
        <v/>
      </c>
      <c r="H24" s="5" t="n"/>
      <c r="I24" s="9">
        <f>IF(G24="","",G24-IF(H24="",0,H24))</f>
        <v/>
      </c>
    </row>
    <row r="25">
      <c r="A25" t="n">
        <v>22</v>
      </c>
      <c r="B25" s="8" t="n"/>
      <c r="C25" s="4" t="n"/>
      <c r="D25" s="4" t="n"/>
      <c r="E25" s="4" t="n"/>
      <c r="F25" s="5" t="n"/>
      <c r="G25" s="9">
        <f>IF(E25="","",E25*F25)</f>
        <v/>
      </c>
      <c r="H25" s="5" t="n"/>
      <c r="I25" s="9">
        <f>IF(G25="","",G25-IF(H25="",0,H25))</f>
        <v/>
      </c>
    </row>
    <row r="26">
      <c r="A26" t="n">
        <v>23</v>
      </c>
      <c r="B26" s="8" t="n"/>
      <c r="C26" s="4" t="n"/>
      <c r="D26" s="4" t="n"/>
      <c r="E26" s="4" t="n"/>
      <c r="F26" s="5" t="n"/>
      <c r="G26" s="9">
        <f>IF(E26="","",E26*F26)</f>
        <v/>
      </c>
      <c r="H26" s="5" t="n"/>
      <c r="I26" s="9">
        <f>IF(G26="","",G26-IF(H26="",0,H26))</f>
        <v/>
      </c>
    </row>
    <row r="27">
      <c r="A27" t="n">
        <v>24</v>
      </c>
      <c r="B27" s="8" t="n"/>
      <c r="C27" s="4" t="n"/>
      <c r="D27" s="4" t="n"/>
      <c r="E27" s="4" t="n"/>
      <c r="F27" s="5" t="n"/>
      <c r="G27" s="9">
        <f>IF(E27="","",E27*F27)</f>
        <v/>
      </c>
      <c r="H27" s="5" t="n"/>
      <c r="I27" s="9">
        <f>IF(G27="","",G27-IF(H27="",0,H27))</f>
        <v/>
      </c>
    </row>
    <row r="28">
      <c r="A28" t="n">
        <v>25</v>
      </c>
      <c r="B28" s="8" t="n"/>
      <c r="C28" s="4" t="n"/>
      <c r="D28" s="4" t="n"/>
      <c r="E28" s="4" t="n"/>
      <c r="F28" s="5" t="n"/>
      <c r="G28" s="9">
        <f>IF(E28="","",E28*F28)</f>
        <v/>
      </c>
      <c r="H28" s="5" t="n"/>
      <c r="I28" s="9">
        <f>IF(G28="","",G28-IF(H28="",0,H28))</f>
        <v/>
      </c>
    </row>
    <row r="29">
      <c r="A29" t="n">
        <v>26</v>
      </c>
      <c r="B29" s="8" t="n"/>
      <c r="C29" s="4" t="n"/>
      <c r="D29" s="4" t="n"/>
      <c r="E29" s="4" t="n"/>
      <c r="F29" s="5" t="n"/>
      <c r="G29" s="9">
        <f>IF(E29="","",E29*F29)</f>
        <v/>
      </c>
      <c r="H29" s="5" t="n"/>
      <c r="I29" s="9">
        <f>IF(G29="","",G29-IF(H29="",0,H29))</f>
        <v/>
      </c>
    </row>
    <row r="30">
      <c r="A30" t="n">
        <v>27</v>
      </c>
      <c r="B30" s="8" t="n"/>
      <c r="C30" s="4" t="n"/>
      <c r="D30" s="4" t="n"/>
      <c r="E30" s="4" t="n"/>
      <c r="F30" s="5" t="n"/>
      <c r="G30" s="9">
        <f>IF(E30="","",E30*F30)</f>
        <v/>
      </c>
      <c r="H30" s="5" t="n"/>
      <c r="I30" s="9">
        <f>IF(G30="","",G30-IF(H30="",0,H30))</f>
        <v/>
      </c>
    </row>
    <row r="31">
      <c r="A31" t="n">
        <v>28</v>
      </c>
      <c r="B31" s="8" t="n"/>
      <c r="C31" s="4" t="n"/>
      <c r="D31" s="4" t="n"/>
      <c r="E31" s="4" t="n"/>
      <c r="F31" s="5" t="n"/>
      <c r="G31" s="9">
        <f>IF(E31="","",E31*F31)</f>
        <v/>
      </c>
      <c r="H31" s="5" t="n"/>
      <c r="I31" s="9">
        <f>IF(G31="","",G31-IF(H31="",0,H31))</f>
        <v/>
      </c>
    </row>
    <row r="32">
      <c r="A32" t="n">
        <v>29</v>
      </c>
      <c r="B32" s="8" t="n"/>
      <c r="C32" s="4" t="n"/>
      <c r="D32" s="4" t="n"/>
      <c r="E32" s="4" t="n"/>
      <c r="F32" s="5" t="n"/>
      <c r="G32" s="9">
        <f>IF(E32="","",E32*F32)</f>
        <v/>
      </c>
      <c r="H32" s="5" t="n"/>
      <c r="I32" s="9">
        <f>IF(G32="","",G32-IF(H32="",0,H32))</f>
        <v/>
      </c>
    </row>
    <row r="33">
      <c r="A33" t="n">
        <v>30</v>
      </c>
      <c r="B33" s="8" t="n"/>
      <c r="C33" s="4" t="n"/>
      <c r="D33" s="4" t="n"/>
      <c r="E33" s="4" t="n"/>
      <c r="F33" s="5" t="n"/>
      <c r="G33" s="9">
        <f>IF(E33="","",E33*F33)</f>
        <v/>
      </c>
      <c r="H33" s="5" t="n"/>
      <c r="I33" s="9">
        <f>IF(G33="","",G33-IF(H33="",0,H33))</f>
        <v/>
      </c>
    </row>
    <row r="34">
      <c r="A34" t="n">
        <v>31</v>
      </c>
      <c r="B34" s="8" t="n"/>
      <c r="C34" s="4" t="n"/>
      <c r="D34" s="4" t="n"/>
      <c r="E34" s="4" t="n"/>
      <c r="F34" s="5" t="n"/>
      <c r="G34" s="9">
        <f>IF(E34="","",E34*F34)</f>
        <v/>
      </c>
      <c r="H34" s="5" t="n"/>
      <c r="I34" s="9">
        <f>IF(G34="","",G34-IF(H34="",0,H34))</f>
        <v/>
      </c>
    </row>
    <row r="35">
      <c r="A35" t="n">
        <v>32</v>
      </c>
      <c r="B35" s="8" t="n"/>
      <c r="C35" s="4" t="n"/>
      <c r="D35" s="4" t="n"/>
      <c r="E35" s="4" t="n"/>
      <c r="F35" s="5" t="n"/>
      <c r="G35" s="9">
        <f>IF(E35="","",E35*F35)</f>
        <v/>
      </c>
      <c r="H35" s="5" t="n"/>
      <c r="I35" s="9">
        <f>IF(G35="","",G35-IF(H35="",0,H35))</f>
        <v/>
      </c>
    </row>
    <row r="36">
      <c r="A36" t="n">
        <v>33</v>
      </c>
      <c r="B36" s="8" t="n"/>
      <c r="C36" s="4" t="n"/>
      <c r="D36" s="4" t="n"/>
      <c r="E36" s="4" t="n"/>
      <c r="F36" s="5" t="n"/>
      <c r="G36" s="9">
        <f>IF(E36="","",E36*F36)</f>
        <v/>
      </c>
      <c r="H36" s="5" t="n"/>
      <c r="I36" s="9">
        <f>IF(G36="","",G36-IF(H36="",0,H36))</f>
        <v/>
      </c>
    </row>
    <row r="37">
      <c r="A37" t="n">
        <v>34</v>
      </c>
      <c r="B37" s="8" t="n"/>
      <c r="C37" s="4" t="n"/>
      <c r="D37" s="4" t="n"/>
      <c r="E37" s="4" t="n"/>
      <c r="F37" s="5" t="n"/>
      <c r="G37" s="9">
        <f>IF(E37="","",E37*F37)</f>
        <v/>
      </c>
      <c r="H37" s="5" t="n"/>
      <c r="I37" s="9">
        <f>IF(G37="","",G37-IF(H37="",0,H37))</f>
        <v/>
      </c>
    </row>
    <row r="38">
      <c r="A38" t="n">
        <v>35</v>
      </c>
      <c r="B38" s="8" t="n"/>
      <c r="C38" s="4" t="n"/>
      <c r="D38" s="4" t="n"/>
      <c r="E38" s="4" t="n"/>
      <c r="F38" s="5" t="n"/>
      <c r="G38" s="9">
        <f>IF(E38="","",E38*F38)</f>
        <v/>
      </c>
      <c r="H38" s="5" t="n"/>
      <c r="I38" s="9">
        <f>IF(G38="","",G38-IF(H38="",0,H38))</f>
        <v/>
      </c>
    </row>
    <row r="39">
      <c r="A39" t="n">
        <v>36</v>
      </c>
      <c r="B39" s="8" t="n"/>
      <c r="C39" s="4" t="n"/>
      <c r="D39" s="4" t="n"/>
      <c r="E39" s="4" t="n"/>
      <c r="F39" s="5" t="n"/>
      <c r="G39" s="9">
        <f>IF(E39="","",E39*F39)</f>
        <v/>
      </c>
      <c r="H39" s="5" t="n"/>
      <c r="I39" s="9">
        <f>IF(G39="","",G39-IF(H39="",0,H39))</f>
        <v/>
      </c>
    </row>
    <row r="40">
      <c r="A40" t="n">
        <v>37</v>
      </c>
      <c r="B40" s="8" t="n"/>
      <c r="C40" s="4" t="n"/>
      <c r="D40" s="4" t="n"/>
      <c r="E40" s="4" t="n"/>
      <c r="F40" s="5" t="n"/>
      <c r="G40" s="9">
        <f>IF(E40="","",E40*F40)</f>
        <v/>
      </c>
      <c r="H40" s="5" t="n"/>
      <c r="I40" s="9">
        <f>IF(G40="","",G40-IF(H40="",0,H40))</f>
        <v/>
      </c>
    </row>
    <row r="41">
      <c r="A41" t="n">
        <v>38</v>
      </c>
      <c r="B41" s="8" t="n"/>
      <c r="C41" s="4" t="n"/>
      <c r="D41" s="4" t="n"/>
      <c r="E41" s="4" t="n"/>
      <c r="F41" s="5" t="n"/>
      <c r="G41" s="9">
        <f>IF(E41="","",E41*F41)</f>
        <v/>
      </c>
      <c r="H41" s="5" t="n"/>
      <c r="I41" s="9">
        <f>IF(G41="","",G41-IF(H41="",0,H41))</f>
        <v/>
      </c>
    </row>
    <row r="42">
      <c r="A42" t="n">
        <v>39</v>
      </c>
      <c r="B42" s="8" t="n"/>
      <c r="C42" s="4" t="n"/>
      <c r="D42" s="4" t="n"/>
      <c r="E42" s="4" t="n"/>
      <c r="F42" s="5" t="n"/>
      <c r="G42" s="9">
        <f>IF(E42="","",E42*F42)</f>
        <v/>
      </c>
      <c r="H42" s="5" t="n"/>
      <c r="I42" s="9">
        <f>IF(G42="","",G42-IF(H42="",0,H42))</f>
        <v/>
      </c>
    </row>
    <row r="43">
      <c r="A43" t="n">
        <v>40</v>
      </c>
      <c r="B43" s="8" t="n"/>
      <c r="C43" s="4" t="n"/>
      <c r="D43" s="4" t="n"/>
      <c r="E43" s="4" t="n"/>
      <c r="F43" s="5" t="n"/>
      <c r="G43" s="9">
        <f>IF(E43="","",E43*F43)</f>
        <v/>
      </c>
      <c r="H43" s="5" t="n"/>
      <c r="I43" s="9">
        <f>IF(G43="","",G43-IF(H43="",0,H43))</f>
        <v/>
      </c>
    </row>
    <row r="44">
      <c r="A44" t="n">
        <v>41</v>
      </c>
      <c r="B44" s="8" t="n"/>
      <c r="C44" s="4" t="n"/>
      <c r="D44" s="4" t="n"/>
      <c r="E44" s="4" t="n"/>
      <c r="F44" s="5" t="n"/>
      <c r="G44" s="9">
        <f>IF(E44="","",E44*F44)</f>
        <v/>
      </c>
      <c r="H44" s="5" t="n"/>
      <c r="I44" s="9">
        <f>IF(G44="","",G44-IF(H44="",0,H44))</f>
        <v/>
      </c>
    </row>
    <row r="45">
      <c r="A45" t="n">
        <v>42</v>
      </c>
      <c r="B45" s="8" t="n"/>
      <c r="C45" s="4" t="n"/>
      <c r="D45" s="4" t="n"/>
      <c r="E45" s="4" t="n"/>
      <c r="F45" s="5" t="n"/>
      <c r="G45" s="9">
        <f>IF(E45="","",E45*F45)</f>
        <v/>
      </c>
      <c r="H45" s="5" t="n"/>
      <c r="I45" s="9">
        <f>IF(G45="","",G45-IF(H45="",0,H45))</f>
        <v/>
      </c>
    </row>
    <row r="46">
      <c r="A46" t="n">
        <v>43</v>
      </c>
      <c r="B46" s="8" t="n"/>
      <c r="C46" s="4" t="n"/>
      <c r="D46" s="4" t="n"/>
      <c r="E46" s="4" t="n"/>
      <c r="F46" s="5" t="n"/>
      <c r="G46" s="9">
        <f>IF(E46="","",E46*F46)</f>
        <v/>
      </c>
      <c r="H46" s="5" t="n"/>
      <c r="I46" s="9">
        <f>IF(G46="","",G46-IF(H46="",0,H46))</f>
        <v/>
      </c>
    </row>
    <row r="47">
      <c r="A47" t="n">
        <v>44</v>
      </c>
      <c r="B47" s="8" t="n"/>
      <c r="C47" s="4" t="n"/>
      <c r="D47" s="4" t="n"/>
      <c r="E47" s="4" t="n"/>
      <c r="F47" s="5" t="n"/>
      <c r="G47" s="9">
        <f>IF(E47="","",E47*F47)</f>
        <v/>
      </c>
      <c r="H47" s="5" t="n"/>
      <c r="I47" s="9">
        <f>IF(G47="","",G47-IF(H47="",0,H47))</f>
        <v/>
      </c>
    </row>
    <row r="48">
      <c r="A48" t="n">
        <v>45</v>
      </c>
      <c r="B48" s="8" t="n"/>
      <c r="C48" s="4" t="n"/>
      <c r="D48" s="4" t="n"/>
      <c r="E48" s="4" t="n"/>
      <c r="F48" s="5" t="n"/>
      <c r="G48" s="9">
        <f>IF(E48="","",E48*F48)</f>
        <v/>
      </c>
      <c r="H48" s="5" t="n"/>
      <c r="I48" s="9">
        <f>IF(G48="","",G48-IF(H48="",0,H48))</f>
        <v/>
      </c>
    </row>
    <row r="49">
      <c r="A49" t="n">
        <v>46</v>
      </c>
      <c r="B49" s="8" t="n"/>
      <c r="C49" s="4" t="n"/>
      <c r="D49" s="4" t="n"/>
      <c r="E49" s="4" t="n"/>
      <c r="F49" s="5" t="n"/>
      <c r="G49" s="9">
        <f>IF(E49="","",E49*F49)</f>
        <v/>
      </c>
      <c r="H49" s="5" t="n"/>
      <c r="I49" s="9">
        <f>IF(G49="","",G49-IF(H49="",0,H49))</f>
        <v/>
      </c>
    </row>
    <row r="50">
      <c r="A50" t="n">
        <v>47</v>
      </c>
      <c r="B50" s="8" t="n"/>
      <c r="C50" s="4" t="n"/>
      <c r="D50" s="4" t="n"/>
      <c r="E50" s="4" t="n"/>
      <c r="F50" s="5" t="n"/>
      <c r="G50" s="9">
        <f>IF(E50="","",E50*F50)</f>
        <v/>
      </c>
      <c r="H50" s="5" t="n"/>
      <c r="I50" s="9">
        <f>IF(G50="","",G50-IF(H50="",0,H50))</f>
        <v/>
      </c>
    </row>
    <row r="51">
      <c r="A51" t="n">
        <v>48</v>
      </c>
      <c r="B51" s="8" t="n"/>
      <c r="C51" s="4" t="n"/>
      <c r="D51" s="4" t="n"/>
      <c r="E51" s="4" t="n"/>
      <c r="F51" s="5" t="n"/>
      <c r="G51" s="9">
        <f>IF(E51="","",E51*F51)</f>
        <v/>
      </c>
      <c r="H51" s="5" t="n"/>
      <c r="I51" s="9">
        <f>IF(G51="","",G51-IF(H51="",0,H51))</f>
        <v/>
      </c>
    </row>
    <row r="52">
      <c r="A52" t="n">
        <v>49</v>
      </c>
      <c r="B52" s="8" t="n"/>
      <c r="C52" s="4" t="n"/>
      <c r="D52" s="4" t="n"/>
      <c r="E52" s="4" t="n"/>
      <c r="F52" s="5" t="n"/>
      <c r="G52" s="9">
        <f>IF(E52="","",E52*F52)</f>
        <v/>
      </c>
      <c r="H52" s="5" t="n"/>
      <c r="I52" s="9">
        <f>IF(G52="","",G52-IF(H52="",0,H52))</f>
        <v/>
      </c>
    </row>
    <row r="53">
      <c r="A53" t="n">
        <v>50</v>
      </c>
      <c r="B53" s="8" t="n"/>
      <c r="C53" s="4" t="n"/>
      <c r="D53" s="4" t="n"/>
      <c r="E53" s="4" t="n"/>
      <c r="F53" s="5" t="n"/>
      <c r="G53" s="9">
        <f>IF(E53="","",E53*F53)</f>
        <v/>
      </c>
      <c r="H53" s="5" t="n"/>
      <c r="I53" s="9">
        <f>IF(G53="","",G53-IF(H53="",0,H53))</f>
        <v/>
      </c>
    </row>
    <row r="54">
      <c r="A54" t="n">
        <v>51</v>
      </c>
      <c r="B54" s="8" t="n"/>
      <c r="C54" s="4" t="n"/>
      <c r="D54" s="4" t="n"/>
      <c r="E54" s="4" t="n"/>
      <c r="F54" s="5" t="n"/>
      <c r="G54" s="9">
        <f>IF(E54="","",E54*F54)</f>
        <v/>
      </c>
      <c r="H54" s="5" t="n"/>
      <c r="I54" s="9">
        <f>IF(G54="","",G54-IF(H54="",0,H54))</f>
        <v/>
      </c>
    </row>
    <row r="55">
      <c r="A55" t="n">
        <v>52</v>
      </c>
      <c r="B55" s="8" t="n"/>
      <c r="C55" s="4" t="n"/>
      <c r="D55" s="4" t="n"/>
      <c r="E55" s="4" t="n"/>
      <c r="F55" s="5" t="n"/>
      <c r="G55" s="9">
        <f>IF(E55="","",E55*F55)</f>
        <v/>
      </c>
      <c r="H55" s="5" t="n"/>
      <c r="I55" s="9">
        <f>IF(G55="","",G55-IF(H55="",0,H55))</f>
        <v/>
      </c>
    </row>
    <row r="56">
      <c r="A56" t="n">
        <v>53</v>
      </c>
      <c r="B56" s="8" t="n"/>
      <c r="C56" s="4" t="n"/>
      <c r="D56" s="4" t="n"/>
      <c r="E56" s="4" t="n"/>
      <c r="F56" s="5" t="n"/>
      <c r="G56" s="9">
        <f>IF(E56="","",E56*F56)</f>
        <v/>
      </c>
      <c r="H56" s="5" t="n"/>
      <c r="I56" s="9">
        <f>IF(G56="","",G56-IF(H56="",0,H56))</f>
        <v/>
      </c>
    </row>
    <row r="57">
      <c r="A57" t="n">
        <v>54</v>
      </c>
      <c r="B57" s="8" t="n"/>
      <c r="C57" s="4" t="n"/>
      <c r="D57" s="4" t="n"/>
      <c r="E57" s="4" t="n"/>
      <c r="F57" s="5" t="n"/>
      <c r="G57" s="9">
        <f>IF(E57="","",E57*F57)</f>
        <v/>
      </c>
      <c r="H57" s="5" t="n"/>
      <c r="I57" s="9">
        <f>IF(G57="","",G57-IF(H57="",0,H57))</f>
        <v/>
      </c>
    </row>
    <row r="58">
      <c r="A58" t="n">
        <v>55</v>
      </c>
      <c r="B58" s="8" t="n"/>
      <c r="C58" s="4" t="n"/>
      <c r="D58" s="4" t="n"/>
      <c r="E58" s="4" t="n"/>
      <c r="F58" s="5" t="n"/>
      <c r="G58" s="9">
        <f>IF(E58="","",E58*F58)</f>
        <v/>
      </c>
      <c r="H58" s="5" t="n"/>
      <c r="I58" s="9">
        <f>IF(G58="","",G58-IF(H58="",0,H58))</f>
        <v/>
      </c>
    </row>
    <row r="59">
      <c r="A59" t="n">
        <v>56</v>
      </c>
      <c r="B59" s="8" t="n"/>
      <c r="C59" s="4" t="n"/>
      <c r="D59" s="4" t="n"/>
      <c r="E59" s="4" t="n"/>
      <c r="F59" s="5" t="n"/>
      <c r="G59" s="9">
        <f>IF(E59="","",E59*F59)</f>
        <v/>
      </c>
      <c r="H59" s="5" t="n"/>
      <c r="I59" s="9">
        <f>IF(G59="","",G59-IF(H59="",0,H59))</f>
        <v/>
      </c>
    </row>
    <row r="60">
      <c r="A60" t="n">
        <v>57</v>
      </c>
      <c r="B60" s="8" t="n"/>
      <c r="C60" s="4" t="n"/>
      <c r="D60" s="4" t="n"/>
      <c r="E60" s="4" t="n"/>
      <c r="F60" s="5" t="n"/>
      <c r="G60" s="9">
        <f>IF(E60="","",E60*F60)</f>
        <v/>
      </c>
      <c r="H60" s="5" t="n"/>
      <c r="I60" s="9">
        <f>IF(G60="","",G60-IF(H60="",0,H60))</f>
        <v/>
      </c>
    </row>
    <row r="61">
      <c r="A61" t="n">
        <v>58</v>
      </c>
      <c r="B61" s="8" t="n"/>
      <c r="C61" s="4" t="n"/>
      <c r="D61" s="4" t="n"/>
      <c r="E61" s="4" t="n"/>
      <c r="F61" s="5" t="n"/>
      <c r="G61" s="9">
        <f>IF(E61="","",E61*F61)</f>
        <v/>
      </c>
      <c r="H61" s="5" t="n"/>
      <c r="I61" s="9">
        <f>IF(G61="","",G61-IF(H61="",0,H61))</f>
        <v/>
      </c>
    </row>
    <row r="62">
      <c r="A62" t="n">
        <v>59</v>
      </c>
      <c r="B62" s="8" t="n"/>
      <c r="C62" s="4" t="n"/>
      <c r="D62" s="4" t="n"/>
      <c r="E62" s="4" t="n"/>
      <c r="F62" s="5" t="n"/>
      <c r="G62" s="9">
        <f>IF(E62="","",E62*F62)</f>
        <v/>
      </c>
      <c r="H62" s="5" t="n"/>
      <c r="I62" s="9">
        <f>IF(G62="","",G62-IF(H62="",0,H62))</f>
        <v/>
      </c>
    </row>
    <row r="63">
      <c r="A63" t="n">
        <v>60</v>
      </c>
      <c r="B63" s="8" t="n"/>
      <c r="C63" s="4" t="n"/>
      <c r="D63" s="4" t="n"/>
      <c r="E63" s="4" t="n"/>
      <c r="F63" s="5" t="n"/>
      <c r="G63" s="9">
        <f>IF(E63="","",E63*F63)</f>
        <v/>
      </c>
      <c r="H63" s="5" t="n"/>
      <c r="I63" s="9">
        <f>IF(G63="","",G63-IF(H63="",0,H63))</f>
        <v/>
      </c>
    </row>
    <row r="64">
      <c r="A64" t="n">
        <v>61</v>
      </c>
      <c r="B64" s="8" t="n"/>
      <c r="C64" s="4" t="n"/>
      <c r="D64" s="4" t="n"/>
      <c r="E64" s="4" t="n"/>
      <c r="F64" s="5" t="n"/>
      <c r="G64" s="9">
        <f>IF(E64="","",E64*F64)</f>
        <v/>
      </c>
      <c r="H64" s="5" t="n"/>
      <c r="I64" s="9">
        <f>IF(G64="","",G64-IF(H64="",0,H64))</f>
        <v/>
      </c>
    </row>
    <row r="65">
      <c r="A65" t="n">
        <v>62</v>
      </c>
      <c r="B65" s="8" t="n"/>
      <c r="C65" s="4" t="n"/>
      <c r="D65" s="4" t="n"/>
      <c r="E65" s="4" t="n"/>
      <c r="F65" s="5" t="n"/>
      <c r="G65" s="9">
        <f>IF(E65="","",E65*F65)</f>
        <v/>
      </c>
      <c r="H65" s="5" t="n"/>
      <c r="I65" s="9">
        <f>IF(G65="","",G65-IF(H65="",0,H65))</f>
        <v/>
      </c>
    </row>
    <row r="66">
      <c r="A66" t="n">
        <v>63</v>
      </c>
      <c r="B66" s="8" t="n"/>
      <c r="C66" s="4" t="n"/>
      <c r="D66" s="4" t="n"/>
      <c r="E66" s="4" t="n"/>
      <c r="F66" s="5" t="n"/>
      <c r="G66" s="9">
        <f>IF(E66="","",E66*F66)</f>
        <v/>
      </c>
      <c r="H66" s="5" t="n"/>
      <c r="I66" s="9">
        <f>IF(G66="","",G66-IF(H66="",0,H66))</f>
        <v/>
      </c>
    </row>
    <row r="67">
      <c r="A67" t="n">
        <v>64</v>
      </c>
      <c r="B67" s="8" t="n"/>
      <c r="C67" s="4" t="n"/>
      <c r="D67" s="4" t="n"/>
      <c r="E67" s="4" t="n"/>
      <c r="F67" s="5" t="n"/>
      <c r="G67" s="9">
        <f>IF(E67="","",E67*F67)</f>
        <v/>
      </c>
      <c r="H67" s="5" t="n"/>
      <c r="I67" s="9">
        <f>IF(G67="","",G67-IF(H67="",0,H67))</f>
        <v/>
      </c>
    </row>
    <row r="68">
      <c r="A68" t="n">
        <v>65</v>
      </c>
      <c r="B68" s="8" t="n"/>
      <c r="C68" s="4" t="n"/>
      <c r="D68" s="4" t="n"/>
      <c r="E68" s="4" t="n"/>
      <c r="F68" s="5" t="n"/>
      <c r="G68" s="9">
        <f>IF(E68="","",E68*F68)</f>
        <v/>
      </c>
      <c r="H68" s="5" t="n"/>
      <c r="I68" s="9">
        <f>IF(G68="","",G68-IF(H68="",0,H68))</f>
        <v/>
      </c>
    </row>
    <row r="69">
      <c r="A69" t="n">
        <v>66</v>
      </c>
      <c r="B69" s="8" t="n"/>
      <c r="C69" s="4" t="n"/>
      <c r="D69" s="4" t="n"/>
      <c r="E69" s="4" t="n"/>
      <c r="F69" s="5" t="n"/>
      <c r="G69" s="9">
        <f>IF(E69="","",E69*F69)</f>
        <v/>
      </c>
      <c r="H69" s="5" t="n"/>
      <c r="I69" s="9">
        <f>IF(G69="","",G69-IF(H69="",0,H69))</f>
        <v/>
      </c>
    </row>
    <row r="70">
      <c r="A70" t="n">
        <v>67</v>
      </c>
      <c r="B70" s="8" t="n"/>
      <c r="C70" s="4" t="n"/>
      <c r="D70" s="4" t="n"/>
      <c r="E70" s="4" t="n"/>
      <c r="F70" s="5" t="n"/>
      <c r="G70" s="9">
        <f>IF(E70="","",E70*F70)</f>
        <v/>
      </c>
      <c r="H70" s="5" t="n"/>
      <c r="I70" s="9">
        <f>IF(G70="","",G70-IF(H70="",0,H70))</f>
        <v/>
      </c>
    </row>
    <row r="71">
      <c r="A71" t="n">
        <v>68</v>
      </c>
      <c r="B71" s="8" t="n"/>
      <c r="C71" s="4" t="n"/>
      <c r="D71" s="4" t="n"/>
      <c r="E71" s="4" t="n"/>
      <c r="F71" s="5" t="n"/>
      <c r="G71" s="9">
        <f>IF(E71="","",E71*F71)</f>
        <v/>
      </c>
      <c r="H71" s="5" t="n"/>
      <c r="I71" s="9">
        <f>IF(G71="","",G71-IF(H71="",0,H71))</f>
        <v/>
      </c>
    </row>
    <row r="72">
      <c r="A72" t="n">
        <v>69</v>
      </c>
      <c r="B72" s="8" t="n"/>
      <c r="C72" s="4" t="n"/>
      <c r="D72" s="4" t="n"/>
      <c r="E72" s="4" t="n"/>
      <c r="F72" s="5" t="n"/>
      <c r="G72" s="9">
        <f>IF(E72="","",E72*F72)</f>
        <v/>
      </c>
      <c r="H72" s="5" t="n"/>
      <c r="I72" s="9">
        <f>IF(G72="","",G72-IF(H72="",0,H72))</f>
        <v/>
      </c>
    </row>
    <row r="73">
      <c r="A73" t="n">
        <v>70</v>
      </c>
      <c r="B73" s="8" t="n"/>
      <c r="C73" s="4" t="n"/>
      <c r="D73" s="4" t="n"/>
      <c r="E73" s="4" t="n"/>
      <c r="F73" s="5" t="n"/>
      <c r="G73" s="9">
        <f>IF(E73="","",E73*F73)</f>
        <v/>
      </c>
      <c r="H73" s="5" t="n"/>
      <c r="I73" s="9">
        <f>IF(G73="","",G73-IF(H73="",0,H73))</f>
        <v/>
      </c>
    </row>
    <row r="74">
      <c r="A74" t="n">
        <v>71</v>
      </c>
      <c r="B74" s="8" t="n"/>
      <c r="C74" s="4" t="n"/>
      <c r="D74" s="4" t="n"/>
      <c r="E74" s="4" t="n"/>
      <c r="F74" s="5" t="n"/>
      <c r="G74" s="9">
        <f>IF(E74="","",E74*F74)</f>
        <v/>
      </c>
      <c r="H74" s="5" t="n"/>
      <c r="I74" s="9">
        <f>IF(G74="","",G74-IF(H74="",0,H74))</f>
        <v/>
      </c>
    </row>
    <row r="75">
      <c r="A75" t="n">
        <v>72</v>
      </c>
      <c r="B75" s="8" t="n"/>
      <c r="C75" s="4" t="n"/>
      <c r="D75" s="4" t="n"/>
      <c r="E75" s="4" t="n"/>
      <c r="F75" s="5" t="n"/>
      <c r="G75" s="9">
        <f>IF(E75="","",E75*F75)</f>
        <v/>
      </c>
      <c r="H75" s="5" t="n"/>
      <c r="I75" s="9">
        <f>IF(G75="","",G75-IF(H75="",0,H75))</f>
        <v/>
      </c>
    </row>
    <row r="76">
      <c r="A76" t="n">
        <v>73</v>
      </c>
      <c r="B76" s="8" t="n"/>
      <c r="C76" s="4" t="n"/>
      <c r="D76" s="4" t="n"/>
      <c r="E76" s="4" t="n"/>
      <c r="F76" s="5" t="n"/>
      <c r="G76" s="9">
        <f>IF(E76="","",E76*F76)</f>
        <v/>
      </c>
      <c r="H76" s="5" t="n"/>
      <c r="I76" s="9">
        <f>IF(G76="","",G76-IF(H76="",0,H76))</f>
        <v/>
      </c>
    </row>
    <row r="77">
      <c r="A77" t="n">
        <v>74</v>
      </c>
      <c r="B77" s="8" t="n"/>
      <c r="C77" s="4" t="n"/>
      <c r="D77" s="4" t="n"/>
      <c r="E77" s="4" t="n"/>
      <c r="F77" s="5" t="n"/>
      <c r="G77" s="9">
        <f>IF(E77="","",E77*F77)</f>
        <v/>
      </c>
      <c r="H77" s="5" t="n"/>
      <c r="I77" s="9">
        <f>IF(G77="","",G77-IF(H77="",0,H77))</f>
        <v/>
      </c>
    </row>
    <row r="78">
      <c r="A78" t="n">
        <v>75</v>
      </c>
      <c r="B78" s="8" t="n"/>
      <c r="C78" s="4" t="n"/>
      <c r="D78" s="4" t="n"/>
      <c r="E78" s="4" t="n"/>
      <c r="F78" s="5" t="n"/>
      <c r="G78" s="9">
        <f>IF(E78="","",E78*F78)</f>
        <v/>
      </c>
      <c r="H78" s="5" t="n"/>
      <c r="I78" s="9">
        <f>IF(G78="","",G78-IF(H78="",0,H78))</f>
        <v/>
      </c>
    </row>
    <row r="79">
      <c r="A79" t="n">
        <v>76</v>
      </c>
      <c r="B79" s="8" t="n"/>
      <c r="C79" s="4" t="n"/>
      <c r="D79" s="4" t="n"/>
      <c r="E79" s="4" t="n"/>
      <c r="F79" s="5" t="n"/>
      <c r="G79" s="9">
        <f>IF(E79="","",E79*F79)</f>
        <v/>
      </c>
      <c r="H79" s="5" t="n"/>
      <c r="I79" s="9">
        <f>IF(G79="","",G79-IF(H79="",0,H79))</f>
        <v/>
      </c>
    </row>
    <row r="80">
      <c r="A80" t="n">
        <v>77</v>
      </c>
      <c r="B80" s="8" t="n"/>
      <c r="C80" s="4" t="n"/>
      <c r="D80" s="4" t="n"/>
      <c r="E80" s="4" t="n"/>
      <c r="F80" s="5" t="n"/>
      <c r="G80" s="9">
        <f>IF(E80="","",E80*F80)</f>
        <v/>
      </c>
      <c r="H80" s="5" t="n"/>
      <c r="I80" s="9">
        <f>IF(G80="","",G80-IF(H80="",0,H80))</f>
        <v/>
      </c>
    </row>
    <row r="81">
      <c r="A81" t="n">
        <v>78</v>
      </c>
      <c r="B81" s="8" t="n"/>
      <c r="C81" s="4" t="n"/>
      <c r="D81" s="4" t="n"/>
      <c r="E81" s="4" t="n"/>
      <c r="F81" s="5" t="n"/>
      <c r="G81" s="9">
        <f>IF(E81="","",E81*F81)</f>
        <v/>
      </c>
      <c r="H81" s="5" t="n"/>
      <c r="I81" s="9">
        <f>IF(G81="","",G81-IF(H81="",0,H81))</f>
        <v/>
      </c>
    </row>
    <row r="82">
      <c r="A82" t="n">
        <v>79</v>
      </c>
      <c r="B82" s="8" t="n"/>
      <c r="C82" s="4" t="n"/>
      <c r="D82" s="4" t="n"/>
      <c r="E82" s="4" t="n"/>
      <c r="F82" s="5" t="n"/>
      <c r="G82" s="9">
        <f>IF(E82="","",E82*F82)</f>
        <v/>
      </c>
      <c r="H82" s="5" t="n"/>
      <c r="I82" s="9">
        <f>IF(G82="","",G82-IF(H82="",0,H82))</f>
        <v/>
      </c>
    </row>
    <row r="83">
      <c r="A83" t="n">
        <v>80</v>
      </c>
      <c r="B83" s="8" t="n"/>
      <c r="C83" s="4" t="n"/>
      <c r="D83" s="4" t="n"/>
      <c r="E83" s="4" t="n"/>
      <c r="F83" s="5" t="n"/>
      <c r="G83" s="9">
        <f>IF(E83="","",E83*F83)</f>
        <v/>
      </c>
      <c r="H83" s="5" t="n"/>
      <c r="I83" s="9">
        <f>IF(G83="","",G83-IF(H83="",0,H83))</f>
        <v/>
      </c>
    </row>
    <row r="84">
      <c r="A84" t="n">
        <v>81</v>
      </c>
      <c r="B84" s="8" t="n"/>
      <c r="C84" s="4" t="n"/>
      <c r="D84" s="4" t="n"/>
      <c r="E84" s="4" t="n"/>
      <c r="F84" s="5" t="n"/>
      <c r="G84" s="9">
        <f>IF(E84="","",E84*F84)</f>
        <v/>
      </c>
      <c r="H84" s="5" t="n"/>
      <c r="I84" s="9">
        <f>IF(G84="","",G84-IF(H84="",0,H84))</f>
        <v/>
      </c>
    </row>
    <row r="85">
      <c r="A85" t="n">
        <v>82</v>
      </c>
      <c r="B85" s="8" t="n"/>
      <c r="C85" s="4" t="n"/>
      <c r="D85" s="4" t="n"/>
      <c r="E85" s="4" t="n"/>
      <c r="F85" s="5" t="n"/>
      <c r="G85" s="9">
        <f>IF(E85="","",E85*F85)</f>
        <v/>
      </c>
      <c r="H85" s="5" t="n"/>
      <c r="I85" s="9">
        <f>IF(G85="","",G85-IF(H85="",0,H85))</f>
        <v/>
      </c>
    </row>
    <row r="86">
      <c r="A86" t="n">
        <v>83</v>
      </c>
      <c r="B86" s="8" t="n"/>
      <c r="C86" s="4" t="n"/>
      <c r="D86" s="4" t="n"/>
      <c r="E86" s="4" t="n"/>
      <c r="F86" s="5" t="n"/>
      <c r="G86" s="9">
        <f>IF(E86="","",E86*F86)</f>
        <v/>
      </c>
      <c r="H86" s="5" t="n"/>
      <c r="I86" s="9">
        <f>IF(G86="","",G86-IF(H86="",0,H86))</f>
        <v/>
      </c>
    </row>
    <row r="87">
      <c r="A87" t="n">
        <v>84</v>
      </c>
      <c r="B87" s="8" t="n"/>
      <c r="C87" s="4" t="n"/>
      <c r="D87" s="4" t="n"/>
      <c r="E87" s="4" t="n"/>
      <c r="F87" s="5" t="n"/>
      <c r="G87" s="9">
        <f>IF(E87="","",E87*F87)</f>
        <v/>
      </c>
      <c r="H87" s="5" t="n"/>
      <c r="I87" s="9">
        <f>IF(G87="","",G87-IF(H87="",0,H87))</f>
        <v/>
      </c>
    </row>
    <row r="88">
      <c r="A88" t="n">
        <v>85</v>
      </c>
      <c r="B88" s="8" t="n"/>
      <c r="C88" s="4" t="n"/>
      <c r="D88" s="4" t="n"/>
      <c r="E88" s="4" t="n"/>
      <c r="F88" s="5" t="n"/>
      <c r="G88" s="9">
        <f>IF(E88="","",E88*F88)</f>
        <v/>
      </c>
      <c r="H88" s="5" t="n"/>
      <c r="I88" s="9">
        <f>IF(G88="","",G88-IF(H88="",0,H88))</f>
        <v/>
      </c>
    </row>
    <row r="89">
      <c r="A89" t="n">
        <v>86</v>
      </c>
      <c r="B89" s="8" t="n"/>
      <c r="C89" s="4" t="n"/>
      <c r="D89" s="4" t="n"/>
      <c r="E89" s="4" t="n"/>
      <c r="F89" s="5" t="n"/>
      <c r="G89" s="9">
        <f>IF(E89="","",E89*F89)</f>
        <v/>
      </c>
      <c r="H89" s="5" t="n"/>
      <c r="I89" s="9">
        <f>IF(G89="","",G89-IF(H89="",0,H89))</f>
        <v/>
      </c>
    </row>
    <row r="90">
      <c r="A90" t="n">
        <v>87</v>
      </c>
      <c r="B90" s="8" t="n"/>
      <c r="C90" s="4" t="n"/>
      <c r="D90" s="4" t="n"/>
      <c r="E90" s="4" t="n"/>
      <c r="F90" s="5" t="n"/>
      <c r="G90" s="9">
        <f>IF(E90="","",E90*F90)</f>
        <v/>
      </c>
      <c r="H90" s="5" t="n"/>
      <c r="I90" s="9">
        <f>IF(G90="","",G90-IF(H90="",0,H90))</f>
        <v/>
      </c>
    </row>
    <row r="91">
      <c r="A91" t="n">
        <v>88</v>
      </c>
      <c r="B91" s="8" t="n"/>
      <c r="C91" s="4" t="n"/>
      <c r="D91" s="4" t="n"/>
      <c r="E91" s="4" t="n"/>
      <c r="F91" s="5" t="n"/>
      <c r="G91" s="9">
        <f>IF(E91="","",E91*F91)</f>
        <v/>
      </c>
      <c r="H91" s="5" t="n"/>
      <c r="I91" s="9">
        <f>IF(G91="","",G91-IF(H91="",0,H91))</f>
        <v/>
      </c>
    </row>
    <row r="92">
      <c r="A92" t="n">
        <v>89</v>
      </c>
      <c r="B92" s="8" t="n"/>
      <c r="C92" s="4" t="n"/>
      <c r="D92" s="4" t="n"/>
      <c r="E92" s="4" t="n"/>
      <c r="F92" s="5" t="n"/>
      <c r="G92" s="9">
        <f>IF(E92="","",E92*F92)</f>
        <v/>
      </c>
      <c r="H92" s="5" t="n"/>
      <c r="I92" s="9">
        <f>IF(G92="","",G92-IF(H92="",0,H92))</f>
        <v/>
      </c>
    </row>
    <row r="93">
      <c r="A93" t="n">
        <v>90</v>
      </c>
      <c r="B93" s="8" t="n"/>
      <c r="C93" s="4" t="n"/>
      <c r="D93" s="4" t="n"/>
      <c r="E93" s="4" t="n"/>
      <c r="F93" s="5" t="n"/>
      <c r="G93" s="9">
        <f>IF(E93="","",E93*F93)</f>
        <v/>
      </c>
      <c r="H93" s="5" t="n"/>
      <c r="I93" s="9">
        <f>IF(G93="","",G93-IF(H93="",0,H93))</f>
        <v/>
      </c>
    </row>
    <row r="94">
      <c r="A94" t="n">
        <v>91</v>
      </c>
      <c r="B94" s="8" t="n"/>
      <c r="C94" s="4" t="n"/>
      <c r="D94" s="4" t="n"/>
      <c r="E94" s="4" t="n"/>
      <c r="F94" s="5" t="n"/>
      <c r="G94" s="9">
        <f>IF(E94="","",E94*F94)</f>
        <v/>
      </c>
      <c r="H94" s="5" t="n"/>
      <c r="I94" s="9">
        <f>IF(G94="","",G94-IF(H94="",0,H94))</f>
        <v/>
      </c>
    </row>
    <row r="95">
      <c r="A95" t="n">
        <v>92</v>
      </c>
      <c r="B95" s="8" t="n"/>
      <c r="C95" s="4" t="n"/>
      <c r="D95" s="4" t="n"/>
      <c r="E95" s="4" t="n"/>
      <c r="F95" s="5" t="n"/>
      <c r="G95" s="9">
        <f>IF(E95="","",E95*F95)</f>
        <v/>
      </c>
      <c r="H95" s="5" t="n"/>
      <c r="I95" s="9">
        <f>IF(G95="","",G95-IF(H95="",0,H95))</f>
        <v/>
      </c>
    </row>
    <row r="96">
      <c r="A96" t="n">
        <v>93</v>
      </c>
      <c r="B96" s="8" t="n"/>
      <c r="C96" s="4" t="n"/>
      <c r="D96" s="4" t="n"/>
      <c r="E96" s="4" t="n"/>
      <c r="F96" s="5" t="n"/>
      <c r="G96" s="9">
        <f>IF(E96="","",E96*F96)</f>
        <v/>
      </c>
      <c r="H96" s="5" t="n"/>
      <c r="I96" s="9">
        <f>IF(G96="","",G96-IF(H96="",0,H96))</f>
        <v/>
      </c>
    </row>
    <row r="97">
      <c r="A97" t="n">
        <v>94</v>
      </c>
      <c r="B97" s="8" t="n"/>
      <c r="C97" s="4" t="n"/>
      <c r="D97" s="4" t="n"/>
      <c r="E97" s="4" t="n"/>
      <c r="F97" s="5" t="n"/>
      <c r="G97" s="9">
        <f>IF(E97="","",E97*F97)</f>
        <v/>
      </c>
      <c r="H97" s="5" t="n"/>
      <c r="I97" s="9">
        <f>IF(G97="","",G97-IF(H97="",0,H97))</f>
        <v/>
      </c>
    </row>
    <row r="98">
      <c r="A98" t="n">
        <v>95</v>
      </c>
      <c r="B98" s="8" t="n"/>
      <c r="C98" s="4" t="n"/>
      <c r="D98" s="4" t="n"/>
      <c r="E98" s="4" t="n"/>
      <c r="F98" s="5" t="n"/>
      <c r="G98" s="9">
        <f>IF(E98="","",E98*F98)</f>
        <v/>
      </c>
      <c r="H98" s="5" t="n"/>
      <c r="I98" s="9">
        <f>IF(G98="","",G98-IF(H98="",0,H98))</f>
        <v/>
      </c>
    </row>
    <row r="99">
      <c r="A99" t="n">
        <v>96</v>
      </c>
      <c r="B99" s="8" t="n"/>
      <c r="C99" s="4" t="n"/>
      <c r="D99" s="4" t="n"/>
      <c r="E99" s="4" t="n"/>
      <c r="F99" s="5" t="n"/>
      <c r="G99" s="9">
        <f>IF(E99="","",E99*F99)</f>
        <v/>
      </c>
      <c r="H99" s="5" t="n"/>
      <c r="I99" s="9">
        <f>IF(G99="","",G99-IF(H99="",0,H99))</f>
        <v/>
      </c>
    </row>
    <row r="100">
      <c r="A100" t="n">
        <v>97</v>
      </c>
      <c r="B100" s="8" t="n"/>
      <c r="C100" s="4" t="n"/>
      <c r="D100" s="4" t="n"/>
      <c r="E100" s="4" t="n"/>
      <c r="F100" s="5" t="n"/>
      <c r="G100" s="9">
        <f>IF(E100="","",E100*F100)</f>
        <v/>
      </c>
      <c r="H100" s="5" t="n"/>
      <c r="I100" s="9">
        <f>IF(G100="","",G100-IF(H100="",0,H100))</f>
        <v/>
      </c>
    </row>
    <row r="101">
      <c r="A101" t="n">
        <v>98</v>
      </c>
      <c r="B101" s="8" t="n"/>
      <c r="C101" s="4" t="n"/>
      <c r="D101" s="4" t="n"/>
      <c r="E101" s="4" t="n"/>
      <c r="F101" s="5" t="n"/>
      <c r="G101" s="9">
        <f>IF(E101="","",E101*F101)</f>
        <v/>
      </c>
      <c r="H101" s="5" t="n"/>
      <c r="I101" s="9">
        <f>IF(G101="","",G101-IF(H101="",0,H101))</f>
        <v/>
      </c>
    </row>
    <row r="102">
      <c r="A102" t="n">
        <v>99</v>
      </c>
      <c r="B102" s="8" t="n"/>
      <c r="C102" s="4" t="n"/>
      <c r="D102" s="4" t="n"/>
      <c r="E102" s="4" t="n"/>
      <c r="F102" s="5" t="n"/>
      <c r="G102" s="9">
        <f>IF(E102="","",E102*F102)</f>
        <v/>
      </c>
      <c r="H102" s="5" t="n"/>
      <c r="I102" s="9">
        <f>IF(G102="","",G102-IF(H102="",0,H102))</f>
        <v/>
      </c>
    </row>
    <row r="103">
      <c r="A103" t="n">
        <v>100</v>
      </c>
      <c r="B103" s="8" t="n"/>
      <c r="C103" s="4" t="n"/>
      <c r="D103" s="4" t="n"/>
      <c r="E103" s="4" t="n"/>
      <c r="F103" s="5" t="n"/>
      <c r="G103" s="9">
        <f>IF(E103="","",E103*F103)</f>
        <v/>
      </c>
      <c r="H103" s="5" t="n"/>
      <c r="I103" s="9">
        <f>IF(G103="","",G103-IF(H103="",0,H103))</f>
        <v/>
      </c>
    </row>
    <row r="104">
      <c r="A104" t="n">
        <v>101</v>
      </c>
      <c r="B104" s="8" t="n"/>
      <c r="C104" s="4" t="n"/>
      <c r="D104" s="4" t="n"/>
      <c r="E104" s="4" t="n"/>
      <c r="F104" s="5" t="n"/>
      <c r="G104" s="9">
        <f>IF(E104="","",E104*F104)</f>
        <v/>
      </c>
      <c r="H104" s="5" t="n"/>
      <c r="I104" s="9">
        <f>IF(G104="","",G104-IF(H104="",0,H104))</f>
        <v/>
      </c>
    </row>
    <row r="105">
      <c r="A105" t="n">
        <v>102</v>
      </c>
      <c r="B105" s="8" t="n"/>
      <c r="C105" s="4" t="n"/>
      <c r="D105" s="4" t="n"/>
      <c r="E105" s="4" t="n"/>
      <c r="F105" s="5" t="n"/>
      <c r="G105" s="9">
        <f>IF(E105="","",E105*F105)</f>
        <v/>
      </c>
      <c r="H105" s="5" t="n"/>
      <c r="I105" s="9">
        <f>IF(G105="","",G105-IF(H105="",0,H105))</f>
        <v/>
      </c>
    </row>
    <row r="106">
      <c r="A106" t="n">
        <v>103</v>
      </c>
      <c r="B106" s="8" t="n"/>
      <c r="C106" s="4" t="n"/>
      <c r="D106" s="4" t="n"/>
      <c r="E106" s="4" t="n"/>
      <c r="F106" s="5" t="n"/>
      <c r="G106" s="9">
        <f>IF(E106="","",E106*F106)</f>
        <v/>
      </c>
      <c r="H106" s="5" t="n"/>
      <c r="I106" s="9">
        <f>IF(G106="","",G106-IF(H106="",0,H106))</f>
        <v/>
      </c>
    </row>
    <row r="107">
      <c r="A107" t="n">
        <v>104</v>
      </c>
      <c r="B107" s="8" t="n"/>
      <c r="C107" s="4" t="n"/>
      <c r="D107" s="4" t="n"/>
      <c r="E107" s="4" t="n"/>
      <c r="F107" s="5" t="n"/>
      <c r="G107" s="9">
        <f>IF(E107="","",E107*F107)</f>
        <v/>
      </c>
      <c r="H107" s="5" t="n"/>
      <c r="I107" s="9">
        <f>IF(G107="","",G107-IF(H107="",0,H107))</f>
        <v/>
      </c>
    </row>
    <row r="108">
      <c r="A108" t="n">
        <v>105</v>
      </c>
      <c r="B108" s="8" t="n"/>
      <c r="C108" s="4" t="n"/>
      <c r="D108" s="4" t="n"/>
      <c r="E108" s="4" t="n"/>
      <c r="F108" s="5" t="n"/>
      <c r="G108" s="9">
        <f>IF(E108="","",E108*F108)</f>
        <v/>
      </c>
      <c r="H108" s="5" t="n"/>
      <c r="I108" s="9">
        <f>IF(G108="","",G108-IF(H108="",0,H108))</f>
        <v/>
      </c>
    </row>
    <row r="109">
      <c r="A109" t="n">
        <v>106</v>
      </c>
      <c r="B109" s="8" t="n"/>
      <c r="C109" s="4" t="n"/>
      <c r="D109" s="4" t="n"/>
      <c r="E109" s="4" t="n"/>
      <c r="F109" s="5" t="n"/>
      <c r="G109" s="9">
        <f>IF(E109="","",E109*F109)</f>
        <v/>
      </c>
      <c r="H109" s="5" t="n"/>
      <c r="I109" s="9">
        <f>IF(G109="","",G109-IF(H109="",0,H109))</f>
        <v/>
      </c>
    </row>
    <row r="110">
      <c r="A110" t="n">
        <v>107</v>
      </c>
      <c r="B110" s="8" t="n"/>
      <c r="C110" s="4" t="n"/>
      <c r="D110" s="4" t="n"/>
      <c r="E110" s="4" t="n"/>
      <c r="F110" s="5" t="n"/>
      <c r="G110" s="9">
        <f>IF(E110="","",E110*F110)</f>
        <v/>
      </c>
      <c r="H110" s="5" t="n"/>
      <c r="I110" s="9">
        <f>IF(G110="","",G110-IF(H110="",0,H110))</f>
        <v/>
      </c>
    </row>
    <row r="111">
      <c r="A111" t="n">
        <v>108</v>
      </c>
      <c r="B111" s="8" t="n"/>
      <c r="C111" s="4" t="n"/>
      <c r="D111" s="4" t="n"/>
      <c r="E111" s="4" t="n"/>
      <c r="F111" s="5" t="n"/>
      <c r="G111" s="9">
        <f>IF(E111="","",E111*F111)</f>
        <v/>
      </c>
      <c r="H111" s="5" t="n"/>
      <c r="I111" s="9">
        <f>IF(G111="","",G111-IF(H111="",0,H111))</f>
        <v/>
      </c>
    </row>
    <row r="112">
      <c r="A112" t="n">
        <v>109</v>
      </c>
      <c r="B112" s="8" t="n"/>
      <c r="C112" s="4" t="n"/>
      <c r="D112" s="4" t="n"/>
      <c r="E112" s="4" t="n"/>
      <c r="F112" s="5" t="n"/>
      <c r="G112" s="9">
        <f>IF(E112="","",E112*F112)</f>
        <v/>
      </c>
      <c r="H112" s="5" t="n"/>
      <c r="I112" s="9">
        <f>IF(G112="","",G112-IF(H112="",0,H112))</f>
        <v/>
      </c>
    </row>
    <row r="113">
      <c r="A113" t="n">
        <v>110</v>
      </c>
      <c r="B113" s="8" t="n"/>
      <c r="C113" s="4" t="n"/>
      <c r="D113" s="4" t="n"/>
      <c r="E113" s="4" t="n"/>
      <c r="F113" s="5" t="n"/>
      <c r="G113" s="9">
        <f>IF(E113="","",E113*F113)</f>
        <v/>
      </c>
      <c r="H113" s="5" t="n"/>
      <c r="I113" s="9">
        <f>IF(G113="","",G113-IF(H113="",0,H113))</f>
        <v/>
      </c>
    </row>
    <row r="114">
      <c r="A114" t="n">
        <v>111</v>
      </c>
      <c r="B114" s="8" t="n"/>
      <c r="C114" s="4" t="n"/>
      <c r="D114" s="4" t="n"/>
      <c r="E114" s="4" t="n"/>
      <c r="F114" s="5" t="n"/>
      <c r="G114" s="9">
        <f>IF(E114="","",E114*F114)</f>
        <v/>
      </c>
      <c r="H114" s="5" t="n"/>
      <c r="I114" s="9">
        <f>IF(G114="","",G114-IF(H114="",0,H114))</f>
        <v/>
      </c>
    </row>
    <row r="115">
      <c r="A115" t="n">
        <v>112</v>
      </c>
      <c r="B115" s="8" t="n"/>
      <c r="C115" s="4" t="n"/>
      <c r="D115" s="4" t="n"/>
      <c r="E115" s="4" t="n"/>
      <c r="F115" s="5" t="n"/>
      <c r="G115" s="9">
        <f>IF(E115="","",E115*F115)</f>
        <v/>
      </c>
      <c r="H115" s="5" t="n"/>
      <c r="I115" s="9">
        <f>IF(G115="","",G115-IF(H115="",0,H115))</f>
        <v/>
      </c>
    </row>
    <row r="116">
      <c r="A116" t="n">
        <v>113</v>
      </c>
      <c r="B116" s="8" t="n"/>
      <c r="C116" s="4" t="n"/>
      <c r="D116" s="4" t="n"/>
      <c r="E116" s="4" t="n"/>
      <c r="F116" s="5" t="n"/>
      <c r="G116" s="9">
        <f>IF(E116="","",E116*F116)</f>
        <v/>
      </c>
      <c r="H116" s="5" t="n"/>
      <c r="I116" s="9">
        <f>IF(G116="","",G116-IF(H116="",0,H116))</f>
        <v/>
      </c>
    </row>
    <row r="117">
      <c r="A117" t="n">
        <v>114</v>
      </c>
      <c r="B117" s="8" t="n"/>
      <c r="C117" s="4" t="n"/>
      <c r="D117" s="4" t="n"/>
      <c r="E117" s="4" t="n"/>
      <c r="F117" s="5" t="n"/>
      <c r="G117" s="9">
        <f>IF(E117="","",E117*F117)</f>
        <v/>
      </c>
      <c r="H117" s="5" t="n"/>
      <c r="I117" s="9">
        <f>IF(G117="","",G117-IF(H117="",0,H117))</f>
        <v/>
      </c>
    </row>
    <row r="118">
      <c r="A118" t="n">
        <v>115</v>
      </c>
      <c r="B118" s="8" t="n"/>
      <c r="C118" s="4" t="n"/>
      <c r="D118" s="4" t="n"/>
      <c r="E118" s="4" t="n"/>
      <c r="F118" s="5" t="n"/>
      <c r="G118" s="9">
        <f>IF(E118="","",E118*F118)</f>
        <v/>
      </c>
      <c r="H118" s="5" t="n"/>
      <c r="I118" s="9">
        <f>IF(G118="","",G118-IF(H118="",0,H118))</f>
        <v/>
      </c>
    </row>
    <row r="119">
      <c r="A119" t="n">
        <v>116</v>
      </c>
      <c r="B119" s="8" t="n"/>
      <c r="C119" s="4" t="n"/>
      <c r="D119" s="4" t="n"/>
      <c r="E119" s="4" t="n"/>
      <c r="F119" s="5" t="n"/>
      <c r="G119" s="9">
        <f>IF(E119="","",E119*F119)</f>
        <v/>
      </c>
      <c r="H119" s="5" t="n"/>
      <c r="I119" s="9">
        <f>IF(G119="","",G119-IF(H119="",0,H119))</f>
        <v/>
      </c>
    </row>
    <row r="120">
      <c r="A120" t="n">
        <v>117</v>
      </c>
      <c r="B120" s="8" t="n"/>
      <c r="C120" s="4" t="n"/>
      <c r="D120" s="4" t="n"/>
      <c r="E120" s="4" t="n"/>
      <c r="F120" s="5" t="n"/>
      <c r="G120" s="9">
        <f>IF(E120="","",E120*F120)</f>
        <v/>
      </c>
      <c r="H120" s="5" t="n"/>
      <c r="I120" s="9">
        <f>IF(G120="","",G120-IF(H120="",0,H120))</f>
        <v/>
      </c>
    </row>
    <row r="121">
      <c r="A121" t="n">
        <v>118</v>
      </c>
      <c r="B121" s="8" t="n"/>
      <c r="C121" s="4" t="n"/>
      <c r="D121" s="4" t="n"/>
      <c r="E121" s="4" t="n"/>
      <c r="F121" s="5" t="n"/>
      <c r="G121" s="9">
        <f>IF(E121="","",E121*F121)</f>
        <v/>
      </c>
      <c r="H121" s="5" t="n"/>
      <c r="I121" s="9">
        <f>IF(G121="","",G121-IF(H121="",0,H121))</f>
        <v/>
      </c>
    </row>
    <row r="122">
      <c r="A122" t="n">
        <v>119</v>
      </c>
      <c r="B122" s="8" t="n"/>
      <c r="C122" s="4" t="n"/>
      <c r="D122" s="4" t="n"/>
      <c r="E122" s="4" t="n"/>
      <c r="F122" s="5" t="n"/>
      <c r="G122" s="9">
        <f>IF(E122="","",E122*F122)</f>
        <v/>
      </c>
      <c r="H122" s="5" t="n"/>
      <c r="I122" s="9">
        <f>IF(G122="","",G122-IF(H122="",0,H122))</f>
        <v/>
      </c>
    </row>
    <row r="123">
      <c r="A123" t="n">
        <v>120</v>
      </c>
      <c r="B123" s="8" t="n"/>
      <c r="C123" s="4" t="n"/>
      <c r="D123" s="4" t="n"/>
      <c r="E123" s="4" t="n"/>
      <c r="F123" s="5" t="n"/>
      <c r="G123" s="9">
        <f>IF(E123="","",E123*F123)</f>
        <v/>
      </c>
      <c r="H123" s="5" t="n"/>
      <c r="I123" s="9">
        <f>IF(G123="","",G123-IF(H123="",0,H123))</f>
        <v/>
      </c>
    </row>
    <row r="124">
      <c r="A124" t="n">
        <v>121</v>
      </c>
      <c r="B124" s="8" t="n"/>
      <c r="C124" s="4" t="n"/>
      <c r="D124" s="4" t="n"/>
      <c r="E124" s="4" t="n"/>
      <c r="F124" s="5" t="n"/>
      <c r="G124" s="9">
        <f>IF(E124="","",E124*F124)</f>
        <v/>
      </c>
      <c r="H124" s="5" t="n"/>
      <c r="I124" s="9">
        <f>IF(G124="","",G124-IF(H124="",0,H124))</f>
        <v/>
      </c>
    </row>
    <row r="125">
      <c r="A125" t="n">
        <v>122</v>
      </c>
      <c r="B125" s="8" t="n"/>
      <c r="C125" s="4" t="n"/>
      <c r="D125" s="4" t="n"/>
      <c r="E125" s="4" t="n"/>
      <c r="F125" s="5" t="n"/>
      <c r="G125" s="9">
        <f>IF(E125="","",E125*F125)</f>
        <v/>
      </c>
      <c r="H125" s="5" t="n"/>
      <c r="I125" s="9">
        <f>IF(G125="","",G125-IF(H125="",0,H125))</f>
        <v/>
      </c>
    </row>
    <row r="126">
      <c r="A126" t="n">
        <v>123</v>
      </c>
      <c r="B126" s="8" t="n"/>
      <c r="C126" s="4" t="n"/>
      <c r="D126" s="4" t="n"/>
      <c r="E126" s="4" t="n"/>
      <c r="F126" s="5" t="n"/>
      <c r="G126" s="9">
        <f>IF(E126="","",E126*F126)</f>
        <v/>
      </c>
      <c r="H126" s="5" t="n"/>
      <c r="I126" s="9">
        <f>IF(G126="","",G126-IF(H126="",0,H126))</f>
        <v/>
      </c>
    </row>
    <row r="127">
      <c r="A127" t="n">
        <v>124</v>
      </c>
      <c r="B127" s="8" t="n"/>
      <c r="C127" s="4" t="n"/>
      <c r="D127" s="4" t="n"/>
      <c r="E127" s="4" t="n"/>
      <c r="F127" s="5" t="n"/>
      <c r="G127" s="9">
        <f>IF(E127="","",E127*F127)</f>
        <v/>
      </c>
      <c r="H127" s="5" t="n"/>
      <c r="I127" s="9">
        <f>IF(G127="","",G127-IF(H127="",0,H127))</f>
        <v/>
      </c>
    </row>
    <row r="128">
      <c r="A128" t="n">
        <v>125</v>
      </c>
      <c r="B128" s="8" t="n"/>
      <c r="C128" s="4" t="n"/>
      <c r="D128" s="4" t="n"/>
      <c r="E128" s="4" t="n"/>
      <c r="F128" s="5" t="n"/>
      <c r="G128" s="9">
        <f>IF(E128="","",E128*F128)</f>
        <v/>
      </c>
      <c r="H128" s="5" t="n"/>
      <c r="I128" s="9">
        <f>IF(G128="","",G128-IF(H128="",0,H128))</f>
        <v/>
      </c>
    </row>
    <row r="129">
      <c r="A129" t="n">
        <v>126</v>
      </c>
      <c r="B129" s="8" t="n"/>
      <c r="C129" s="4" t="n"/>
      <c r="D129" s="4" t="n"/>
      <c r="E129" s="4" t="n"/>
      <c r="F129" s="5" t="n"/>
      <c r="G129" s="9">
        <f>IF(E129="","",E129*F129)</f>
        <v/>
      </c>
      <c r="H129" s="5" t="n"/>
      <c r="I129" s="9">
        <f>IF(G129="","",G129-IF(H129="",0,H129))</f>
        <v/>
      </c>
    </row>
    <row r="130">
      <c r="A130" t="n">
        <v>127</v>
      </c>
      <c r="B130" s="8" t="n"/>
      <c r="C130" s="4" t="n"/>
      <c r="D130" s="4" t="n"/>
      <c r="E130" s="4" t="n"/>
      <c r="F130" s="5" t="n"/>
      <c r="G130" s="9">
        <f>IF(E130="","",E130*F130)</f>
        <v/>
      </c>
      <c r="H130" s="5" t="n"/>
      <c r="I130" s="9">
        <f>IF(G130="","",G130-IF(H130="",0,H130))</f>
        <v/>
      </c>
    </row>
    <row r="131">
      <c r="A131" t="n">
        <v>128</v>
      </c>
      <c r="B131" s="8" t="n"/>
      <c r="C131" s="4" t="n"/>
      <c r="D131" s="4" t="n"/>
      <c r="E131" s="4" t="n"/>
      <c r="F131" s="5" t="n"/>
      <c r="G131" s="9">
        <f>IF(E131="","",E131*F131)</f>
        <v/>
      </c>
      <c r="H131" s="5" t="n"/>
      <c r="I131" s="9">
        <f>IF(G131="","",G131-IF(H131="",0,H131))</f>
        <v/>
      </c>
    </row>
    <row r="132">
      <c r="A132" t="n">
        <v>129</v>
      </c>
      <c r="B132" s="8" t="n"/>
      <c r="C132" s="4" t="n"/>
      <c r="D132" s="4" t="n"/>
      <c r="E132" s="4" t="n"/>
      <c r="F132" s="5" t="n"/>
      <c r="G132" s="9">
        <f>IF(E132="","",E132*F132)</f>
        <v/>
      </c>
      <c r="H132" s="5" t="n"/>
      <c r="I132" s="9">
        <f>IF(G132="","",G132-IF(H132="",0,H132))</f>
        <v/>
      </c>
    </row>
    <row r="133">
      <c r="A133" t="n">
        <v>130</v>
      </c>
      <c r="B133" s="8" t="n"/>
      <c r="C133" s="4" t="n"/>
      <c r="D133" s="4" t="n"/>
      <c r="E133" s="4" t="n"/>
      <c r="F133" s="5" t="n"/>
      <c r="G133" s="9">
        <f>IF(E133="","",E133*F133)</f>
        <v/>
      </c>
      <c r="H133" s="5" t="n"/>
      <c r="I133" s="9">
        <f>IF(G133="","",G133-IF(H133="",0,H133))</f>
        <v/>
      </c>
    </row>
    <row r="134">
      <c r="A134" t="n">
        <v>131</v>
      </c>
      <c r="B134" s="8" t="n"/>
      <c r="C134" s="4" t="n"/>
      <c r="D134" s="4" t="n"/>
      <c r="E134" s="4" t="n"/>
      <c r="F134" s="5" t="n"/>
      <c r="G134" s="9">
        <f>IF(E134="","",E134*F134)</f>
        <v/>
      </c>
      <c r="H134" s="5" t="n"/>
      <c r="I134" s="9">
        <f>IF(G134="","",G134-IF(H134="",0,H134))</f>
        <v/>
      </c>
    </row>
    <row r="135">
      <c r="A135" t="n">
        <v>132</v>
      </c>
      <c r="B135" s="8" t="n"/>
      <c r="C135" s="4" t="n"/>
      <c r="D135" s="4" t="n"/>
      <c r="E135" s="4" t="n"/>
      <c r="F135" s="5" t="n"/>
      <c r="G135" s="9">
        <f>IF(E135="","",E135*F135)</f>
        <v/>
      </c>
      <c r="H135" s="5" t="n"/>
      <c r="I135" s="9">
        <f>IF(G135="","",G135-IF(H135="",0,H135))</f>
        <v/>
      </c>
    </row>
    <row r="136">
      <c r="A136" t="n">
        <v>133</v>
      </c>
      <c r="B136" s="8" t="n"/>
      <c r="C136" s="4" t="n"/>
      <c r="D136" s="4" t="n"/>
      <c r="E136" s="4" t="n"/>
      <c r="F136" s="5" t="n"/>
      <c r="G136" s="9">
        <f>IF(E136="","",E136*F136)</f>
        <v/>
      </c>
      <c r="H136" s="5" t="n"/>
      <c r="I136" s="9">
        <f>IF(G136="","",G136-IF(H136="",0,H136))</f>
        <v/>
      </c>
    </row>
    <row r="137">
      <c r="A137" t="n">
        <v>134</v>
      </c>
      <c r="B137" s="8" t="n"/>
      <c r="C137" s="4" t="n"/>
      <c r="D137" s="4" t="n"/>
      <c r="E137" s="4" t="n"/>
      <c r="F137" s="5" t="n"/>
      <c r="G137" s="9">
        <f>IF(E137="","",E137*F137)</f>
        <v/>
      </c>
      <c r="H137" s="5" t="n"/>
      <c r="I137" s="9">
        <f>IF(G137="","",G137-IF(H137="",0,H137))</f>
        <v/>
      </c>
    </row>
    <row r="138">
      <c r="A138" t="n">
        <v>135</v>
      </c>
      <c r="B138" s="8" t="n"/>
      <c r="C138" s="4" t="n"/>
      <c r="D138" s="4" t="n"/>
      <c r="E138" s="4" t="n"/>
      <c r="F138" s="5" t="n"/>
      <c r="G138" s="9">
        <f>IF(E138="","",E138*F138)</f>
        <v/>
      </c>
      <c r="H138" s="5" t="n"/>
      <c r="I138" s="9">
        <f>IF(G138="","",G138-IF(H138="",0,H138))</f>
        <v/>
      </c>
    </row>
    <row r="139">
      <c r="A139" t="n">
        <v>136</v>
      </c>
      <c r="B139" s="8" t="n"/>
      <c r="C139" s="4" t="n"/>
      <c r="D139" s="4" t="n"/>
      <c r="E139" s="4" t="n"/>
      <c r="F139" s="5" t="n"/>
      <c r="G139" s="9">
        <f>IF(E139="","",E139*F139)</f>
        <v/>
      </c>
      <c r="H139" s="5" t="n"/>
      <c r="I139" s="9">
        <f>IF(G139="","",G139-IF(H139="",0,H139))</f>
        <v/>
      </c>
    </row>
    <row r="140">
      <c r="A140" t="n">
        <v>137</v>
      </c>
      <c r="B140" s="8" t="n"/>
      <c r="C140" s="4" t="n"/>
      <c r="D140" s="4" t="n"/>
      <c r="E140" s="4" t="n"/>
      <c r="F140" s="5" t="n"/>
      <c r="G140" s="9">
        <f>IF(E140="","",E140*F140)</f>
        <v/>
      </c>
      <c r="H140" s="5" t="n"/>
      <c r="I140" s="9">
        <f>IF(G140="","",G140-IF(H140="",0,H140))</f>
        <v/>
      </c>
    </row>
    <row r="141">
      <c r="A141" t="n">
        <v>138</v>
      </c>
      <c r="B141" s="8" t="n"/>
      <c r="C141" s="4" t="n"/>
      <c r="D141" s="4" t="n"/>
      <c r="E141" s="4" t="n"/>
      <c r="F141" s="5" t="n"/>
      <c r="G141" s="9">
        <f>IF(E141="","",E141*F141)</f>
        <v/>
      </c>
      <c r="H141" s="5" t="n"/>
      <c r="I141" s="9">
        <f>IF(G141="","",G141-IF(H141="",0,H141))</f>
        <v/>
      </c>
    </row>
    <row r="142">
      <c r="A142" t="n">
        <v>139</v>
      </c>
      <c r="B142" s="8" t="n"/>
      <c r="C142" s="4" t="n"/>
      <c r="D142" s="4" t="n"/>
      <c r="E142" s="4" t="n"/>
      <c r="F142" s="5" t="n"/>
      <c r="G142" s="9">
        <f>IF(E142="","",E142*F142)</f>
        <v/>
      </c>
      <c r="H142" s="5" t="n"/>
      <c r="I142" s="9">
        <f>IF(G142="","",G142-IF(H142="",0,H142))</f>
        <v/>
      </c>
    </row>
    <row r="143">
      <c r="A143" t="n">
        <v>140</v>
      </c>
      <c r="B143" s="8" t="n"/>
      <c r="C143" s="4" t="n"/>
      <c r="D143" s="4" t="n"/>
      <c r="E143" s="4" t="n"/>
      <c r="F143" s="5" t="n"/>
      <c r="G143" s="9">
        <f>IF(E143="","",E143*F143)</f>
        <v/>
      </c>
      <c r="H143" s="5" t="n"/>
      <c r="I143" s="9">
        <f>IF(G143="","",G143-IF(H143="",0,H143))</f>
        <v/>
      </c>
    </row>
    <row r="144">
      <c r="A144" t="n">
        <v>141</v>
      </c>
      <c r="B144" s="8" t="n"/>
      <c r="C144" s="4" t="n"/>
      <c r="D144" s="4" t="n"/>
      <c r="E144" s="4" t="n"/>
      <c r="F144" s="5" t="n"/>
      <c r="G144" s="9">
        <f>IF(E144="","",E144*F144)</f>
        <v/>
      </c>
      <c r="H144" s="5" t="n"/>
      <c r="I144" s="9">
        <f>IF(G144="","",G144-IF(H144="",0,H144))</f>
        <v/>
      </c>
    </row>
    <row r="145">
      <c r="A145" t="n">
        <v>142</v>
      </c>
      <c r="B145" s="8" t="n"/>
      <c r="C145" s="4" t="n"/>
      <c r="D145" s="4" t="n"/>
      <c r="E145" s="4" t="n"/>
      <c r="F145" s="5" t="n"/>
      <c r="G145" s="9">
        <f>IF(E145="","",E145*F145)</f>
        <v/>
      </c>
      <c r="H145" s="5" t="n"/>
      <c r="I145" s="9">
        <f>IF(G145="","",G145-IF(H145="",0,H145))</f>
        <v/>
      </c>
    </row>
    <row r="146">
      <c r="A146" t="n">
        <v>143</v>
      </c>
      <c r="B146" s="8" t="n"/>
      <c r="C146" s="4" t="n"/>
      <c r="D146" s="4" t="n"/>
      <c r="E146" s="4" t="n"/>
      <c r="F146" s="5" t="n"/>
      <c r="G146" s="9">
        <f>IF(E146="","",E146*F146)</f>
        <v/>
      </c>
      <c r="H146" s="5" t="n"/>
      <c r="I146" s="9">
        <f>IF(G146="","",G146-IF(H146="",0,H146))</f>
        <v/>
      </c>
    </row>
    <row r="147">
      <c r="A147" t="n">
        <v>144</v>
      </c>
      <c r="B147" s="8" t="n"/>
      <c r="C147" s="4" t="n"/>
      <c r="D147" s="4" t="n"/>
      <c r="E147" s="4" t="n"/>
      <c r="F147" s="5" t="n"/>
      <c r="G147" s="9">
        <f>IF(E147="","",E147*F147)</f>
        <v/>
      </c>
      <c r="H147" s="5" t="n"/>
      <c r="I147" s="9">
        <f>IF(G147="","",G147-IF(H147="",0,H147))</f>
        <v/>
      </c>
    </row>
    <row r="148">
      <c r="A148" t="n">
        <v>145</v>
      </c>
      <c r="B148" s="8" t="n"/>
      <c r="C148" s="4" t="n"/>
      <c r="D148" s="4" t="n"/>
      <c r="E148" s="4" t="n"/>
      <c r="F148" s="5" t="n"/>
      <c r="G148" s="9">
        <f>IF(E148="","",E148*F148)</f>
        <v/>
      </c>
      <c r="H148" s="5" t="n"/>
      <c r="I148" s="9">
        <f>IF(G148="","",G148-IF(H148="",0,H148))</f>
        <v/>
      </c>
    </row>
    <row r="149">
      <c r="A149" t="n">
        <v>146</v>
      </c>
      <c r="B149" s="8" t="n"/>
      <c r="C149" s="4" t="n"/>
      <c r="D149" s="4" t="n"/>
      <c r="E149" s="4" t="n"/>
      <c r="F149" s="5" t="n"/>
      <c r="G149" s="9">
        <f>IF(E149="","",E149*F149)</f>
        <v/>
      </c>
      <c r="H149" s="5" t="n"/>
      <c r="I149" s="9">
        <f>IF(G149="","",G149-IF(H149="",0,H149))</f>
        <v/>
      </c>
    </row>
    <row r="150">
      <c r="A150" t="n">
        <v>147</v>
      </c>
      <c r="B150" s="8" t="n"/>
      <c r="C150" s="4" t="n"/>
      <c r="D150" s="4" t="n"/>
      <c r="E150" s="4" t="n"/>
      <c r="F150" s="5" t="n"/>
      <c r="G150" s="9">
        <f>IF(E150="","",E150*F150)</f>
        <v/>
      </c>
      <c r="H150" s="5" t="n"/>
      <c r="I150" s="9">
        <f>IF(G150="","",G150-IF(H150="",0,H150))</f>
        <v/>
      </c>
    </row>
    <row r="151">
      <c r="A151" t="n">
        <v>148</v>
      </c>
      <c r="B151" s="8" t="n"/>
      <c r="C151" s="4" t="n"/>
      <c r="D151" s="4" t="n"/>
      <c r="E151" s="4" t="n"/>
      <c r="F151" s="5" t="n"/>
      <c r="G151" s="9">
        <f>IF(E151="","",E151*F151)</f>
        <v/>
      </c>
      <c r="H151" s="5" t="n"/>
      <c r="I151" s="9">
        <f>IF(G151="","",G151-IF(H151="",0,H151))</f>
        <v/>
      </c>
    </row>
    <row r="152">
      <c r="A152" t="n">
        <v>149</v>
      </c>
      <c r="B152" s="8" t="n"/>
      <c r="C152" s="4" t="n"/>
      <c r="D152" s="4" t="n"/>
      <c r="E152" s="4" t="n"/>
      <c r="F152" s="5" t="n"/>
      <c r="G152" s="9">
        <f>IF(E152="","",E152*F152)</f>
        <v/>
      </c>
      <c r="H152" s="5" t="n"/>
      <c r="I152" s="9">
        <f>IF(G152="","",G152-IF(H152="",0,H152))</f>
        <v/>
      </c>
    </row>
    <row r="153">
      <c r="A153" t="n">
        <v>150</v>
      </c>
      <c r="B153" s="8" t="n"/>
      <c r="C153" s="4" t="n"/>
      <c r="D153" s="4" t="n"/>
      <c r="E153" s="4" t="n"/>
      <c r="F153" s="5" t="n"/>
      <c r="G153" s="9">
        <f>IF(E153="","",E153*F153)</f>
        <v/>
      </c>
      <c r="H153" s="5" t="n"/>
      <c r="I153" s="9">
        <f>IF(G153="","",G153-IF(H153="",0,H153))</f>
        <v/>
      </c>
    </row>
    <row r="154">
      <c r="A154" t="n">
        <v>151</v>
      </c>
      <c r="B154" s="8" t="n"/>
      <c r="C154" s="4" t="n"/>
      <c r="D154" s="4" t="n"/>
      <c r="E154" s="4" t="n"/>
      <c r="F154" s="5" t="n"/>
      <c r="G154" s="9">
        <f>IF(E154="","",E154*F154)</f>
        <v/>
      </c>
      <c r="H154" s="5" t="n"/>
      <c r="I154" s="9">
        <f>IF(G154="","",G154-IF(H154="",0,H154))</f>
        <v/>
      </c>
    </row>
    <row r="155">
      <c r="A155" t="n">
        <v>152</v>
      </c>
      <c r="B155" s="8" t="n"/>
      <c r="C155" s="4" t="n"/>
      <c r="D155" s="4" t="n"/>
      <c r="E155" s="4" t="n"/>
      <c r="F155" s="5" t="n"/>
      <c r="G155" s="9">
        <f>IF(E155="","",E155*F155)</f>
        <v/>
      </c>
      <c r="H155" s="5" t="n"/>
      <c r="I155" s="9">
        <f>IF(G155="","",G155-IF(H155="",0,H155))</f>
        <v/>
      </c>
    </row>
    <row r="156">
      <c r="A156" t="n">
        <v>153</v>
      </c>
      <c r="B156" s="8" t="n"/>
      <c r="C156" s="4" t="n"/>
      <c r="D156" s="4" t="n"/>
      <c r="E156" s="4" t="n"/>
      <c r="F156" s="5" t="n"/>
      <c r="G156" s="9">
        <f>IF(E156="","",E156*F156)</f>
        <v/>
      </c>
      <c r="H156" s="5" t="n"/>
      <c r="I156" s="9">
        <f>IF(G156="","",G156-IF(H156="",0,H156))</f>
        <v/>
      </c>
    </row>
    <row r="157">
      <c r="A157" t="n">
        <v>154</v>
      </c>
      <c r="B157" s="8" t="n"/>
      <c r="C157" s="4" t="n"/>
      <c r="D157" s="4" t="n"/>
      <c r="E157" s="4" t="n"/>
      <c r="F157" s="5" t="n"/>
      <c r="G157" s="9">
        <f>IF(E157="","",E157*F157)</f>
        <v/>
      </c>
      <c r="H157" s="5" t="n"/>
      <c r="I157" s="9">
        <f>IF(G157="","",G157-IF(H157="",0,H157))</f>
        <v/>
      </c>
    </row>
    <row r="158">
      <c r="A158" t="n">
        <v>155</v>
      </c>
      <c r="B158" s="8" t="n"/>
      <c r="C158" s="4" t="n"/>
      <c r="D158" s="4" t="n"/>
      <c r="E158" s="4" t="n"/>
      <c r="F158" s="5" t="n"/>
      <c r="G158" s="9">
        <f>IF(E158="","",E158*F158)</f>
        <v/>
      </c>
      <c r="H158" s="5" t="n"/>
      <c r="I158" s="9">
        <f>IF(G158="","",G158-IF(H158="",0,H158))</f>
        <v/>
      </c>
    </row>
    <row r="159">
      <c r="A159" t="n">
        <v>156</v>
      </c>
      <c r="B159" s="8" t="n"/>
      <c r="C159" s="4" t="n"/>
      <c r="D159" s="4" t="n"/>
      <c r="E159" s="4" t="n"/>
      <c r="F159" s="5" t="n"/>
      <c r="G159" s="9">
        <f>IF(E159="","",E159*F159)</f>
        <v/>
      </c>
      <c r="H159" s="5" t="n"/>
      <c r="I159" s="9">
        <f>IF(G159="","",G159-IF(H159="",0,H159))</f>
        <v/>
      </c>
    </row>
    <row r="160">
      <c r="A160" t="n">
        <v>157</v>
      </c>
      <c r="B160" s="8" t="n"/>
      <c r="C160" s="4" t="n"/>
      <c r="D160" s="4" t="n"/>
      <c r="E160" s="4" t="n"/>
      <c r="F160" s="5" t="n"/>
      <c r="G160" s="9">
        <f>IF(E160="","",E160*F160)</f>
        <v/>
      </c>
      <c r="H160" s="5" t="n"/>
      <c r="I160" s="9">
        <f>IF(G160="","",G160-IF(H160="",0,H160))</f>
        <v/>
      </c>
    </row>
    <row r="161">
      <c r="A161" t="n">
        <v>158</v>
      </c>
      <c r="B161" s="8" t="n"/>
      <c r="C161" s="4" t="n"/>
      <c r="D161" s="4" t="n"/>
      <c r="E161" s="4" t="n"/>
      <c r="F161" s="5" t="n"/>
      <c r="G161" s="9">
        <f>IF(E161="","",E161*F161)</f>
        <v/>
      </c>
      <c r="H161" s="5" t="n"/>
      <c r="I161" s="9">
        <f>IF(G161="","",G161-IF(H161="",0,H161))</f>
        <v/>
      </c>
    </row>
    <row r="162">
      <c r="A162" t="n">
        <v>159</v>
      </c>
      <c r="B162" s="8" t="n"/>
      <c r="C162" s="4" t="n"/>
      <c r="D162" s="4" t="n"/>
      <c r="E162" s="4" t="n"/>
      <c r="F162" s="5" t="n"/>
      <c r="G162" s="9">
        <f>IF(E162="","",E162*F162)</f>
        <v/>
      </c>
      <c r="H162" s="5" t="n"/>
      <c r="I162" s="9">
        <f>IF(G162="","",G162-IF(H162="",0,H162))</f>
        <v/>
      </c>
    </row>
    <row r="163">
      <c r="A163" t="n">
        <v>160</v>
      </c>
      <c r="B163" s="8" t="n"/>
      <c r="C163" s="4" t="n"/>
      <c r="D163" s="4" t="n"/>
      <c r="E163" s="4" t="n"/>
      <c r="F163" s="5" t="n"/>
      <c r="G163" s="9">
        <f>IF(E163="","",E163*F163)</f>
        <v/>
      </c>
      <c r="H163" s="5" t="n"/>
      <c r="I163" s="9">
        <f>IF(G163="","",G163-IF(H163="",0,H163))</f>
        <v/>
      </c>
    </row>
    <row r="164">
      <c r="A164" t="n">
        <v>161</v>
      </c>
      <c r="B164" s="8" t="n"/>
      <c r="C164" s="4" t="n"/>
      <c r="D164" s="4" t="n"/>
      <c r="E164" s="4" t="n"/>
      <c r="F164" s="5" t="n"/>
      <c r="G164" s="9">
        <f>IF(E164="","",E164*F164)</f>
        <v/>
      </c>
      <c r="H164" s="5" t="n"/>
      <c r="I164" s="9">
        <f>IF(G164="","",G164-IF(H164="",0,H164))</f>
        <v/>
      </c>
    </row>
    <row r="165">
      <c r="A165" t="n">
        <v>162</v>
      </c>
      <c r="B165" s="8" t="n"/>
      <c r="C165" s="4" t="n"/>
      <c r="D165" s="4" t="n"/>
      <c r="E165" s="4" t="n"/>
      <c r="F165" s="5" t="n"/>
      <c r="G165" s="9">
        <f>IF(E165="","",E165*F165)</f>
        <v/>
      </c>
      <c r="H165" s="5" t="n"/>
      <c r="I165" s="9">
        <f>IF(G165="","",G165-IF(H165="",0,H165))</f>
        <v/>
      </c>
    </row>
    <row r="166">
      <c r="A166" t="n">
        <v>163</v>
      </c>
      <c r="B166" s="8" t="n"/>
      <c r="C166" s="4" t="n"/>
      <c r="D166" s="4" t="n"/>
      <c r="E166" s="4" t="n"/>
      <c r="F166" s="5" t="n"/>
      <c r="G166" s="9">
        <f>IF(E166="","",E166*F166)</f>
        <v/>
      </c>
      <c r="H166" s="5" t="n"/>
      <c r="I166" s="9">
        <f>IF(G166="","",G166-IF(H166="",0,H166))</f>
        <v/>
      </c>
    </row>
    <row r="167">
      <c r="A167" t="n">
        <v>164</v>
      </c>
      <c r="B167" s="8" t="n"/>
      <c r="C167" s="4" t="n"/>
      <c r="D167" s="4" t="n"/>
      <c r="E167" s="4" t="n"/>
      <c r="F167" s="5" t="n"/>
      <c r="G167" s="9">
        <f>IF(E167="","",E167*F167)</f>
        <v/>
      </c>
      <c r="H167" s="5" t="n"/>
      <c r="I167" s="9">
        <f>IF(G167="","",G167-IF(H167="",0,H167))</f>
        <v/>
      </c>
    </row>
    <row r="168">
      <c r="A168" t="n">
        <v>165</v>
      </c>
      <c r="B168" s="8" t="n"/>
      <c r="C168" s="4" t="n"/>
      <c r="D168" s="4" t="n"/>
      <c r="E168" s="4" t="n"/>
      <c r="F168" s="5" t="n"/>
      <c r="G168" s="9">
        <f>IF(E168="","",E168*F168)</f>
        <v/>
      </c>
      <c r="H168" s="5" t="n"/>
      <c r="I168" s="9">
        <f>IF(G168="","",G168-IF(H168="",0,H168))</f>
        <v/>
      </c>
    </row>
    <row r="169">
      <c r="A169" t="n">
        <v>166</v>
      </c>
      <c r="B169" s="8" t="n"/>
      <c r="C169" s="4" t="n"/>
      <c r="D169" s="4" t="n"/>
      <c r="E169" s="4" t="n"/>
      <c r="F169" s="5" t="n"/>
      <c r="G169" s="9">
        <f>IF(E169="","",E169*F169)</f>
        <v/>
      </c>
      <c r="H169" s="5" t="n"/>
      <c r="I169" s="9">
        <f>IF(G169="","",G169-IF(H169="",0,H169))</f>
        <v/>
      </c>
    </row>
    <row r="170">
      <c r="A170" t="n">
        <v>167</v>
      </c>
      <c r="B170" s="8" t="n"/>
      <c r="C170" s="4" t="n"/>
      <c r="D170" s="4" t="n"/>
      <c r="E170" s="4" t="n"/>
      <c r="F170" s="5" t="n"/>
      <c r="G170" s="9">
        <f>IF(E170="","",E170*F170)</f>
        <v/>
      </c>
      <c r="H170" s="5" t="n"/>
      <c r="I170" s="9">
        <f>IF(G170="","",G170-IF(H170="",0,H170))</f>
        <v/>
      </c>
    </row>
    <row r="171">
      <c r="A171" t="n">
        <v>168</v>
      </c>
      <c r="B171" s="8" t="n"/>
      <c r="C171" s="4" t="n"/>
      <c r="D171" s="4" t="n"/>
      <c r="E171" s="4" t="n"/>
      <c r="F171" s="5" t="n"/>
      <c r="G171" s="9">
        <f>IF(E171="","",E171*F171)</f>
        <v/>
      </c>
      <c r="H171" s="5" t="n"/>
      <c r="I171" s="9">
        <f>IF(G171="","",G171-IF(H171="",0,H171))</f>
        <v/>
      </c>
    </row>
    <row r="172">
      <c r="A172" t="n">
        <v>169</v>
      </c>
      <c r="B172" s="8" t="n"/>
      <c r="C172" s="4" t="n"/>
      <c r="D172" s="4" t="n"/>
      <c r="E172" s="4" t="n"/>
      <c r="F172" s="5" t="n"/>
      <c r="G172" s="9">
        <f>IF(E172="","",E172*F172)</f>
        <v/>
      </c>
      <c r="H172" s="5" t="n"/>
      <c r="I172" s="9">
        <f>IF(G172="","",G172-IF(H172="",0,H172))</f>
        <v/>
      </c>
    </row>
    <row r="173">
      <c r="A173" t="n">
        <v>170</v>
      </c>
      <c r="B173" s="8" t="n"/>
      <c r="C173" s="4" t="n"/>
      <c r="D173" s="4" t="n"/>
      <c r="E173" s="4" t="n"/>
      <c r="F173" s="5" t="n"/>
      <c r="G173" s="9">
        <f>IF(E173="","",E173*F173)</f>
        <v/>
      </c>
      <c r="H173" s="5" t="n"/>
      <c r="I173" s="9">
        <f>IF(G173="","",G173-IF(H173="",0,H173))</f>
        <v/>
      </c>
    </row>
    <row r="174">
      <c r="A174" t="n">
        <v>171</v>
      </c>
      <c r="B174" s="8" t="n"/>
      <c r="C174" s="4" t="n"/>
      <c r="D174" s="4" t="n"/>
      <c r="E174" s="4" t="n"/>
      <c r="F174" s="5" t="n"/>
      <c r="G174" s="9">
        <f>IF(E174="","",E174*F174)</f>
        <v/>
      </c>
      <c r="H174" s="5" t="n"/>
      <c r="I174" s="9">
        <f>IF(G174="","",G174-IF(H174="",0,H174))</f>
        <v/>
      </c>
    </row>
    <row r="175">
      <c r="A175" t="n">
        <v>172</v>
      </c>
      <c r="B175" s="8" t="n"/>
      <c r="C175" s="4" t="n"/>
      <c r="D175" s="4" t="n"/>
      <c r="E175" s="4" t="n"/>
      <c r="F175" s="5" t="n"/>
      <c r="G175" s="9">
        <f>IF(E175="","",E175*F175)</f>
        <v/>
      </c>
      <c r="H175" s="5" t="n"/>
      <c r="I175" s="9">
        <f>IF(G175="","",G175-IF(H175="",0,H175))</f>
        <v/>
      </c>
    </row>
    <row r="176">
      <c r="A176" t="n">
        <v>173</v>
      </c>
      <c r="B176" s="8" t="n"/>
      <c r="C176" s="4" t="n"/>
      <c r="D176" s="4" t="n"/>
      <c r="E176" s="4" t="n"/>
      <c r="F176" s="5" t="n"/>
      <c r="G176" s="9">
        <f>IF(E176="","",E176*F176)</f>
        <v/>
      </c>
      <c r="H176" s="5" t="n"/>
      <c r="I176" s="9">
        <f>IF(G176="","",G176-IF(H176="",0,H176))</f>
        <v/>
      </c>
    </row>
    <row r="177">
      <c r="A177" t="n">
        <v>174</v>
      </c>
      <c r="B177" s="8" t="n"/>
      <c r="C177" s="4" t="n"/>
      <c r="D177" s="4" t="n"/>
      <c r="E177" s="4" t="n"/>
      <c r="F177" s="5" t="n"/>
      <c r="G177" s="9">
        <f>IF(E177="","",E177*F177)</f>
        <v/>
      </c>
      <c r="H177" s="5" t="n"/>
      <c r="I177" s="9">
        <f>IF(G177="","",G177-IF(H177="",0,H177))</f>
        <v/>
      </c>
    </row>
    <row r="178">
      <c r="A178" t="n">
        <v>175</v>
      </c>
      <c r="B178" s="8" t="n"/>
      <c r="C178" s="4" t="n"/>
      <c r="D178" s="4" t="n"/>
      <c r="E178" s="4" t="n"/>
      <c r="F178" s="5" t="n"/>
      <c r="G178" s="9">
        <f>IF(E178="","",E178*F178)</f>
        <v/>
      </c>
      <c r="H178" s="5" t="n"/>
      <c r="I178" s="9">
        <f>IF(G178="","",G178-IF(H178="",0,H178))</f>
        <v/>
      </c>
    </row>
    <row r="179">
      <c r="A179" t="n">
        <v>176</v>
      </c>
      <c r="B179" s="8" t="n"/>
      <c r="C179" s="4" t="n"/>
      <c r="D179" s="4" t="n"/>
      <c r="E179" s="4" t="n"/>
      <c r="F179" s="5" t="n"/>
      <c r="G179" s="9">
        <f>IF(E179="","",E179*F179)</f>
        <v/>
      </c>
      <c r="H179" s="5" t="n"/>
      <c r="I179" s="9">
        <f>IF(G179="","",G179-IF(H179="",0,H179))</f>
        <v/>
      </c>
    </row>
    <row r="180">
      <c r="A180" t="n">
        <v>177</v>
      </c>
      <c r="B180" s="8" t="n"/>
      <c r="C180" s="4" t="n"/>
      <c r="D180" s="4" t="n"/>
      <c r="E180" s="4" t="n"/>
      <c r="F180" s="5" t="n"/>
      <c r="G180" s="9">
        <f>IF(E180="","",E180*F180)</f>
        <v/>
      </c>
      <c r="H180" s="5" t="n"/>
      <c r="I180" s="9">
        <f>IF(G180="","",G180-IF(H180="",0,H180))</f>
        <v/>
      </c>
    </row>
    <row r="181">
      <c r="A181" t="n">
        <v>178</v>
      </c>
      <c r="B181" s="8" t="n"/>
      <c r="C181" s="4" t="n"/>
      <c r="D181" s="4" t="n"/>
      <c r="E181" s="4" t="n"/>
      <c r="F181" s="5" t="n"/>
      <c r="G181" s="9">
        <f>IF(E181="","",E181*F181)</f>
        <v/>
      </c>
      <c r="H181" s="5" t="n"/>
      <c r="I181" s="9">
        <f>IF(G181="","",G181-IF(H181="",0,H181))</f>
        <v/>
      </c>
    </row>
    <row r="182">
      <c r="A182" t="n">
        <v>179</v>
      </c>
      <c r="B182" s="8" t="n"/>
      <c r="C182" s="4" t="n"/>
      <c r="D182" s="4" t="n"/>
      <c r="E182" s="4" t="n"/>
      <c r="F182" s="5" t="n"/>
      <c r="G182" s="9">
        <f>IF(E182="","",E182*F182)</f>
        <v/>
      </c>
      <c r="H182" s="5" t="n"/>
      <c r="I182" s="9">
        <f>IF(G182="","",G182-IF(H182="",0,H182))</f>
        <v/>
      </c>
    </row>
    <row r="183">
      <c r="A183" t="n">
        <v>180</v>
      </c>
      <c r="B183" s="8" t="n"/>
      <c r="C183" s="4" t="n"/>
      <c r="D183" s="4" t="n"/>
      <c r="E183" s="4" t="n"/>
      <c r="F183" s="5" t="n"/>
      <c r="G183" s="9">
        <f>IF(E183="","",E183*F183)</f>
        <v/>
      </c>
      <c r="H183" s="5" t="n"/>
      <c r="I183" s="9">
        <f>IF(G183="","",G183-IF(H183="",0,H183))</f>
        <v/>
      </c>
    </row>
    <row r="184">
      <c r="A184" t="n">
        <v>181</v>
      </c>
      <c r="B184" s="8" t="n"/>
      <c r="C184" s="4" t="n"/>
      <c r="D184" s="4" t="n"/>
      <c r="E184" s="4" t="n"/>
      <c r="F184" s="5" t="n"/>
      <c r="G184" s="9">
        <f>IF(E184="","",E184*F184)</f>
        <v/>
      </c>
      <c r="H184" s="5" t="n"/>
      <c r="I184" s="9">
        <f>IF(G184="","",G184-IF(H184="",0,H184))</f>
        <v/>
      </c>
    </row>
    <row r="185">
      <c r="A185" t="n">
        <v>182</v>
      </c>
      <c r="B185" s="8" t="n"/>
      <c r="C185" s="4" t="n"/>
      <c r="D185" s="4" t="n"/>
      <c r="E185" s="4" t="n"/>
      <c r="F185" s="5" t="n"/>
      <c r="G185" s="9">
        <f>IF(E185="","",E185*F185)</f>
        <v/>
      </c>
      <c r="H185" s="5" t="n"/>
      <c r="I185" s="9">
        <f>IF(G185="","",G185-IF(H185="",0,H185))</f>
        <v/>
      </c>
    </row>
    <row r="186">
      <c r="A186" t="n">
        <v>183</v>
      </c>
      <c r="B186" s="8" t="n"/>
      <c r="C186" s="4" t="n"/>
      <c r="D186" s="4" t="n"/>
      <c r="E186" s="4" t="n"/>
      <c r="F186" s="5" t="n"/>
      <c r="G186" s="9">
        <f>IF(E186="","",E186*F186)</f>
        <v/>
      </c>
      <c r="H186" s="5" t="n"/>
      <c r="I186" s="9">
        <f>IF(G186="","",G186-IF(H186="",0,H186))</f>
        <v/>
      </c>
    </row>
    <row r="187">
      <c r="A187" t="n">
        <v>184</v>
      </c>
      <c r="B187" s="8" t="n"/>
      <c r="C187" s="4" t="n"/>
      <c r="D187" s="4" t="n"/>
      <c r="E187" s="4" t="n"/>
      <c r="F187" s="5" t="n"/>
      <c r="G187" s="9">
        <f>IF(E187="","",E187*F187)</f>
        <v/>
      </c>
      <c r="H187" s="5" t="n"/>
      <c r="I187" s="9">
        <f>IF(G187="","",G187-IF(H187="",0,H187))</f>
        <v/>
      </c>
    </row>
    <row r="188">
      <c r="A188" t="n">
        <v>185</v>
      </c>
      <c r="B188" s="8" t="n"/>
      <c r="C188" s="4" t="n"/>
      <c r="D188" s="4" t="n"/>
      <c r="E188" s="4" t="n"/>
      <c r="F188" s="5" t="n"/>
      <c r="G188" s="9">
        <f>IF(E188="","",E188*F188)</f>
        <v/>
      </c>
      <c r="H188" s="5" t="n"/>
      <c r="I188" s="9">
        <f>IF(G188="","",G188-IF(H188="",0,H188))</f>
        <v/>
      </c>
    </row>
    <row r="189">
      <c r="A189" t="n">
        <v>186</v>
      </c>
      <c r="B189" s="8" t="n"/>
      <c r="C189" s="4" t="n"/>
      <c r="D189" s="4" t="n"/>
      <c r="E189" s="4" t="n"/>
      <c r="F189" s="5" t="n"/>
      <c r="G189" s="9">
        <f>IF(E189="","",E189*F189)</f>
        <v/>
      </c>
      <c r="H189" s="5" t="n"/>
      <c r="I189" s="9">
        <f>IF(G189="","",G189-IF(H189="",0,H189))</f>
        <v/>
      </c>
    </row>
    <row r="190">
      <c r="A190" t="n">
        <v>187</v>
      </c>
      <c r="B190" s="8" t="n"/>
      <c r="C190" s="4" t="n"/>
      <c r="D190" s="4" t="n"/>
      <c r="E190" s="4" t="n"/>
      <c r="F190" s="5" t="n"/>
      <c r="G190" s="9">
        <f>IF(E190="","",E190*F190)</f>
        <v/>
      </c>
      <c r="H190" s="5" t="n"/>
      <c r="I190" s="9">
        <f>IF(G190="","",G190-IF(H190="",0,H190))</f>
        <v/>
      </c>
    </row>
    <row r="191">
      <c r="A191" t="n">
        <v>188</v>
      </c>
      <c r="B191" s="8" t="n"/>
      <c r="C191" s="4" t="n"/>
      <c r="D191" s="4" t="n"/>
      <c r="E191" s="4" t="n"/>
      <c r="F191" s="5" t="n"/>
      <c r="G191" s="9">
        <f>IF(E191="","",E191*F191)</f>
        <v/>
      </c>
      <c r="H191" s="5" t="n"/>
      <c r="I191" s="9">
        <f>IF(G191="","",G191-IF(H191="",0,H191))</f>
        <v/>
      </c>
    </row>
    <row r="192">
      <c r="A192" t="n">
        <v>189</v>
      </c>
      <c r="B192" s="8" t="n"/>
      <c r="C192" s="4" t="n"/>
      <c r="D192" s="4" t="n"/>
      <c r="E192" s="4" t="n"/>
      <c r="F192" s="5" t="n"/>
      <c r="G192" s="9">
        <f>IF(E192="","",E192*F192)</f>
        <v/>
      </c>
      <c r="H192" s="5" t="n"/>
      <c r="I192" s="9">
        <f>IF(G192="","",G192-IF(H192="",0,H192))</f>
        <v/>
      </c>
    </row>
    <row r="193">
      <c r="A193" t="n">
        <v>190</v>
      </c>
      <c r="B193" s="8" t="n"/>
      <c r="C193" s="4" t="n"/>
      <c r="D193" s="4" t="n"/>
      <c r="E193" s="4" t="n"/>
      <c r="F193" s="5" t="n"/>
      <c r="G193" s="9">
        <f>IF(E193="","",E193*F193)</f>
        <v/>
      </c>
      <c r="H193" s="5" t="n"/>
      <c r="I193" s="9">
        <f>IF(G193="","",G193-IF(H193="",0,H193))</f>
        <v/>
      </c>
    </row>
    <row r="194">
      <c r="A194" t="n">
        <v>191</v>
      </c>
      <c r="B194" s="8" t="n"/>
      <c r="C194" s="4" t="n"/>
      <c r="D194" s="4" t="n"/>
      <c r="E194" s="4" t="n"/>
      <c r="F194" s="5" t="n"/>
      <c r="G194" s="9">
        <f>IF(E194="","",E194*F194)</f>
        <v/>
      </c>
      <c r="H194" s="5" t="n"/>
      <c r="I194" s="9">
        <f>IF(G194="","",G194-IF(H194="",0,H194))</f>
        <v/>
      </c>
    </row>
    <row r="195">
      <c r="A195" t="n">
        <v>192</v>
      </c>
      <c r="B195" s="8" t="n"/>
      <c r="C195" s="4" t="n"/>
      <c r="D195" s="4" t="n"/>
      <c r="E195" s="4" t="n"/>
      <c r="F195" s="5" t="n"/>
      <c r="G195" s="9">
        <f>IF(E195="","",E195*F195)</f>
        <v/>
      </c>
      <c r="H195" s="5" t="n"/>
      <c r="I195" s="9">
        <f>IF(G195="","",G195-IF(H195="",0,H195))</f>
        <v/>
      </c>
    </row>
    <row r="196">
      <c r="A196" t="n">
        <v>193</v>
      </c>
      <c r="B196" s="8" t="n"/>
      <c r="C196" s="4" t="n"/>
      <c r="D196" s="4" t="n"/>
      <c r="E196" s="4" t="n"/>
      <c r="F196" s="5" t="n"/>
      <c r="G196" s="9">
        <f>IF(E196="","",E196*F196)</f>
        <v/>
      </c>
      <c r="H196" s="5" t="n"/>
      <c r="I196" s="9">
        <f>IF(G196="","",G196-IF(H196="",0,H196))</f>
        <v/>
      </c>
    </row>
    <row r="197">
      <c r="A197" t="n">
        <v>194</v>
      </c>
      <c r="B197" s="8" t="n"/>
      <c r="C197" s="4" t="n"/>
      <c r="D197" s="4" t="n"/>
      <c r="E197" s="4" t="n"/>
      <c r="F197" s="5" t="n"/>
      <c r="G197" s="9">
        <f>IF(E197="","",E197*F197)</f>
        <v/>
      </c>
      <c r="H197" s="5" t="n"/>
      <c r="I197" s="9">
        <f>IF(G197="","",G197-IF(H197="",0,H197))</f>
        <v/>
      </c>
    </row>
    <row r="198">
      <c r="A198" t="n">
        <v>195</v>
      </c>
      <c r="B198" s="8" t="n"/>
      <c r="C198" s="4" t="n"/>
      <c r="D198" s="4" t="n"/>
      <c r="E198" s="4" t="n"/>
      <c r="F198" s="5" t="n"/>
      <c r="G198" s="9">
        <f>IF(E198="","",E198*F198)</f>
        <v/>
      </c>
      <c r="H198" s="5" t="n"/>
      <c r="I198" s="9">
        <f>IF(G198="","",G198-IF(H198="",0,H198))</f>
        <v/>
      </c>
    </row>
    <row r="199">
      <c r="A199" t="n">
        <v>196</v>
      </c>
      <c r="B199" s="8" t="n"/>
      <c r="C199" s="4" t="n"/>
      <c r="D199" s="4" t="n"/>
      <c r="E199" s="4" t="n"/>
      <c r="F199" s="5" t="n"/>
      <c r="G199" s="9">
        <f>IF(E199="","",E199*F199)</f>
        <v/>
      </c>
      <c r="H199" s="5" t="n"/>
      <c r="I199" s="9">
        <f>IF(G199="","",G199-IF(H199="",0,H199))</f>
        <v/>
      </c>
    </row>
    <row r="200">
      <c r="A200" t="n">
        <v>197</v>
      </c>
      <c r="B200" s="8" t="n"/>
      <c r="C200" s="4" t="n"/>
      <c r="D200" s="4" t="n"/>
      <c r="E200" s="4" t="n"/>
      <c r="F200" s="5" t="n"/>
      <c r="G200" s="9">
        <f>IF(E200="","",E200*F200)</f>
        <v/>
      </c>
      <c r="H200" s="5" t="n"/>
      <c r="I200" s="9">
        <f>IF(G200="","",G200-IF(H200="",0,H200))</f>
        <v/>
      </c>
    </row>
    <row r="201">
      <c r="A201" t="n">
        <v>198</v>
      </c>
      <c r="B201" s="8" t="n"/>
      <c r="C201" s="4" t="n"/>
      <c r="D201" s="4" t="n"/>
      <c r="E201" s="4" t="n"/>
      <c r="F201" s="5" t="n"/>
      <c r="G201" s="9">
        <f>IF(E201="","",E201*F201)</f>
        <v/>
      </c>
      <c r="H201" s="5" t="n"/>
      <c r="I201" s="9">
        <f>IF(G201="","",G201-IF(H201="",0,H201))</f>
        <v/>
      </c>
    </row>
    <row r="202">
      <c r="A202" t="n">
        <v>199</v>
      </c>
      <c r="B202" s="8" t="n"/>
      <c r="C202" s="4" t="n"/>
      <c r="D202" s="4" t="n"/>
      <c r="E202" s="4" t="n"/>
      <c r="F202" s="5" t="n"/>
      <c r="G202" s="9">
        <f>IF(E202="","",E202*F202)</f>
        <v/>
      </c>
      <c r="H202" s="5" t="n"/>
      <c r="I202" s="9">
        <f>IF(G202="","",G202-IF(H202="",0,H202))</f>
        <v/>
      </c>
    </row>
    <row r="203">
      <c r="A203" t="n">
        <v>200</v>
      </c>
      <c r="B203" s="8" t="n"/>
      <c r="C203" s="4" t="n"/>
      <c r="D203" s="4" t="n"/>
      <c r="E203" s="4" t="n"/>
      <c r="F203" s="5" t="n"/>
      <c r="G203" s="9">
        <f>IF(E203="","",E203*F203)</f>
        <v/>
      </c>
      <c r="H203" s="5" t="n"/>
      <c r="I203" s="9">
        <f>IF(G203="","",G203-IF(H203="",0,H203))</f>
        <v/>
      </c>
    </row>
    <row r="204">
      <c r="A204" t="n">
        <v>201</v>
      </c>
      <c r="B204" s="8" t="n"/>
      <c r="C204" s="4" t="n"/>
      <c r="D204" s="4" t="n"/>
      <c r="E204" s="4" t="n"/>
      <c r="F204" s="5" t="n"/>
      <c r="G204" s="9">
        <f>IF(E204="","",E204*F204)</f>
        <v/>
      </c>
      <c r="H204" s="5" t="n"/>
      <c r="I204" s="9">
        <f>IF(G204="","",G204-IF(H204="",0,H204))</f>
        <v/>
      </c>
    </row>
    <row r="205">
      <c r="A205" t="n">
        <v>202</v>
      </c>
      <c r="B205" s="8" t="n"/>
      <c r="C205" s="4" t="n"/>
      <c r="D205" s="4" t="n"/>
      <c r="E205" s="4" t="n"/>
      <c r="F205" s="5" t="n"/>
      <c r="G205" s="9">
        <f>IF(E205="","",E205*F205)</f>
        <v/>
      </c>
      <c r="H205" s="5" t="n"/>
      <c r="I205" s="9">
        <f>IF(G205="","",G205-IF(H205="",0,H205))</f>
        <v/>
      </c>
    </row>
    <row r="206">
      <c r="A206" t="n">
        <v>203</v>
      </c>
      <c r="B206" s="8" t="n"/>
      <c r="C206" s="4" t="n"/>
      <c r="D206" s="4" t="n"/>
      <c r="E206" s="4" t="n"/>
      <c r="F206" s="5" t="n"/>
      <c r="G206" s="9">
        <f>IF(E206="","",E206*F206)</f>
        <v/>
      </c>
      <c r="H206" s="5" t="n"/>
      <c r="I206" s="9">
        <f>IF(G206="","",G206-IF(H206="",0,H206))</f>
        <v/>
      </c>
    </row>
    <row r="207">
      <c r="A207" t="n">
        <v>204</v>
      </c>
      <c r="B207" s="8" t="n"/>
      <c r="C207" s="4" t="n"/>
      <c r="D207" s="4" t="n"/>
      <c r="E207" s="4" t="n"/>
      <c r="F207" s="5" t="n"/>
      <c r="G207" s="9">
        <f>IF(E207="","",E207*F207)</f>
        <v/>
      </c>
      <c r="H207" s="5" t="n"/>
      <c r="I207" s="9">
        <f>IF(G207="","",G207-IF(H207="",0,H207))</f>
        <v/>
      </c>
    </row>
    <row r="208">
      <c r="A208" t="n">
        <v>205</v>
      </c>
      <c r="B208" s="8" t="n"/>
      <c r="C208" s="4" t="n"/>
      <c r="D208" s="4" t="n"/>
      <c r="E208" s="4" t="n"/>
      <c r="F208" s="5" t="n"/>
      <c r="G208" s="9">
        <f>IF(E208="","",E208*F208)</f>
        <v/>
      </c>
      <c r="H208" s="5" t="n"/>
      <c r="I208" s="9">
        <f>IF(G208="","",G208-IF(H208="",0,H208))</f>
        <v/>
      </c>
    </row>
    <row r="209">
      <c r="A209" t="n">
        <v>206</v>
      </c>
      <c r="B209" s="8" t="n"/>
      <c r="C209" s="4" t="n"/>
      <c r="D209" s="4" t="n"/>
      <c r="E209" s="4" t="n"/>
      <c r="F209" s="5" t="n"/>
      <c r="G209" s="9">
        <f>IF(E209="","",E209*F209)</f>
        <v/>
      </c>
      <c r="H209" s="5" t="n"/>
      <c r="I209" s="9">
        <f>IF(G209="","",G209-IF(H209="",0,H209))</f>
        <v/>
      </c>
    </row>
    <row r="210">
      <c r="A210" t="n">
        <v>207</v>
      </c>
      <c r="B210" s="8" t="n"/>
      <c r="C210" s="4" t="n"/>
      <c r="D210" s="4" t="n"/>
      <c r="E210" s="4" t="n"/>
      <c r="F210" s="5" t="n"/>
      <c r="G210" s="9">
        <f>IF(E210="","",E210*F210)</f>
        <v/>
      </c>
      <c r="H210" s="5" t="n"/>
      <c r="I210" s="9">
        <f>IF(G210="","",G210-IF(H210="",0,H210))</f>
        <v/>
      </c>
    </row>
    <row r="211">
      <c r="A211" t="n">
        <v>208</v>
      </c>
      <c r="B211" s="8" t="n"/>
      <c r="C211" s="4" t="n"/>
      <c r="D211" s="4" t="n"/>
      <c r="E211" s="4" t="n"/>
      <c r="F211" s="5" t="n"/>
      <c r="G211" s="9">
        <f>IF(E211="","",E211*F211)</f>
        <v/>
      </c>
      <c r="H211" s="5" t="n"/>
      <c r="I211" s="9">
        <f>IF(G211="","",G211-IF(H211="",0,H211))</f>
        <v/>
      </c>
    </row>
    <row r="212">
      <c r="A212" t="n">
        <v>209</v>
      </c>
      <c r="B212" s="8" t="n"/>
      <c r="C212" s="4" t="n"/>
      <c r="D212" s="4" t="n"/>
      <c r="E212" s="4" t="n"/>
      <c r="F212" s="5" t="n"/>
      <c r="G212" s="9">
        <f>IF(E212="","",E212*F212)</f>
        <v/>
      </c>
      <c r="H212" s="5" t="n"/>
      <c r="I212" s="9">
        <f>IF(G212="","",G212-IF(H212="",0,H212))</f>
        <v/>
      </c>
    </row>
    <row r="213">
      <c r="A213" t="n">
        <v>210</v>
      </c>
      <c r="B213" s="8" t="n"/>
      <c r="C213" s="4" t="n"/>
      <c r="D213" s="4" t="n"/>
      <c r="E213" s="4" t="n"/>
      <c r="F213" s="5" t="n"/>
      <c r="G213" s="9">
        <f>IF(E213="","",E213*F213)</f>
        <v/>
      </c>
      <c r="H213" s="5" t="n"/>
      <c r="I213" s="9">
        <f>IF(G213="","",G213-IF(H213="",0,H213))</f>
        <v/>
      </c>
    </row>
    <row r="214">
      <c r="A214" t="n">
        <v>211</v>
      </c>
      <c r="B214" s="8" t="n"/>
      <c r="C214" s="4" t="n"/>
      <c r="D214" s="4" t="n"/>
      <c r="E214" s="4" t="n"/>
      <c r="F214" s="5" t="n"/>
      <c r="G214" s="9">
        <f>IF(E214="","",E214*F214)</f>
        <v/>
      </c>
      <c r="H214" s="5" t="n"/>
      <c r="I214" s="9">
        <f>IF(G214="","",G214-IF(H214="",0,H214))</f>
        <v/>
      </c>
    </row>
    <row r="215">
      <c r="A215" t="n">
        <v>212</v>
      </c>
      <c r="B215" s="8" t="n"/>
      <c r="C215" s="4" t="n"/>
      <c r="D215" s="4" t="n"/>
      <c r="E215" s="4" t="n"/>
      <c r="F215" s="5" t="n"/>
      <c r="G215" s="9">
        <f>IF(E215="","",E215*F215)</f>
        <v/>
      </c>
      <c r="H215" s="5" t="n"/>
      <c r="I215" s="9">
        <f>IF(G215="","",G215-IF(H215="",0,H215))</f>
        <v/>
      </c>
    </row>
    <row r="216">
      <c r="A216" t="n">
        <v>213</v>
      </c>
      <c r="B216" s="8" t="n"/>
      <c r="C216" s="4" t="n"/>
      <c r="D216" s="4" t="n"/>
      <c r="E216" s="4" t="n"/>
      <c r="F216" s="5" t="n"/>
      <c r="G216" s="9">
        <f>IF(E216="","",E216*F216)</f>
        <v/>
      </c>
      <c r="H216" s="5" t="n"/>
      <c r="I216" s="9">
        <f>IF(G216="","",G216-IF(H216="",0,H216))</f>
        <v/>
      </c>
    </row>
    <row r="217">
      <c r="A217" t="n">
        <v>214</v>
      </c>
      <c r="B217" s="8" t="n"/>
      <c r="C217" s="4" t="n"/>
      <c r="D217" s="4" t="n"/>
      <c r="E217" s="4" t="n"/>
      <c r="F217" s="5" t="n"/>
      <c r="G217" s="9">
        <f>IF(E217="","",E217*F217)</f>
        <v/>
      </c>
      <c r="H217" s="5" t="n"/>
      <c r="I217" s="9">
        <f>IF(G217="","",G217-IF(H217="",0,H217))</f>
        <v/>
      </c>
    </row>
    <row r="218">
      <c r="A218" t="n">
        <v>215</v>
      </c>
      <c r="B218" s="8" t="n"/>
      <c r="C218" s="4" t="n"/>
      <c r="D218" s="4" t="n"/>
      <c r="E218" s="4" t="n"/>
      <c r="F218" s="5" t="n"/>
      <c r="G218" s="9">
        <f>IF(E218="","",E218*F218)</f>
        <v/>
      </c>
      <c r="H218" s="5" t="n"/>
      <c r="I218" s="9">
        <f>IF(G218="","",G218-IF(H218="",0,H218))</f>
        <v/>
      </c>
    </row>
    <row r="219">
      <c r="A219" t="n">
        <v>216</v>
      </c>
      <c r="B219" s="8" t="n"/>
      <c r="C219" s="4" t="n"/>
      <c r="D219" s="4" t="n"/>
      <c r="E219" s="4" t="n"/>
      <c r="F219" s="5" t="n"/>
      <c r="G219" s="9">
        <f>IF(E219="","",E219*F219)</f>
        <v/>
      </c>
      <c r="H219" s="5" t="n"/>
      <c r="I219" s="9">
        <f>IF(G219="","",G219-IF(H219="",0,H219))</f>
        <v/>
      </c>
    </row>
    <row r="220">
      <c r="A220" t="n">
        <v>217</v>
      </c>
      <c r="B220" s="8" t="n"/>
      <c r="C220" s="4" t="n"/>
      <c r="D220" s="4" t="n"/>
      <c r="E220" s="4" t="n"/>
      <c r="F220" s="5" t="n"/>
      <c r="G220" s="9">
        <f>IF(E220="","",E220*F220)</f>
        <v/>
      </c>
      <c r="H220" s="5" t="n"/>
      <c r="I220" s="9">
        <f>IF(G220="","",G220-IF(H220="",0,H220))</f>
        <v/>
      </c>
    </row>
    <row r="221">
      <c r="A221" t="n">
        <v>218</v>
      </c>
      <c r="B221" s="8" t="n"/>
      <c r="C221" s="4" t="n"/>
      <c r="D221" s="4" t="n"/>
      <c r="E221" s="4" t="n"/>
      <c r="F221" s="5" t="n"/>
      <c r="G221" s="9">
        <f>IF(E221="","",E221*F221)</f>
        <v/>
      </c>
      <c r="H221" s="5" t="n"/>
      <c r="I221" s="9">
        <f>IF(G221="","",G221-IF(H221="",0,H221))</f>
        <v/>
      </c>
    </row>
    <row r="222">
      <c r="A222" t="n">
        <v>219</v>
      </c>
      <c r="B222" s="8" t="n"/>
      <c r="C222" s="4" t="n"/>
      <c r="D222" s="4" t="n"/>
      <c r="E222" s="4" t="n"/>
      <c r="F222" s="5" t="n"/>
      <c r="G222" s="9">
        <f>IF(E222="","",E222*F222)</f>
        <v/>
      </c>
      <c r="H222" s="5" t="n"/>
      <c r="I222" s="9">
        <f>IF(G222="","",G222-IF(H222="",0,H222))</f>
        <v/>
      </c>
    </row>
    <row r="223">
      <c r="A223" t="n">
        <v>220</v>
      </c>
      <c r="B223" s="8" t="n"/>
      <c r="C223" s="4" t="n"/>
      <c r="D223" s="4" t="n"/>
      <c r="E223" s="4" t="n"/>
      <c r="F223" s="5" t="n"/>
      <c r="G223" s="9">
        <f>IF(E223="","",E223*F223)</f>
        <v/>
      </c>
      <c r="H223" s="5" t="n"/>
      <c r="I223" s="9">
        <f>IF(G223="","",G223-IF(H223="",0,H223))</f>
        <v/>
      </c>
    </row>
    <row r="224">
      <c r="A224" t="n">
        <v>221</v>
      </c>
      <c r="B224" s="8" t="n"/>
      <c r="C224" s="4" t="n"/>
      <c r="D224" s="4" t="n"/>
      <c r="E224" s="4" t="n"/>
      <c r="F224" s="5" t="n"/>
      <c r="G224" s="9">
        <f>IF(E224="","",E224*F224)</f>
        <v/>
      </c>
      <c r="H224" s="5" t="n"/>
      <c r="I224" s="9">
        <f>IF(G224="","",G224-IF(H224="",0,H224))</f>
        <v/>
      </c>
    </row>
    <row r="225">
      <c r="A225" t="n">
        <v>222</v>
      </c>
      <c r="B225" s="8" t="n"/>
      <c r="C225" s="4" t="n"/>
      <c r="D225" s="4" t="n"/>
      <c r="E225" s="4" t="n"/>
      <c r="F225" s="5" t="n"/>
      <c r="G225" s="9">
        <f>IF(E225="","",E225*F225)</f>
        <v/>
      </c>
      <c r="H225" s="5" t="n"/>
      <c r="I225" s="9">
        <f>IF(G225="","",G225-IF(H225="",0,H225))</f>
        <v/>
      </c>
    </row>
    <row r="226">
      <c r="A226" t="n">
        <v>223</v>
      </c>
      <c r="B226" s="8" t="n"/>
      <c r="C226" s="4" t="n"/>
      <c r="D226" s="4" t="n"/>
      <c r="E226" s="4" t="n"/>
      <c r="F226" s="5" t="n"/>
      <c r="G226" s="9">
        <f>IF(E226="","",E226*F226)</f>
        <v/>
      </c>
      <c r="H226" s="5" t="n"/>
      <c r="I226" s="9">
        <f>IF(G226="","",G226-IF(H226="",0,H226))</f>
        <v/>
      </c>
    </row>
    <row r="227">
      <c r="A227" t="n">
        <v>224</v>
      </c>
      <c r="B227" s="8" t="n"/>
      <c r="C227" s="4" t="n"/>
      <c r="D227" s="4" t="n"/>
      <c r="E227" s="4" t="n"/>
      <c r="F227" s="5" t="n"/>
      <c r="G227" s="9">
        <f>IF(E227="","",E227*F227)</f>
        <v/>
      </c>
      <c r="H227" s="5" t="n"/>
      <c r="I227" s="9">
        <f>IF(G227="","",G227-IF(H227="",0,H227))</f>
        <v/>
      </c>
    </row>
    <row r="228">
      <c r="A228" t="n">
        <v>225</v>
      </c>
      <c r="B228" s="8" t="n"/>
      <c r="C228" s="4" t="n"/>
      <c r="D228" s="4" t="n"/>
      <c r="E228" s="4" t="n"/>
      <c r="F228" s="5" t="n"/>
      <c r="G228" s="9">
        <f>IF(E228="","",E228*F228)</f>
        <v/>
      </c>
      <c r="H228" s="5" t="n"/>
      <c r="I228" s="9">
        <f>IF(G228="","",G228-IF(H228="",0,H228))</f>
        <v/>
      </c>
    </row>
    <row r="229">
      <c r="A229" t="n">
        <v>226</v>
      </c>
      <c r="B229" s="8" t="n"/>
      <c r="C229" s="4" t="n"/>
      <c r="D229" s="4" t="n"/>
      <c r="E229" s="4" t="n"/>
      <c r="F229" s="5" t="n"/>
      <c r="G229" s="9">
        <f>IF(E229="","",E229*F229)</f>
        <v/>
      </c>
      <c r="H229" s="5" t="n"/>
      <c r="I229" s="9">
        <f>IF(G229="","",G229-IF(H229="",0,H229))</f>
        <v/>
      </c>
    </row>
    <row r="230">
      <c r="A230" t="n">
        <v>227</v>
      </c>
      <c r="B230" s="8" t="n"/>
      <c r="C230" s="4" t="n"/>
      <c r="D230" s="4" t="n"/>
      <c r="E230" s="4" t="n"/>
      <c r="F230" s="5" t="n"/>
      <c r="G230" s="9">
        <f>IF(E230="","",E230*F230)</f>
        <v/>
      </c>
      <c r="H230" s="5" t="n"/>
      <c r="I230" s="9">
        <f>IF(G230="","",G230-IF(H230="",0,H230))</f>
        <v/>
      </c>
    </row>
    <row r="231">
      <c r="A231" t="n">
        <v>228</v>
      </c>
      <c r="B231" s="8" t="n"/>
      <c r="C231" s="4" t="n"/>
      <c r="D231" s="4" t="n"/>
      <c r="E231" s="4" t="n"/>
      <c r="F231" s="5" t="n"/>
      <c r="G231" s="9">
        <f>IF(E231="","",E231*F231)</f>
        <v/>
      </c>
      <c r="H231" s="5" t="n"/>
      <c r="I231" s="9">
        <f>IF(G231="","",G231-IF(H231="",0,H231))</f>
        <v/>
      </c>
    </row>
    <row r="232">
      <c r="A232" t="n">
        <v>229</v>
      </c>
      <c r="B232" s="8" t="n"/>
      <c r="C232" s="4" t="n"/>
      <c r="D232" s="4" t="n"/>
      <c r="E232" s="4" t="n"/>
      <c r="F232" s="5" t="n"/>
      <c r="G232" s="9">
        <f>IF(E232="","",E232*F232)</f>
        <v/>
      </c>
      <c r="H232" s="5" t="n"/>
      <c r="I232" s="9">
        <f>IF(G232="","",G232-IF(H232="",0,H232))</f>
        <v/>
      </c>
    </row>
    <row r="233">
      <c r="A233" t="n">
        <v>230</v>
      </c>
      <c r="B233" s="8" t="n"/>
      <c r="C233" s="4" t="n"/>
      <c r="D233" s="4" t="n"/>
      <c r="E233" s="4" t="n"/>
      <c r="F233" s="5" t="n"/>
      <c r="G233" s="9">
        <f>IF(E233="","",E233*F233)</f>
        <v/>
      </c>
      <c r="H233" s="5" t="n"/>
      <c r="I233" s="9">
        <f>IF(G233="","",G233-IF(H233="",0,H233))</f>
        <v/>
      </c>
    </row>
    <row r="234">
      <c r="A234" t="n">
        <v>231</v>
      </c>
      <c r="B234" s="8" t="n"/>
      <c r="C234" s="4" t="n"/>
      <c r="D234" s="4" t="n"/>
      <c r="E234" s="4" t="n"/>
      <c r="F234" s="5" t="n"/>
      <c r="G234" s="9">
        <f>IF(E234="","",E234*F234)</f>
        <v/>
      </c>
      <c r="H234" s="5" t="n"/>
      <c r="I234" s="9">
        <f>IF(G234="","",G234-IF(H234="",0,H234))</f>
        <v/>
      </c>
    </row>
    <row r="235">
      <c r="A235" t="n">
        <v>232</v>
      </c>
      <c r="B235" s="8" t="n"/>
      <c r="C235" s="4" t="n"/>
      <c r="D235" s="4" t="n"/>
      <c r="E235" s="4" t="n"/>
      <c r="F235" s="5" t="n"/>
      <c r="G235" s="9">
        <f>IF(E235="","",E235*F235)</f>
        <v/>
      </c>
      <c r="H235" s="5" t="n"/>
      <c r="I235" s="9">
        <f>IF(G235="","",G235-IF(H235="",0,H235))</f>
        <v/>
      </c>
    </row>
    <row r="236">
      <c r="A236" t="n">
        <v>233</v>
      </c>
      <c r="B236" s="8" t="n"/>
      <c r="C236" s="4" t="n"/>
      <c r="D236" s="4" t="n"/>
      <c r="E236" s="4" t="n"/>
      <c r="F236" s="5" t="n"/>
      <c r="G236" s="9">
        <f>IF(E236="","",E236*F236)</f>
        <v/>
      </c>
      <c r="H236" s="5" t="n"/>
      <c r="I236" s="9">
        <f>IF(G236="","",G236-IF(H236="",0,H236))</f>
        <v/>
      </c>
    </row>
    <row r="237">
      <c r="A237" t="n">
        <v>234</v>
      </c>
      <c r="B237" s="8" t="n"/>
      <c r="C237" s="4" t="n"/>
      <c r="D237" s="4" t="n"/>
      <c r="E237" s="4" t="n"/>
      <c r="F237" s="5" t="n"/>
      <c r="G237" s="9">
        <f>IF(E237="","",E237*F237)</f>
        <v/>
      </c>
      <c r="H237" s="5" t="n"/>
      <c r="I237" s="9">
        <f>IF(G237="","",G237-IF(H237="",0,H237))</f>
        <v/>
      </c>
    </row>
    <row r="238">
      <c r="A238" t="n">
        <v>235</v>
      </c>
      <c r="B238" s="8" t="n"/>
      <c r="C238" s="4" t="n"/>
      <c r="D238" s="4" t="n"/>
      <c r="E238" s="4" t="n"/>
      <c r="F238" s="5" t="n"/>
      <c r="G238" s="9">
        <f>IF(E238="","",E238*F238)</f>
        <v/>
      </c>
      <c r="H238" s="5" t="n"/>
      <c r="I238" s="9">
        <f>IF(G238="","",G238-IF(H238="",0,H238))</f>
        <v/>
      </c>
    </row>
    <row r="239">
      <c r="A239" t="n">
        <v>236</v>
      </c>
      <c r="B239" s="8" t="n"/>
      <c r="C239" s="4" t="n"/>
      <c r="D239" s="4" t="n"/>
      <c r="E239" s="4" t="n"/>
      <c r="F239" s="5" t="n"/>
      <c r="G239" s="9">
        <f>IF(E239="","",E239*F239)</f>
        <v/>
      </c>
      <c r="H239" s="5" t="n"/>
      <c r="I239" s="9">
        <f>IF(G239="","",G239-IF(H239="",0,H239))</f>
        <v/>
      </c>
    </row>
    <row r="240">
      <c r="A240" t="n">
        <v>237</v>
      </c>
      <c r="B240" s="8" t="n"/>
      <c r="C240" s="4" t="n"/>
      <c r="D240" s="4" t="n"/>
      <c r="E240" s="4" t="n"/>
      <c r="F240" s="5" t="n"/>
      <c r="G240" s="9">
        <f>IF(E240="","",E240*F240)</f>
        <v/>
      </c>
      <c r="H240" s="5" t="n"/>
      <c r="I240" s="9">
        <f>IF(G240="","",G240-IF(H240="",0,H240))</f>
        <v/>
      </c>
    </row>
    <row r="241">
      <c r="A241" t="n">
        <v>238</v>
      </c>
      <c r="B241" s="8" t="n"/>
      <c r="C241" s="4" t="n"/>
      <c r="D241" s="4" t="n"/>
      <c r="E241" s="4" t="n"/>
      <c r="F241" s="5" t="n"/>
      <c r="G241" s="9">
        <f>IF(E241="","",E241*F241)</f>
        <v/>
      </c>
      <c r="H241" s="5" t="n"/>
      <c r="I241" s="9">
        <f>IF(G241="","",G241-IF(H241="",0,H241))</f>
        <v/>
      </c>
    </row>
    <row r="242">
      <c r="A242" t="n">
        <v>239</v>
      </c>
      <c r="B242" s="8" t="n"/>
      <c r="C242" s="4" t="n"/>
      <c r="D242" s="4" t="n"/>
      <c r="E242" s="4" t="n"/>
      <c r="F242" s="5" t="n"/>
      <c r="G242" s="9">
        <f>IF(E242="","",E242*F242)</f>
        <v/>
      </c>
      <c r="H242" s="5" t="n"/>
      <c r="I242" s="9">
        <f>IF(G242="","",G242-IF(H242="",0,H242))</f>
        <v/>
      </c>
    </row>
    <row r="243">
      <c r="A243" t="n">
        <v>240</v>
      </c>
      <c r="B243" s="8" t="n"/>
      <c r="C243" s="4" t="n"/>
      <c r="D243" s="4" t="n"/>
      <c r="E243" s="4" t="n"/>
      <c r="F243" s="5" t="n"/>
      <c r="G243" s="9">
        <f>IF(E243="","",E243*F243)</f>
        <v/>
      </c>
      <c r="H243" s="5" t="n"/>
      <c r="I243" s="9">
        <f>IF(G243="","",G243-IF(H243="",0,H243))</f>
        <v/>
      </c>
    </row>
    <row r="244">
      <c r="A244" t="n">
        <v>241</v>
      </c>
      <c r="B244" s="8" t="n"/>
      <c r="C244" s="4" t="n"/>
      <c r="D244" s="4" t="n"/>
      <c r="E244" s="4" t="n"/>
      <c r="F244" s="5" t="n"/>
      <c r="G244" s="9">
        <f>IF(E244="","",E244*F244)</f>
        <v/>
      </c>
      <c r="H244" s="5" t="n"/>
      <c r="I244" s="9">
        <f>IF(G244="","",G244-IF(H244="",0,H244))</f>
        <v/>
      </c>
    </row>
    <row r="245">
      <c r="A245" t="n">
        <v>242</v>
      </c>
      <c r="B245" s="8" t="n"/>
      <c r="C245" s="4" t="n"/>
      <c r="D245" s="4" t="n"/>
      <c r="E245" s="4" t="n"/>
      <c r="F245" s="5" t="n"/>
      <c r="G245" s="9">
        <f>IF(E245="","",E245*F245)</f>
        <v/>
      </c>
      <c r="H245" s="5" t="n"/>
      <c r="I245" s="9">
        <f>IF(G245="","",G245-IF(H245="",0,H245))</f>
        <v/>
      </c>
    </row>
    <row r="246">
      <c r="A246" t="n">
        <v>243</v>
      </c>
      <c r="B246" s="8" t="n"/>
      <c r="C246" s="4" t="n"/>
      <c r="D246" s="4" t="n"/>
      <c r="E246" s="4" t="n"/>
      <c r="F246" s="5" t="n"/>
      <c r="G246" s="9">
        <f>IF(E246="","",E246*F246)</f>
        <v/>
      </c>
      <c r="H246" s="5" t="n"/>
      <c r="I246" s="9">
        <f>IF(G246="","",G246-IF(H246="",0,H246))</f>
        <v/>
      </c>
    </row>
    <row r="247">
      <c r="A247" t="n">
        <v>244</v>
      </c>
      <c r="B247" s="8" t="n"/>
      <c r="C247" s="4" t="n"/>
      <c r="D247" s="4" t="n"/>
      <c r="E247" s="4" t="n"/>
      <c r="F247" s="5" t="n"/>
      <c r="G247" s="9">
        <f>IF(E247="","",E247*F247)</f>
        <v/>
      </c>
      <c r="H247" s="5" t="n"/>
      <c r="I247" s="9">
        <f>IF(G247="","",G247-IF(H247="",0,H247))</f>
        <v/>
      </c>
    </row>
    <row r="248">
      <c r="A248" t="n">
        <v>245</v>
      </c>
      <c r="B248" s="8" t="n"/>
      <c r="C248" s="4" t="n"/>
      <c r="D248" s="4" t="n"/>
      <c r="E248" s="4" t="n"/>
      <c r="F248" s="5" t="n"/>
      <c r="G248" s="9">
        <f>IF(E248="","",E248*F248)</f>
        <v/>
      </c>
      <c r="H248" s="5" t="n"/>
      <c r="I248" s="9">
        <f>IF(G248="","",G248-IF(H248="",0,H248))</f>
        <v/>
      </c>
    </row>
    <row r="249">
      <c r="A249" t="n">
        <v>246</v>
      </c>
      <c r="B249" s="8" t="n"/>
      <c r="C249" s="4" t="n"/>
      <c r="D249" s="4" t="n"/>
      <c r="E249" s="4" t="n"/>
      <c r="F249" s="5" t="n"/>
      <c r="G249" s="9">
        <f>IF(E249="","",E249*F249)</f>
        <v/>
      </c>
      <c r="H249" s="5" t="n"/>
      <c r="I249" s="9">
        <f>IF(G249="","",G249-IF(H249="",0,H249))</f>
        <v/>
      </c>
    </row>
    <row r="250">
      <c r="A250" t="n">
        <v>247</v>
      </c>
      <c r="B250" s="8" t="n"/>
      <c r="C250" s="4" t="n"/>
      <c r="D250" s="4" t="n"/>
      <c r="E250" s="4" t="n"/>
      <c r="F250" s="5" t="n"/>
      <c r="G250" s="9">
        <f>IF(E250="","",E250*F250)</f>
        <v/>
      </c>
      <c r="H250" s="5" t="n"/>
      <c r="I250" s="9">
        <f>IF(G250="","",G250-IF(H250="",0,H250))</f>
        <v/>
      </c>
    </row>
    <row r="251">
      <c r="A251" t="n">
        <v>248</v>
      </c>
      <c r="B251" s="8" t="n"/>
      <c r="C251" s="4" t="n"/>
      <c r="D251" s="4" t="n"/>
      <c r="E251" s="4" t="n"/>
      <c r="F251" s="5" t="n"/>
      <c r="G251" s="9">
        <f>IF(E251="","",E251*F251)</f>
        <v/>
      </c>
      <c r="H251" s="5" t="n"/>
      <c r="I251" s="9">
        <f>IF(G251="","",G251-IF(H251="",0,H251))</f>
        <v/>
      </c>
    </row>
    <row r="252">
      <c r="A252" t="n">
        <v>249</v>
      </c>
      <c r="B252" s="8" t="n"/>
      <c r="C252" s="4" t="n"/>
      <c r="D252" s="4" t="n"/>
      <c r="E252" s="4" t="n"/>
      <c r="F252" s="5" t="n"/>
      <c r="G252" s="9">
        <f>IF(E252="","",E252*F252)</f>
        <v/>
      </c>
      <c r="H252" s="5" t="n"/>
      <c r="I252" s="9">
        <f>IF(G252="","",G252-IF(H252="",0,H252))</f>
        <v/>
      </c>
    </row>
    <row r="253">
      <c r="A253" t="n">
        <v>250</v>
      </c>
      <c r="B253" s="8" t="n"/>
      <c r="C253" s="4" t="n"/>
      <c r="D253" s="4" t="n"/>
      <c r="E253" s="4" t="n"/>
      <c r="F253" s="5" t="n"/>
      <c r="G253" s="9">
        <f>IF(E253="","",E253*F253)</f>
        <v/>
      </c>
      <c r="H253" s="5" t="n"/>
      <c r="I253" s="9">
        <f>IF(G253="","",G253-IF(H253="",0,H253))</f>
        <v/>
      </c>
    </row>
    <row r="254">
      <c r="A254" t="n">
        <v>251</v>
      </c>
      <c r="B254" s="8" t="n"/>
      <c r="C254" s="4" t="n"/>
      <c r="D254" s="4" t="n"/>
      <c r="E254" s="4" t="n"/>
      <c r="F254" s="5" t="n"/>
      <c r="G254" s="9">
        <f>IF(E254="","",E254*F254)</f>
        <v/>
      </c>
      <c r="H254" s="5" t="n"/>
      <c r="I254" s="9">
        <f>IF(G254="","",G254-IF(H254="",0,H254))</f>
        <v/>
      </c>
    </row>
    <row r="255">
      <c r="A255" t="n">
        <v>252</v>
      </c>
      <c r="B255" s="8" t="n"/>
      <c r="C255" s="4" t="n"/>
      <c r="D255" s="4" t="n"/>
      <c r="E255" s="4" t="n"/>
      <c r="F255" s="5" t="n"/>
      <c r="G255" s="9">
        <f>IF(E255="","",E255*F255)</f>
        <v/>
      </c>
      <c r="H255" s="5" t="n"/>
      <c r="I255" s="9">
        <f>IF(G255="","",G255-IF(H255="",0,H255))</f>
        <v/>
      </c>
    </row>
    <row r="256">
      <c r="A256" t="n">
        <v>253</v>
      </c>
      <c r="B256" s="8" t="n"/>
      <c r="C256" s="4" t="n"/>
      <c r="D256" s="4" t="n"/>
      <c r="E256" s="4" t="n"/>
      <c r="F256" s="5" t="n"/>
      <c r="G256" s="9">
        <f>IF(E256="","",E256*F256)</f>
        <v/>
      </c>
      <c r="H256" s="5" t="n"/>
      <c r="I256" s="9">
        <f>IF(G256="","",G256-IF(H256="",0,H256))</f>
        <v/>
      </c>
    </row>
    <row r="257">
      <c r="A257" t="n">
        <v>254</v>
      </c>
      <c r="B257" s="8" t="n"/>
      <c r="C257" s="4" t="n"/>
      <c r="D257" s="4" t="n"/>
      <c r="E257" s="4" t="n"/>
      <c r="F257" s="5" t="n"/>
      <c r="G257" s="9">
        <f>IF(E257="","",E257*F257)</f>
        <v/>
      </c>
      <c r="H257" s="5" t="n"/>
      <c r="I257" s="9">
        <f>IF(G257="","",G257-IF(H257="",0,H257))</f>
        <v/>
      </c>
    </row>
    <row r="258">
      <c r="A258" t="n">
        <v>255</v>
      </c>
      <c r="B258" s="8" t="n"/>
      <c r="C258" s="4" t="n"/>
      <c r="D258" s="4" t="n"/>
      <c r="E258" s="4" t="n"/>
      <c r="F258" s="5" t="n"/>
      <c r="G258" s="9">
        <f>IF(E258="","",E258*F258)</f>
        <v/>
      </c>
      <c r="H258" s="5" t="n"/>
      <c r="I258" s="9">
        <f>IF(G258="","",G258-IF(H258="",0,H258))</f>
        <v/>
      </c>
    </row>
    <row r="259">
      <c r="A259" t="n">
        <v>256</v>
      </c>
      <c r="B259" s="8" t="n"/>
      <c r="C259" s="4" t="n"/>
      <c r="D259" s="4" t="n"/>
      <c r="E259" s="4" t="n"/>
      <c r="F259" s="5" t="n"/>
      <c r="G259" s="9">
        <f>IF(E259="","",E259*F259)</f>
        <v/>
      </c>
      <c r="H259" s="5" t="n"/>
      <c r="I259" s="9">
        <f>IF(G259="","",G259-IF(H259="",0,H259))</f>
        <v/>
      </c>
    </row>
    <row r="260">
      <c r="A260" t="n">
        <v>257</v>
      </c>
      <c r="B260" s="8" t="n"/>
      <c r="C260" s="4" t="n"/>
      <c r="D260" s="4" t="n"/>
      <c r="E260" s="4" t="n"/>
      <c r="F260" s="5" t="n"/>
      <c r="G260" s="9">
        <f>IF(E260="","",E260*F260)</f>
        <v/>
      </c>
      <c r="H260" s="5" t="n"/>
      <c r="I260" s="9">
        <f>IF(G260="","",G260-IF(H260="",0,H260))</f>
        <v/>
      </c>
    </row>
    <row r="261">
      <c r="A261" t="n">
        <v>258</v>
      </c>
      <c r="B261" s="8" t="n"/>
      <c r="C261" s="4" t="n"/>
      <c r="D261" s="4" t="n"/>
      <c r="E261" s="4" t="n"/>
      <c r="F261" s="5" t="n"/>
      <c r="G261" s="9">
        <f>IF(E261="","",E261*F261)</f>
        <v/>
      </c>
      <c r="H261" s="5" t="n"/>
      <c r="I261" s="9">
        <f>IF(G261="","",G261-IF(H261="",0,H261))</f>
        <v/>
      </c>
    </row>
    <row r="262">
      <c r="A262" t="n">
        <v>259</v>
      </c>
      <c r="B262" s="8" t="n"/>
      <c r="C262" s="4" t="n"/>
      <c r="D262" s="4" t="n"/>
      <c r="E262" s="4" t="n"/>
      <c r="F262" s="5" t="n"/>
      <c r="G262" s="9">
        <f>IF(E262="","",E262*F262)</f>
        <v/>
      </c>
      <c r="H262" s="5" t="n"/>
      <c r="I262" s="9">
        <f>IF(G262="","",G262-IF(H262="",0,H262))</f>
        <v/>
      </c>
    </row>
    <row r="263">
      <c r="A263" t="n">
        <v>260</v>
      </c>
      <c r="B263" s="8" t="n"/>
      <c r="C263" s="4" t="n"/>
      <c r="D263" s="4" t="n"/>
      <c r="E263" s="4" t="n"/>
      <c r="F263" s="5" t="n"/>
      <c r="G263" s="9">
        <f>IF(E263="","",E263*F263)</f>
        <v/>
      </c>
      <c r="H263" s="5" t="n"/>
      <c r="I263" s="9">
        <f>IF(G263="","",G263-IF(H263="",0,H263))</f>
        <v/>
      </c>
    </row>
    <row r="264">
      <c r="A264" t="n">
        <v>261</v>
      </c>
      <c r="B264" s="8" t="n"/>
      <c r="C264" s="4" t="n"/>
      <c r="D264" s="4" t="n"/>
      <c r="E264" s="4" t="n"/>
      <c r="F264" s="5" t="n"/>
      <c r="G264" s="9">
        <f>IF(E264="","",E264*F264)</f>
        <v/>
      </c>
      <c r="H264" s="5" t="n"/>
      <c r="I264" s="9">
        <f>IF(G264="","",G264-IF(H264="",0,H264))</f>
        <v/>
      </c>
    </row>
    <row r="265">
      <c r="A265" t="n">
        <v>262</v>
      </c>
      <c r="B265" s="8" t="n"/>
      <c r="C265" s="4" t="n"/>
      <c r="D265" s="4" t="n"/>
      <c r="E265" s="4" t="n"/>
      <c r="F265" s="5" t="n"/>
      <c r="G265" s="9">
        <f>IF(E265="","",E265*F265)</f>
        <v/>
      </c>
      <c r="H265" s="5" t="n"/>
      <c r="I265" s="9">
        <f>IF(G265="","",G265-IF(H265="",0,H265))</f>
        <v/>
      </c>
    </row>
    <row r="266">
      <c r="A266" t="n">
        <v>263</v>
      </c>
      <c r="B266" s="8" t="n"/>
      <c r="C266" s="4" t="n"/>
      <c r="D266" s="4" t="n"/>
      <c r="E266" s="4" t="n"/>
      <c r="F266" s="5" t="n"/>
      <c r="G266" s="9">
        <f>IF(E266="","",E266*F266)</f>
        <v/>
      </c>
      <c r="H266" s="5" t="n"/>
      <c r="I266" s="9">
        <f>IF(G266="","",G266-IF(H266="",0,H266))</f>
        <v/>
      </c>
    </row>
    <row r="267">
      <c r="A267" t="n">
        <v>264</v>
      </c>
      <c r="B267" s="8" t="n"/>
      <c r="C267" s="4" t="n"/>
      <c r="D267" s="4" t="n"/>
      <c r="E267" s="4" t="n"/>
      <c r="F267" s="5" t="n"/>
      <c r="G267" s="9">
        <f>IF(E267="","",E267*F267)</f>
        <v/>
      </c>
      <c r="H267" s="5" t="n"/>
      <c r="I267" s="9">
        <f>IF(G267="","",G267-IF(H267="",0,H267))</f>
        <v/>
      </c>
    </row>
    <row r="268">
      <c r="A268" t="n">
        <v>265</v>
      </c>
      <c r="B268" s="8" t="n"/>
      <c r="C268" s="4" t="n"/>
      <c r="D268" s="4" t="n"/>
      <c r="E268" s="4" t="n"/>
      <c r="F268" s="5" t="n"/>
      <c r="G268" s="9">
        <f>IF(E268="","",E268*F268)</f>
        <v/>
      </c>
      <c r="H268" s="5" t="n"/>
      <c r="I268" s="9">
        <f>IF(G268="","",G268-IF(H268="",0,H268))</f>
        <v/>
      </c>
    </row>
    <row r="269">
      <c r="A269" t="n">
        <v>266</v>
      </c>
      <c r="B269" s="8" t="n"/>
      <c r="C269" s="4" t="n"/>
      <c r="D269" s="4" t="n"/>
      <c r="E269" s="4" t="n"/>
      <c r="F269" s="5" t="n"/>
      <c r="G269" s="9">
        <f>IF(E269="","",E269*F269)</f>
        <v/>
      </c>
      <c r="H269" s="5" t="n"/>
      <c r="I269" s="9">
        <f>IF(G269="","",G269-IF(H269="",0,H269))</f>
        <v/>
      </c>
    </row>
    <row r="270">
      <c r="A270" t="n">
        <v>267</v>
      </c>
      <c r="B270" s="8" t="n"/>
      <c r="C270" s="4" t="n"/>
      <c r="D270" s="4" t="n"/>
      <c r="E270" s="4" t="n"/>
      <c r="F270" s="5" t="n"/>
      <c r="G270" s="9">
        <f>IF(E270="","",E270*F270)</f>
        <v/>
      </c>
      <c r="H270" s="5" t="n"/>
      <c r="I270" s="9">
        <f>IF(G270="","",G270-IF(H270="",0,H270))</f>
        <v/>
      </c>
    </row>
    <row r="271">
      <c r="A271" t="n">
        <v>268</v>
      </c>
      <c r="B271" s="8" t="n"/>
      <c r="C271" s="4" t="n"/>
      <c r="D271" s="4" t="n"/>
      <c r="E271" s="4" t="n"/>
      <c r="F271" s="5" t="n"/>
      <c r="G271" s="9">
        <f>IF(E271="","",E271*F271)</f>
        <v/>
      </c>
      <c r="H271" s="5" t="n"/>
      <c r="I271" s="9">
        <f>IF(G271="","",G271-IF(H271="",0,H271))</f>
        <v/>
      </c>
    </row>
    <row r="272">
      <c r="A272" t="n">
        <v>269</v>
      </c>
      <c r="B272" s="8" t="n"/>
      <c r="C272" s="4" t="n"/>
      <c r="D272" s="4" t="n"/>
      <c r="E272" s="4" t="n"/>
      <c r="F272" s="5" t="n"/>
      <c r="G272" s="9">
        <f>IF(E272="","",E272*F272)</f>
        <v/>
      </c>
      <c r="H272" s="5" t="n"/>
      <c r="I272" s="9">
        <f>IF(G272="","",G272-IF(H272="",0,H272))</f>
        <v/>
      </c>
    </row>
    <row r="273">
      <c r="A273" t="n">
        <v>270</v>
      </c>
      <c r="B273" s="8" t="n"/>
      <c r="C273" s="4" t="n"/>
      <c r="D273" s="4" t="n"/>
      <c r="E273" s="4" t="n"/>
      <c r="F273" s="5" t="n"/>
      <c r="G273" s="9">
        <f>IF(E273="","",E273*F273)</f>
        <v/>
      </c>
      <c r="H273" s="5" t="n"/>
      <c r="I273" s="9">
        <f>IF(G273="","",G273-IF(H273="",0,H273))</f>
        <v/>
      </c>
    </row>
    <row r="274">
      <c r="A274" t="n">
        <v>271</v>
      </c>
      <c r="B274" s="8" t="n"/>
      <c r="C274" s="4" t="n"/>
      <c r="D274" s="4" t="n"/>
      <c r="E274" s="4" t="n"/>
      <c r="F274" s="5" t="n"/>
      <c r="G274" s="9">
        <f>IF(E274="","",E274*F274)</f>
        <v/>
      </c>
      <c r="H274" s="5" t="n"/>
      <c r="I274" s="9">
        <f>IF(G274="","",G274-IF(H274="",0,H274))</f>
        <v/>
      </c>
    </row>
    <row r="275">
      <c r="A275" t="n">
        <v>272</v>
      </c>
      <c r="B275" s="8" t="n"/>
      <c r="C275" s="4" t="n"/>
      <c r="D275" s="4" t="n"/>
      <c r="E275" s="4" t="n"/>
      <c r="F275" s="5" t="n"/>
      <c r="G275" s="9">
        <f>IF(E275="","",E275*F275)</f>
        <v/>
      </c>
      <c r="H275" s="5" t="n"/>
      <c r="I275" s="9">
        <f>IF(G275="","",G275-IF(H275="",0,H275))</f>
        <v/>
      </c>
    </row>
    <row r="276">
      <c r="A276" t="n">
        <v>273</v>
      </c>
      <c r="B276" s="8" t="n"/>
      <c r="C276" s="4" t="n"/>
      <c r="D276" s="4" t="n"/>
      <c r="E276" s="4" t="n"/>
      <c r="F276" s="5" t="n"/>
      <c r="G276" s="9">
        <f>IF(E276="","",E276*F276)</f>
        <v/>
      </c>
      <c r="H276" s="5" t="n"/>
      <c r="I276" s="9">
        <f>IF(G276="","",G276-IF(H276="",0,H276))</f>
        <v/>
      </c>
    </row>
    <row r="277">
      <c r="A277" t="n">
        <v>274</v>
      </c>
      <c r="B277" s="8" t="n"/>
      <c r="C277" s="4" t="n"/>
      <c r="D277" s="4" t="n"/>
      <c r="E277" s="4" t="n"/>
      <c r="F277" s="5" t="n"/>
      <c r="G277" s="9">
        <f>IF(E277="","",E277*F277)</f>
        <v/>
      </c>
      <c r="H277" s="5" t="n"/>
      <c r="I277" s="9">
        <f>IF(G277="","",G277-IF(H277="",0,H277))</f>
        <v/>
      </c>
    </row>
    <row r="278">
      <c r="A278" t="n">
        <v>275</v>
      </c>
      <c r="B278" s="8" t="n"/>
      <c r="C278" s="4" t="n"/>
      <c r="D278" s="4" t="n"/>
      <c r="E278" s="4" t="n"/>
      <c r="F278" s="5" t="n"/>
      <c r="G278" s="9">
        <f>IF(E278="","",E278*F278)</f>
        <v/>
      </c>
      <c r="H278" s="5" t="n"/>
      <c r="I278" s="9">
        <f>IF(G278="","",G278-IF(H278="",0,H278))</f>
        <v/>
      </c>
    </row>
    <row r="279">
      <c r="A279" t="n">
        <v>276</v>
      </c>
      <c r="B279" s="8" t="n"/>
      <c r="C279" s="4" t="n"/>
      <c r="D279" s="4" t="n"/>
      <c r="E279" s="4" t="n"/>
      <c r="F279" s="5" t="n"/>
      <c r="G279" s="9">
        <f>IF(E279="","",E279*F279)</f>
        <v/>
      </c>
      <c r="H279" s="5" t="n"/>
      <c r="I279" s="9">
        <f>IF(G279="","",G279-IF(H279="",0,H279))</f>
        <v/>
      </c>
    </row>
    <row r="280">
      <c r="A280" t="n">
        <v>277</v>
      </c>
      <c r="B280" s="8" t="n"/>
      <c r="C280" s="4" t="n"/>
      <c r="D280" s="4" t="n"/>
      <c r="E280" s="4" t="n"/>
      <c r="F280" s="5" t="n"/>
      <c r="G280" s="9">
        <f>IF(E280="","",E280*F280)</f>
        <v/>
      </c>
      <c r="H280" s="5" t="n"/>
      <c r="I280" s="9">
        <f>IF(G280="","",G280-IF(H280="",0,H280))</f>
        <v/>
      </c>
    </row>
    <row r="281">
      <c r="A281" t="n">
        <v>278</v>
      </c>
      <c r="B281" s="8" t="n"/>
      <c r="C281" s="4" t="n"/>
      <c r="D281" s="4" t="n"/>
      <c r="E281" s="4" t="n"/>
      <c r="F281" s="5" t="n"/>
      <c r="G281" s="9">
        <f>IF(E281="","",E281*F281)</f>
        <v/>
      </c>
      <c r="H281" s="5" t="n"/>
      <c r="I281" s="9">
        <f>IF(G281="","",G281-IF(H281="",0,H281))</f>
        <v/>
      </c>
    </row>
    <row r="282">
      <c r="A282" t="n">
        <v>279</v>
      </c>
      <c r="B282" s="8" t="n"/>
      <c r="C282" s="4" t="n"/>
      <c r="D282" s="4" t="n"/>
      <c r="E282" s="4" t="n"/>
      <c r="F282" s="5" t="n"/>
      <c r="G282" s="9">
        <f>IF(E282="","",E282*F282)</f>
        <v/>
      </c>
      <c r="H282" s="5" t="n"/>
      <c r="I282" s="9">
        <f>IF(G282="","",G282-IF(H282="",0,H282))</f>
        <v/>
      </c>
    </row>
    <row r="283">
      <c r="A283" t="n">
        <v>280</v>
      </c>
      <c r="B283" s="8" t="n"/>
      <c r="C283" s="4" t="n"/>
      <c r="D283" s="4" t="n"/>
      <c r="E283" s="4" t="n"/>
      <c r="F283" s="5" t="n"/>
      <c r="G283" s="9">
        <f>IF(E283="","",E283*F283)</f>
        <v/>
      </c>
      <c r="H283" s="5" t="n"/>
      <c r="I283" s="9">
        <f>IF(G283="","",G283-IF(H283="",0,H283))</f>
        <v/>
      </c>
    </row>
    <row r="284">
      <c r="A284" t="n">
        <v>281</v>
      </c>
      <c r="B284" s="8" t="n"/>
      <c r="C284" s="4" t="n"/>
      <c r="D284" s="4" t="n"/>
      <c r="E284" s="4" t="n"/>
      <c r="F284" s="5" t="n"/>
      <c r="G284" s="9">
        <f>IF(E284="","",E284*F284)</f>
        <v/>
      </c>
      <c r="H284" s="5" t="n"/>
      <c r="I284" s="9">
        <f>IF(G284="","",G284-IF(H284="",0,H284))</f>
        <v/>
      </c>
    </row>
    <row r="285">
      <c r="A285" t="n">
        <v>282</v>
      </c>
      <c r="B285" s="8" t="n"/>
      <c r="C285" s="4" t="n"/>
      <c r="D285" s="4" t="n"/>
      <c r="E285" s="4" t="n"/>
      <c r="F285" s="5" t="n"/>
      <c r="G285" s="9">
        <f>IF(E285="","",E285*F285)</f>
        <v/>
      </c>
      <c r="H285" s="5" t="n"/>
      <c r="I285" s="9">
        <f>IF(G285="","",G285-IF(H285="",0,H285))</f>
        <v/>
      </c>
    </row>
    <row r="286">
      <c r="A286" t="n">
        <v>283</v>
      </c>
      <c r="B286" s="8" t="n"/>
      <c r="C286" s="4" t="n"/>
      <c r="D286" s="4" t="n"/>
      <c r="E286" s="4" t="n"/>
      <c r="F286" s="5" t="n"/>
      <c r="G286" s="9">
        <f>IF(E286="","",E286*F286)</f>
        <v/>
      </c>
      <c r="H286" s="5" t="n"/>
      <c r="I286" s="9">
        <f>IF(G286="","",G286-IF(H286="",0,H286))</f>
        <v/>
      </c>
    </row>
    <row r="287">
      <c r="A287" t="n">
        <v>284</v>
      </c>
      <c r="B287" s="8" t="n"/>
      <c r="C287" s="4" t="n"/>
      <c r="D287" s="4" t="n"/>
      <c r="E287" s="4" t="n"/>
      <c r="F287" s="5" t="n"/>
      <c r="G287" s="9">
        <f>IF(E287="","",E287*F287)</f>
        <v/>
      </c>
      <c r="H287" s="5" t="n"/>
      <c r="I287" s="9">
        <f>IF(G287="","",G287-IF(H287="",0,H287))</f>
        <v/>
      </c>
    </row>
    <row r="288">
      <c r="A288" t="n">
        <v>285</v>
      </c>
      <c r="B288" s="8" t="n"/>
      <c r="C288" s="4" t="n"/>
      <c r="D288" s="4" t="n"/>
      <c r="E288" s="4" t="n"/>
      <c r="F288" s="5" t="n"/>
      <c r="G288" s="9">
        <f>IF(E288="","",E288*F288)</f>
        <v/>
      </c>
      <c r="H288" s="5" t="n"/>
      <c r="I288" s="9">
        <f>IF(G288="","",G288-IF(H288="",0,H288))</f>
        <v/>
      </c>
    </row>
    <row r="289">
      <c r="A289" t="n">
        <v>286</v>
      </c>
      <c r="B289" s="8" t="n"/>
      <c r="C289" s="4" t="n"/>
      <c r="D289" s="4" t="n"/>
      <c r="E289" s="4" t="n"/>
      <c r="F289" s="5" t="n"/>
      <c r="G289" s="9">
        <f>IF(E289="","",E289*F289)</f>
        <v/>
      </c>
      <c r="H289" s="5" t="n"/>
      <c r="I289" s="9">
        <f>IF(G289="","",G289-IF(H289="",0,H289))</f>
        <v/>
      </c>
    </row>
    <row r="290">
      <c r="A290" t="n">
        <v>287</v>
      </c>
      <c r="B290" s="8" t="n"/>
      <c r="C290" s="4" t="n"/>
      <c r="D290" s="4" t="n"/>
      <c r="E290" s="4" t="n"/>
      <c r="F290" s="5" t="n"/>
      <c r="G290" s="9">
        <f>IF(E290="","",E290*F290)</f>
        <v/>
      </c>
      <c r="H290" s="5" t="n"/>
      <c r="I290" s="9">
        <f>IF(G290="","",G290-IF(H290="",0,H290))</f>
        <v/>
      </c>
    </row>
    <row r="291">
      <c r="A291" t="n">
        <v>288</v>
      </c>
      <c r="B291" s="8" t="n"/>
      <c r="C291" s="4" t="n"/>
      <c r="D291" s="4" t="n"/>
      <c r="E291" s="4" t="n"/>
      <c r="F291" s="5" t="n"/>
      <c r="G291" s="9">
        <f>IF(E291="","",E291*F291)</f>
        <v/>
      </c>
      <c r="H291" s="5" t="n"/>
      <c r="I291" s="9">
        <f>IF(G291="","",G291-IF(H291="",0,H291))</f>
        <v/>
      </c>
    </row>
    <row r="292">
      <c r="A292" t="n">
        <v>289</v>
      </c>
      <c r="B292" s="8" t="n"/>
      <c r="C292" s="4" t="n"/>
      <c r="D292" s="4" t="n"/>
      <c r="E292" s="4" t="n"/>
      <c r="F292" s="5" t="n"/>
      <c r="G292" s="9">
        <f>IF(E292="","",E292*F292)</f>
        <v/>
      </c>
      <c r="H292" s="5" t="n"/>
      <c r="I292" s="9">
        <f>IF(G292="","",G292-IF(H292="",0,H292))</f>
        <v/>
      </c>
    </row>
    <row r="293">
      <c r="A293" t="n">
        <v>290</v>
      </c>
      <c r="B293" s="8" t="n"/>
      <c r="C293" s="4" t="n"/>
      <c r="D293" s="4" t="n"/>
      <c r="E293" s="4" t="n"/>
      <c r="F293" s="5" t="n"/>
      <c r="G293" s="9">
        <f>IF(E293="","",E293*F293)</f>
        <v/>
      </c>
      <c r="H293" s="5" t="n"/>
      <c r="I293" s="9">
        <f>IF(G293="","",G293-IF(H293="",0,H293))</f>
        <v/>
      </c>
    </row>
    <row r="294">
      <c r="A294" t="n">
        <v>291</v>
      </c>
      <c r="B294" s="8" t="n"/>
      <c r="C294" s="4" t="n"/>
      <c r="D294" s="4" t="n"/>
      <c r="E294" s="4" t="n"/>
      <c r="F294" s="5" t="n"/>
      <c r="G294" s="9">
        <f>IF(E294="","",E294*F294)</f>
        <v/>
      </c>
      <c r="H294" s="5" t="n"/>
      <c r="I294" s="9">
        <f>IF(G294="","",G294-IF(H294="",0,H294))</f>
        <v/>
      </c>
    </row>
    <row r="295">
      <c r="A295" t="n">
        <v>292</v>
      </c>
      <c r="B295" s="8" t="n"/>
      <c r="C295" s="4" t="n"/>
      <c r="D295" s="4" t="n"/>
      <c r="E295" s="4" t="n"/>
      <c r="F295" s="5" t="n"/>
      <c r="G295" s="9">
        <f>IF(E295="","",E295*F295)</f>
        <v/>
      </c>
      <c r="H295" s="5" t="n"/>
      <c r="I295" s="9">
        <f>IF(G295="","",G295-IF(H295="",0,H295))</f>
        <v/>
      </c>
    </row>
    <row r="296">
      <c r="A296" t="n">
        <v>293</v>
      </c>
      <c r="B296" s="8" t="n"/>
      <c r="C296" s="4" t="n"/>
      <c r="D296" s="4" t="n"/>
      <c r="E296" s="4" t="n"/>
      <c r="F296" s="5" t="n"/>
      <c r="G296" s="9">
        <f>IF(E296="","",E296*F296)</f>
        <v/>
      </c>
      <c r="H296" s="5" t="n"/>
      <c r="I296" s="9">
        <f>IF(G296="","",G296-IF(H296="",0,H296))</f>
        <v/>
      </c>
    </row>
    <row r="297">
      <c r="A297" t="n">
        <v>294</v>
      </c>
      <c r="B297" s="8" t="n"/>
      <c r="C297" s="4" t="n"/>
      <c r="D297" s="4" t="n"/>
      <c r="E297" s="4" t="n"/>
      <c r="F297" s="5" t="n"/>
      <c r="G297" s="9">
        <f>IF(E297="","",E297*F297)</f>
        <v/>
      </c>
      <c r="H297" s="5" t="n"/>
      <c r="I297" s="9">
        <f>IF(G297="","",G297-IF(H297="",0,H297))</f>
        <v/>
      </c>
    </row>
    <row r="298">
      <c r="A298" t="n">
        <v>295</v>
      </c>
      <c r="B298" s="8" t="n"/>
      <c r="C298" s="4" t="n"/>
      <c r="D298" s="4" t="n"/>
      <c r="E298" s="4" t="n"/>
      <c r="F298" s="5" t="n"/>
      <c r="G298" s="9">
        <f>IF(E298="","",E298*F298)</f>
        <v/>
      </c>
      <c r="H298" s="5" t="n"/>
      <c r="I298" s="9">
        <f>IF(G298="","",G298-IF(H298="",0,H298))</f>
        <v/>
      </c>
    </row>
    <row r="299">
      <c r="A299" t="n">
        <v>296</v>
      </c>
      <c r="B299" s="8" t="n"/>
      <c r="C299" s="4" t="n"/>
      <c r="D299" s="4" t="n"/>
      <c r="E299" s="4" t="n"/>
      <c r="F299" s="5" t="n"/>
      <c r="G299" s="9">
        <f>IF(E299="","",E299*F299)</f>
        <v/>
      </c>
      <c r="H299" s="5" t="n"/>
      <c r="I299" s="9">
        <f>IF(G299="","",G299-IF(H299="",0,H299))</f>
        <v/>
      </c>
    </row>
    <row r="300">
      <c r="A300" t="n">
        <v>297</v>
      </c>
      <c r="B300" s="8" t="n"/>
      <c r="C300" s="4" t="n"/>
      <c r="D300" s="4" t="n"/>
      <c r="E300" s="4" t="n"/>
      <c r="F300" s="5" t="n"/>
      <c r="G300" s="9">
        <f>IF(E300="","",E300*F300)</f>
        <v/>
      </c>
      <c r="H300" s="5" t="n"/>
      <c r="I300" s="9">
        <f>IF(G300="","",G300-IF(H300="",0,H300))</f>
        <v/>
      </c>
    </row>
    <row r="301">
      <c r="A301" t="n">
        <v>298</v>
      </c>
      <c r="B301" s="8" t="n"/>
      <c r="C301" s="4" t="n"/>
      <c r="D301" s="4" t="n"/>
      <c r="E301" s="4" t="n"/>
      <c r="F301" s="5" t="n"/>
      <c r="G301" s="9">
        <f>IF(E301="","",E301*F301)</f>
        <v/>
      </c>
      <c r="H301" s="5" t="n"/>
      <c r="I301" s="9">
        <f>IF(G301="","",G301-IF(H301="",0,H301))</f>
        <v/>
      </c>
    </row>
    <row r="302">
      <c r="A302" t="n">
        <v>299</v>
      </c>
      <c r="B302" s="8" t="n"/>
      <c r="C302" s="4" t="n"/>
      <c r="D302" s="4" t="n"/>
      <c r="E302" s="4" t="n"/>
      <c r="F302" s="5" t="n"/>
      <c r="G302" s="9">
        <f>IF(E302="","",E302*F302)</f>
        <v/>
      </c>
      <c r="H302" s="5" t="n"/>
      <c r="I302" s="9">
        <f>IF(G302="","",G302-IF(H302="",0,H302))</f>
        <v/>
      </c>
    </row>
    <row r="303">
      <c r="A303" t="n">
        <v>300</v>
      </c>
      <c r="B303" s="8" t="n"/>
      <c r="C303" s="4" t="n"/>
      <c r="D303" s="4" t="n"/>
      <c r="E303" s="4" t="n"/>
      <c r="F303" s="5" t="n"/>
      <c r="G303" s="9">
        <f>IF(E303="","",E303*F303)</f>
        <v/>
      </c>
      <c r="H303" s="5" t="n"/>
      <c r="I303" s="9">
        <f>IF(G303="","",G303-IF(H303="",0,H303))</f>
        <v/>
      </c>
    </row>
    <row r="304">
      <c r="A304" t="n">
        <v>301</v>
      </c>
      <c r="B304" s="8" t="n"/>
      <c r="C304" s="4" t="n"/>
      <c r="D304" s="4" t="n"/>
      <c r="E304" s="4" t="n"/>
      <c r="F304" s="5" t="n"/>
      <c r="G304" s="9">
        <f>IF(E304="","",E304*F304)</f>
        <v/>
      </c>
      <c r="H304" s="5" t="n"/>
      <c r="I304" s="9">
        <f>IF(G304="","",G304-IF(H304="",0,H304))</f>
        <v/>
      </c>
    </row>
    <row r="305">
      <c r="A305" t="n">
        <v>302</v>
      </c>
      <c r="B305" s="8" t="n"/>
      <c r="C305" s="4" t="n"/>
      <c r="D305" s="4" t="n"/>
      <c r="E305" s="4" t="n"/>
      <c r="F305" s="5" t="n"/>
      <c r="G305" s="9">
        <f>IF(E305="","",E305*F305)</f>
        <v/>
      </c>
      <c r="H305" s="5" t="n"/>
      <c r="I305" s="9">
        <f>IF(G305="","",G305-IF(H305="",0,H305))</f>
        <v/>
      </c>
    </row>
    <row r="306">
      <c r="A306" t="n">
        <v>303</v>
      </c>
      <c r="B306" s="8" t="n"/>
      <c r="C306" s="4" t="n"/>
      <c r="D306" s="4" t="n"/>
      <c r="E306" s="4" t="n"/>
      <c r="F306" s="5" t="n"/>
      <c r="G306" s="9">
        <f>IF(E306="","",E306*F306)</f>
        <v/>
      </c>
      <c r="H306" s="5" t="n"/>
      <c r="I306" s="9">
        <f>IF(G306="","",G306-IF(H306="",0,H306))</f>
        <v/>
      </c>
    </row>
    <row r="307">
      <c r="A307" t="n">
        <v>304</v>
      </c>
      <c r="B307" s="8" t="n"/>
      <c r="C307" s="4" t="n"/>
      <c r="D307" s="4" t="n"/>
      <c r="E307" s="4" t="n"/>
      <c r="F307" s="5" t="n"/>
      <c r="G307" s="9">
        <f>IF(E307="","",E307*F307)</f>
        <v/>
      </c>
      <c r="H307" s="5" t="n"/>
      <c r="I307" s="9">
        <f>IF(G307="","",G307-IF(H307="",0,H307))</f>
        <v/>
      </c>
    </row>
    <row r="308">
      <c r="A308" t="n">
        <v>305</v>
      </c>
      <c r="B308" s="8" t="n"/>
      <c r="C308" s="4" t="n"/>
      <c r="D308" s="4" t="n"/>
      <c r="E308" s="4" t="n"/>
      <c r="F308" s="5" t="n"/>
      <c r="G308" s="9">
        <f>IF(E308="","",E308*F308)</f>
        <v/>
      </c>
      <c r="H308" s="5" t="n"/>
      <c r="I308" s="9">
        <f>IF(G308="","",G308-IF(H308="",0,H308))</f>
        <v/>
      </c>
    </row>
    <row r="309">
      <c r="A309" t="n">
        <v>306</v>
      </c>
      <c r="B309" s="8" t="n"/>
      <c r="C309" s="4" t="n"/>
      <c r="D309" s="4" t="n"/>
      <c r="E309" s="4" t="n"/>
      <c r="F309" s="5" t="n"/>
      <c r="G309" s="9">
        <f>IF(E309="","",E309*F309)</f>
        <v/>
      </c>
      <c r="H309" s="5" t="n"/>
      <c r="I309" s="9">
        <f>IF(G309="","",G309-IF(H309="",0,H309))</f>
        <v/>
      </c>
    </row>
    <row r="310">
      <c r="A310" t="n">
        <v>307</v>
      </c>
      <c r="B310" s="8" t="n"/>
      <c r="C310" s="4" t="n"/>
      <c r="D310" s="4" t="n"/>
      <c r="E310" s="4" t="n"/>
      <c r="F310" s="5" t="n"/>
      <c r="G310" s="9">
        <f>IF(E310="","",E310*F310)</f>
        <v/>
      </c>
      <c r="H310" s="5" t="n"/>
      <c r="I310" s="9">
        <f>IF(G310="","",G310-IF(H310="",0,H310))</f>
        <v/>
      </c>
    </row>
    <row r="311">
      <c r="A311" t="n">
        <v>308</v>
      </c>
      <c r="B311" s="8" t="n"/>
      <c r="C311" s="4" t="n"/>
      <c r="D311" s="4" t="n"/>
      <c r="E311" s="4" t="n"/>
      <c r="F311" s="5" t="n"/>
      <c r="G311" s="9">
        <f>IF(E311="","",E311*F311)</f>
        <v/>
      </c>
      <c r="H311" s="5" t="n"/>
      <c r="I311" s="9">
        <f>IF(G311="","",G311-IF(H311="",0,H311))</f>
        <v/>
      </c>
    </row>
    <row r="312">
      <c r="A312" t="n">
        <v>309</v>
      </c>
      <c r="B312" s="8" t="n"/>
      <c r="C312" s="4" t="n"/>
      <c r="D312" s="4" t="n"/>
      <c r="E312" s="4" t="n"/>
      <c r="F312" s="5" t="n"/>
      <c r="G312" s="9">
        <f>IF(E312="","",E312*F312)</f>
        <v/>
      </c>
      <c r="H312" s="5" t="n"/>
      <c r="I312" s="9">
        <f>IF(G312="","",G312-IF(H312="",0,H312))</f>
        <v/>
      </c>
    </row>
    <row r="313">
      <c r="A313" t="n">
        <v>310</v>
      </c>
      <c r="B313" s="8" t="n"/>
      <c r="C313" s="4" t="n"/>
      <c r="D313" s="4" t="n"/>
      <c r="E313" s="4" t="n"/>
      <c r="F313" s="5" t="n"/>
      <c r="G313" s="9">
        <f>IF(E313="","",E313*F313)</f>
        <v/>
      </c>
      <c r="H313" s="5" t="n"/>
      <c r="I313" s="9">
        <f>IF(G313="","",G313-IF(H313="",0,H313))</f>
        <v/>
      </c>
    </row>
    <row r="314">
      <c r="A314" t="n">
        <v>311</v>
      </c>
      <c r="B314" s="8" t="n"/>
      <c r="C314" s="4" t="n"/>
      <c r="D314" s="4" t="n"/>
      <c r="E314" s="4" t="n"/>
      <c r="F314" s="5" t="n"/>
      <c r="G314" s="9">
        <f>IF(E314="","",E314*F314)</f>
        <v/>
      </c>
      <c r="H314" s="5" t="n"/>
      <c r="I314" s="9">
        <f>IF(G314="","",G314-IF(H314="",0,H314))</f>
        <v/>
      </c>
    </row>
    <row r="315">
      <c r="A315" t="n">
        <v>312</v>
      </c>
      <c r="B315" s="8" t="n"/>
      <c r="C315" s="4" t="n"/>
      <c r="D315" s="4" t="n"/>
      <c r="E315" s="4" t="n"/>
      <c r="F315" s="5" t="n"/>
      <c r="G315" s="9">
        <f>IF(E315="","",E315*F315)</f>
        <v/>
      </c>
      <c r="H315" s="5" t="n"/>
      <c r="I315" s="9">
        <f>IF(G315="","",G315-IF(H315="",0,H315))</f>
        <v/>
      </c>
    </row>
    <row r="316">
      <c r="A316" t="n">
        <v>313</v>
      </c>
      <c r="B316" s="8" t="n"/>
      <c r="C316" s="4" t="n"/>
      <c r="D316" s="4" t="n"/>
      <c r="E316" s="4" t="n"/>
      <c r="F316" s="5" t="n"/>
      <c r="G316" s="9">
        <f>IF(E316="","",E316*F316)</f>
        <v/>
      </c>
      <c r="H316" s="5" t="n"/>
      <c r="I316" s="9">
        <f>IF(G316="","",G316-IF(H316="",0,H316))</f>
        <v/>
      </c>
    </row>
    <row r="317">
      <c r="A317" t="n">
        <v>314</v>
      </c>
      <c r="B317" s="8" t="n"/>
      <c r="C317" s="4" t="n"/>
      <c r="D317" s="4" t="n"/>
      <c r="E317" s="4" t="n"/>
      <c r="F317" s="5" t="n"/>
      <c r="G317" s="9">
        <f>IF(E317="","",E317*F317)</f>
        <v/>
      </c>
      <c r="H317" s="5" t="n"/>
      <c r="I317" s="9">
        <f>IF(G317="","",G317-IF(H317="",0,H317))</f>
        <v/>
      </c>
    </row>
    <row r="318">
      <c r="A318" t="n">
        <v>315</v>
      </c>
      <c r="B318" s="8" t="n"/>
      <c r="C318" s="4" t="n"/>
      <c r="D318" s="4" t="n"/>
      <c r="E318" s="4" t="n"/>
      <c r="F318" s="5" t="n"/>
      <c r="G318" s="9">
        <f>IF(E318="","",E318*F318)</f>
        <v/>
      </c>
      <c r="H318" s="5" t="n"/>
      <c r="I318" s="9">
        <f>IF(G318="","",G318-IF(H318="",0,H318))</f>
        <v/>
      </c>
    </row>
    <row r="319">
      <c r="A319" t="n">
        <v>316</v>
      </c>
      <c r="B319" s="8" t="n"/>
      <c r="C319" s="4" t="n"/>
      <c r="D319" s="4" t="n"/>
      <c r="E319" s="4" t="n"/>
      <c r="F319" s="5" t="n"/>
      <c r="G319" s="9">
        <f>IF(E319="","",E319*F319)</f>
        <v/>
      </c>
      <c r="H319" s="5" t="n"/>
      <c r="I319" s="9">
        <f>IF(G319="","",G319-IF(H319="",0,H319))</f>
        <v/>
      </c>
    </row>
    <row r="320">
      <c r="A320" t="n">
        <v>317</v>
      </c>
      <c r="B320" s="8" t="n"/>
      <c r="C320" s="4" t="n"/>
      <c r="D320" s="4" t="n"/>
      <c r="E320" s="4" t="n"/>
      <c r="F320" s="5" t="n"/>
      <c r="G320" s="9">
        <f>IF(E320="","",E320*F320)</f>
        <v/>
      </c>
      <c r="H320" s="5" t="n"/>
      <c r="I320" s="9">
        <f>IF(G320="","",G320-IF(H320="",0,H320))</f>
        <v/>
      </c>
    </row>
    <row r="321">
      <c r="A321" t="n">
        <v>318</v>
      </c>
      <c r="B321" s="8" t="n"/>
      <c r="C321" s="4" t="n"/>
      <c r="D321" s="4" t="n"/>
      <c r="E321" s="4" t="n"/>
      <c r="F321" s="5" t="n"/>
      <c r="G321" s="9">
        <f>IF(E321="","",E321*F321)</f>
        <v/>
      </c>
      <c r="H321" s="5" t="n"/>
      <c r="I321" s="9">
        <f>IF(G321="","",G321-IF(H321="",0,H321))</f>
        <v/>
      </c>
    </row>
    <row r="322">
      <c r="A322" t="n">
        <v>319</v>
      </c>
      <c r="B322" s="8" t="n"/>
      <c r="C322" s="4" t="n"/>
      <c r="D322" s="4" t="n"/>
      <c r="E322" s="4" t="n"/>
      <c r="F322" s="5" t="n"/>
      <c r="G322" s="9">
        <f>IF(E322="","",E322*F322)</f>
        <v/>
      </c>
      <c r="H322" s="5" t="n"/>
      <c r="I322" s="9">
        <f>IF(G322="","",G322-IF(H322="",0,H322))</f>
        <v/>
      </c>
    </row>
    <row r="323">
      <c r="A323" t="n">
        <v>320</v>
      </c>
      <c r="B323" s="8" t="n"/>
      <c r="C323" s="4" t="n"/>
      <c r="D323" s="4" t="n"/>
      <c r="E323" s="4" t="n"/>
      <c r="F323" s="5" t="n"/>
      <c r="G323" s="9">
        <f>IF(E323="","",E323*F323)</f>
        <v/>
      </c>
      <c r="H323" s="5" t="n"/>
      <c r="I323" s="9">
        <f>IF(G323="","",G323-IF(H323="",0,H323))</f>
        <v/>
      </c>
    </row>
    <row r="324">
      <c r="A324" t="n">
        <v>321</v>
      </c>
      <c r="B324" s="8" t="n"/>
      <c r="C324" s="4" t="n"/>
      <c r="D324" s="4" t="n"/>
      <c r="E324" s="4" t="n"/>
      <c r="F324" s="5" t="n"/>
      <c r="G324" s="9">
        <f>IF(E324="","",E324*F324)</f>
        <v/>
      </c>
      <c r="H324" s="5" t="n"/>
      <c r="I324" s="9">
        <f>IF(G324="","",G324-IF(H324="",0,H324))</f>
        <v/>
      </c>
    </row>
    <row r="325">
      <c r="A325" t="n">
        <v>322</v>
      </c>
      <c r="B325" s="8" t="n"/>
      <c r="C325" s="4" t="n"/>
      <c r="D325" s="4" t="n"/>
      <c r="E325" s="4" t="n"/>
      <c r="F325" s="5" t="n"/>
      <c r="G325" s="9">
        <f>IF(E325="","",E325*F325)</f>
        <v/>
      </c>
      <c r="H325" s="5" t="n"/>
      <c r="I325" s="9">
        <f>IF(G325="","",G325-IF(H325="",0,H325))</f>
        <v/>
      </c>
    </row>
    <row r="326">
      <c r="A326" t="n">
        <v>323</v>
      </c>
      <c r="B326" s="8" t="n"/>
      <c r="C326" s="4" t="n"/>
      <c r="D326" s="4" t="n"/>
      <c r="E326" s="4" t="n"/>
      <c r="F326" s="5" t="n"/>
      <c r="G326" s="9">
        <f>IF(E326="","",E326*F326)</f>
        <v/>
      </c>
      <c r="H326" s="5" t="n"/>
      <c r="I326" s="9">
        <f>IF(G326="","",G326-IF(H326="",0,H326))</f>
        <v/>
      </c>
    </row>
    <row r="327">
      <c r="A327" t="n">
        <v>324</v>
      </c>
      <c r="B327" s="8" t="n"/>
      <c r="C327" s="4" t="n"/>
      <c r="D327" s="4" t="n"/>
      <c r="E327" s="4" t="n"/>
      <c r="F327" s="5" t="n"/>
      <c r="G327" s="9">
        <f>IF(E327="","",E327*F327)</f>
        <v/>
      </c>
      <c r="H327" s="5" t="n"/>
      <c r="I327" s="9">
        <f>IF(G327="","",G327-IF(H327="",0,H327))</f>
        <v/>
      </c>
    </row>
    <row r="328">
      <c r="A328" t="n">
        <v>325</v>
      </c>
      <c r="B328" s="8" t="n"/>
      <c r="C328" s="4" t="n"/>
      <c r="D328" s="4" t="n"/>
      <c r="E328" s="4" t="n"/>
      <c r="F328" s="5" t="n"/>
      <c r="G328" s="9">
        <f>IF(E328="","",E328*F328)</f>
        <v/>
      </c>
      <c r="H328" s="5" t="n"/>
      <c r="I328" s="9">
        <f>IF(G328="","",G328-IF(H328="",0,H328))</f>
        <v/>
      </c>
    </row>
    <row r="329">
      <c r="A329" t="n">
        <v>326</v>
      </c>
      <c r="B329" s="8" t="n"/>
      <c r="C329" s="4" t="n"/>
      <c r="D329" s="4" t="n"/>
      <c r="E329" s="4" t="n"/>
      <c r="F329" s="5" t="n"/>
      <c r="G329" s="9">
        <f>IF(E329="","",E329*F329)</f>
        <v/>
      </c>
      <c r="H329" s="5" t="n"/>
      <c r="I329" s="9">
        <f>IF(G329="","",G329-IF(H329="",0,H329))</f>
        <v/>
      </c>
    </row>
    <row r="330">
      <c r="A330" t="n">
        <v>327</v>
      </c>
      <c r="B330" s="8" t="n"/>
      <c r="C330" s="4" t="n"/>
      <c r="D330" s="4" t="n"/>
      <c r="E330" s="4" t="n"/>
      <c r="F330" s="5" t="n"/>
      <c r="G330" s="9">
        <f>IF(E330="","",E330*F330)</f>
        <v/>
      </c>
      <c r="H330" s="5" t="n"/>
      <c r="I330" s="9">
        <f>IF(G330="","",G330-IF(H330="",0,H330))</f>
        <v/>
      </c>
    </row>
    <row r="331">
      <c r="A331" t="n">
        <v>328</v>
      </c>
      <c r="B331" s="8" t="n"/>
      <c r="C331" s="4" t="n"/>
      <c r="D331" s="4" t="n"/>
      <c r="E331" s="4" t="n"/>
      <c r="F331" s="5" t="n"/>
      <c r="G331" s="9">
        <f>IF(E331="","",E331*F331)</f>
        <v/>
      </c>
      <c r="H331" s="5" t="n"/>
      <c r="I331" s="9">
        <f>IF(G331="","",G331-IF(H331="",0,H331))</f>
        <v/>
      </c>
    </row>
    <row r="332">
      <c r="A332" t="n">
        <v>329</v>
      </c>
      <c r="B332" s="8" t="n"/>
      <c r="C332" s="4" t="n"/>
      <c r="D332" s="4" t="n"/>
      <c r="E332" s="4" t="n"/>
      <c r="F332" s="5" t="n"/>
      <c r="G332" s="9">
        <f>IF(E332="","",E332*F332)</f>
        <v/>
      </c>
      <c r="H332" s="5" t="n"/>
      <c r="I332" s="9">
        <f>IF(G332="","",G332-IF(H332="",0,H332))</f>
        <v/>
      </c>
    </row>
    <row r="333">
      <c r="A333" t="n">
        <v>330</v>
      </c>
      <c r="B333" s="8" t="n"/>
      <c r="C333" s="4" t="n"/>
      <c r="D333" s="4" t="n"/>
      <c r="E333" s="4" t="n"/>
      <c r="F333" s="5" t="n"/>
      <c r="G333" s="9">
        <f>IF(E333="","",E333*F333)</f>
        <v/>
      </c>
      <c r="H333" s="5" t="n"/>
      <c r="I333" s="9">
        <f>IF(G333="","",G333-IF(H333="",0,H333))</f>
        <v/>
      </c>
    </row>
    <row r="334">
      <c r="A334" t="n">
        <v>331</v>
      </c>
      <c r="B334" s="8" t="n"/>
      <c r="C334" s="4" t="n"/>
      <c r="D334" s="4" t="n"/>
      <c r="E334" s="4" t="n"/>
      <c r="F334" s="5" t="n"/>
      <c r="G334" s="9">
        <f>IF(E334="","",E334*F334)</f>
        <v/>
      </c>
      <c r="H334" s="5" t="n"/>
      <c r="I334" s="9">
        <f>IF(G334="","",G334-IF(H334="",0,H334))</f>
        <v/>
      </c>
    </row>
    <row r="335">
      <c r="A335" t="n">
        <v>332</v>
      </c>
      <c r="B335" s="8" t="n"/>
      <c r="C335" s="4" t="n"/>
      <c r="D335" s="4" t="n"/>
      <c r="E335" s="4" t="n"/>
      <c r="F335" s="5" t="n"/>
      <c r="G335" s="9">
        <f>IF(E335="","",E335*F335)</f>
        <v/>
      </c>
      <c r="H335" s="5" t="n"/>
      <c r="I335" s="9">
        <f>IF(G335="","",G335-IF(H335="",0,H335))</f>
        <v/>
      </c>
    </row>
    <row r="336">
      <c r="A336" t="n">
        <v>333</v>
      </c>
      <c r="B336" s="8" t="n"/>
      <c r="C336" s="4" t="n"/>
      <c r="D336" s="4" t="n"/>
      <c r="E336" s="4" t="n"/>
      <c r="F336" s="5" t="n"/>
      <c r="G336" s="9">
        <f>IF(E336="","",E336*F336)</f>
        <v/>
      </c>
      <c r="H336" s="5" t="n"/>
      <c r="I336" s="9">
        <f>IF(G336="","",G336-IF(H336="",0,H336))</f>
        <v/>
      </c>
    </row>
    <row r="337">
      <c r="A337" t="n">
        <v>334</v>
      </c>
      <c r="B337" s="8" t="n"/>
      <c r="C337" s="4" t="n"/>
      <c r="D337" s="4" t="n"/>
      <c r="E337" s="4" t="n"/>
      <c r="F337" s="5" t="n"/>
      <c r="G337" s="9">
        <f>IF(E337="","",E337*F337)</f>
        <v/>
      </c>
      <c r="H337" s="5" t="n"/>
      <c r="I337" s="9">
        <f>IF(G337="","",G337-IF(H337="",0,H337))</f>
        <v/>
      </c>
    </row>
    <row r="338">
      <c r="A338" t="n">
        <v>335</v>
      </c>
      <c r="B338" s="8" t="n"/>
      <c r="C338" s="4" t="n"/>
      <c r="D338" s="4" t="n"/>
      <c r="E338" s="4" t="n"/>
      <c r="F338" s="5" t="n"/>
      <c r="G338" s="9">
        <f>IF(E338="","",E338*F338)</f>
        <v/>
      </c>
      <c r="H338" s="5" t="n"/>
      <c r="I338" s="9">
        <f>IF(G338="","",G338-IF(H338="",0,H338))</f>
        <v/>
      </c>
    </row>
    <row r="339">
      <c r="A339" t="n">
        <v>336</v>
      </c>
      <c r="B339" s="8" t="n"/>
      <c r="C339" s="4" t="n"/>
      <c r="D339" s="4" t="n"/>
      <c r="E339" s="4" t="n"/>
      <c r="F339" s="5" t="n"/>
      <c r="G339" s="9">
        <f>IF(E339="","",E339*F339)</f>
        <v/>
      </c>
      <c r="H339" s="5" t="n"/>
      <c r="I339" s="9">
        <f>IF(G339="","",G339-IF(H339="",0,H339))</f>
        <v/>
      </c>
    </row>
    <row r="340">
      <c r="A340" t="n">
        <v>337</v>
      </c>
      <c r="B340" s="8" t="n"/>
      <c r="C340" s="4" t="n"/>
      <c r="D340" s="4" t="n"/>
      <c r="E340" s="4" t="n"/>
      <c r="F340" s="5" t="n"/>
      <c r="G340" s="9">
        <f>IF(E340="","",E340*F340)</f>
        <v/>
      </c>
      <c r="H340" s="5" t="n"/>
      <c r="I340" s="9">
        <f>IF(G340="","",G340-IF(H340="",0,H340))</f>
        <v/>
      </c>
    </row>
    <row r="341">
      <c r="A341" t="n">
        <v>338</v>
      </c>
      <c r="B341" s="8" t="n"/>
      <c r="C341" s="4" t="n"/>
      <c r="D341" s="4" t="n"/>
      <c r="E341" s="4" t="n"/>
      <c r="F341" s="5" t="n"/>
      <c r="G341" s="9">
        <f>IF(E341="","",E341*F341)</f>
        <v/>
      </c>
      <c r="H341" s="5" t="n"/>
      <c r="I341" s="9">
        <f>IF(G341="","",G341-IF(H341="",0,H341))</f>
        <v/>
      </c>
    </row>
    <row r="342">
      <c r="A342" t="n">
        <v>339</v>
      </c>
      <c r="B342" s="8" t="n"/>
      <c r="C342" s="4" t="n"/>
      <c r="D342" s="4" t="n"/>
      <c r="E342" s="4" t="n"/>
      <c r="F342" s="5" t="n"/>
      <c r="G342" s="9">
        <f>IF(E342="","",E342*F342)</f>
        <v/>
      </c>
      <c r="H342" s="5" t="n"/>
      <c r="I342" s="9">
        <f>IF(G342="","",G342-IF(H342="",0,H342))</f>
        <v/>
      </c>
    </row>
    <row r="343">
      <c r="A343" t="n">
        <v>340</v>
      </c>
      <c r="B343" s="8" t="n"/>
      <c r="C343" s="4" t="n"/>
      <c r="D343" s="4" t="n"/>
      <c r="E343" s="4" t="n"/>
      <c r="F343" s="5" t="n"/>
      <c r="G343" s="9">
        <f>IF(E343="","",E343*F343)</f>
        <v/>
      </c>
      <c r="H343" s="5" t="n"/>
      <c r="I343" s="9">
        <f>IF(G343="","",G343-IF(H343="",0,H343))</f>
        <v/>
      </c>
    </row>
    <row r="344">
      <c r="A344" t="n">
        <v>341</v>
      </c>
      <c r="B344" s="8" t="n"/>
      <c r="C344" s="4" t="n"/>
      <c r="D344" s="4" t="n"/>
      <c r="E344" s="4" t="n"/>
      <c r="F344" s="5" t="n"/>
      <c r="G344" s="9">
        <f>IF(E344="","",E344*F344)</f>
        <v/>
      </c>
      <c r="H344" s="5" t="n"/>
      <c r="I344" s="9">
        <f>IF(G344="","",G344-IF(H344="",0,H344))</f>
        <v/>
      </c>
    </row>
    <row r="345">
      <c r="A345" t="n">
        <v>342</v>
      </c>
      <c r="B345" s="8" t="n"/>
      <c r="C345" s="4" t="n"/>
      <c r="D345" s="4" t="n"/>
      <c r="E345" s="4" t="n"/>
      <c r="F345" s="5" t="n"/>
      <c r="G345" s="9">
        <f>IF(E345="","",E345*F345)</f>
        <v/>
      </c>
      <c r="H345" s="5" t="n"/>
      <c r="I345" s="9">
        <f>IF(G345="","",G345-IF(H345="",0,H345))</f>
        <v/>
      </c>
    </row>
    <row r="346">
      <c r="A346" t="n">
        <v>343</v>
      </c>
      <c r="B346" s="8" t="n"/>
      <c r="C346" s="4" t="n"/>
      <c r="D346" s="4" t="n"/>
      <c r="E346" s="4" t="n"/>
      <c r="F346" s="5" t="n"/>
      <c r="G346" s="9">
        <f>IF(E346="","",E346*F346)</f>
        <v/>
      </c>
      <c r="H346" s="5" t="n"/>
      <c r="I346" s="9">
        <f>IF(G346="","",G346-IF(H346="",0,H346))</f>
        <v/>
      </c>
    </row>
    <row r="347">
      <c r="A347" t="n">
        <v>344</v>
      </c>
      <c r="B347" s="8" t="n"/>
      <c r="C347" s="4" t="n"/>
      <c r="D347" s="4" t="n"/>
      <c r="E347" s="4" t="n"/>
      <c r="F347" s="5" t="n"/>
      <c r="G347" s="9">
        <f>IF(E347="","",E347*F347)</f>
        <v/>
      </c>
      <c r="H347" s="5" t="n"/>
      <c r="I347" s="9">
        <f>IF(G347="","",G347-IF(H347="",0,H347))</f>
        <v/>
      </c>
    </row>
    <row r="348">
      <c r="A348" t="n">
        <v>345</v>
      </c>
      <c r="B348" s="8" t="n"/>
      <c r="C348" s="4" t="n"/>
      <c r="D348" s="4" t="n"/>
      <c r="E348" s="4" t="n"/>
      <c r="F348" s="5" t="n"/>
      <c r="G348" s="9">
        <f>IF(E348="","",E348*F348)</f>
        <v/>
      </c>
      <c r="H348" s="5" t="n"/>
      <c r="I348" s="9">
        <f>IF(G348="","",G348-IF(H348="",0,H348))</f>
        <v/>
      </c>
    </row>
    <row r="349">
      <c r="A349" t="n">
        <v>346</v>
      </c>
      <c r="B349" s="8" t="n"/>
      <c r="C349" s="4" t="n"/>
      <c r="D349" s="4" t="n"/>
      <c r="E349" s="4" t="n"/>
      <c r="F349" s="5" t="n"/>
      <c r="G349" s="9">
        <f>IF(E349="","",E349*F349)</f>
        <v/>
      </c>
      <c r="H349" s="5" t="n"/>
      <c r="I349" s="9">
        <f>IF(G349="","",G349-IF(H349="",0,H349))</f>
        <v/>
      </c>
    </row>
    <row r="350">
      <c r="A350" t="n">
        <v>347</v>
      </c>
      <c r="B350" s="8" t="n"/>
      <c r="C350" s="4" t="n"/>
      <c r="D350" s="4" t="n"/>
      <c r="E350" s="4" t="n"/>
      <c r="F350" s="5" t="n"/>
      <c r="G350" s="9">
        <f>IF(E350="","",E350*F350)</f>
        <v/>
      </c>
      <c r="H350" s="5" t="n"/>
      <c r="I350" s="9">
        <f>IF(G350="","",G350-IF(H350="",0,H350))</f>
        <v/>
      </c>
    </row>
    <row r="351">
      <c r="A351" t="n">
        <v>348</v>
      </c>
      <c r="B351" s="8" t="n"/>
      <c r="C351" s="4" t="n"/>
      <c r="D351" s="4" t="n"/>
      <c r="E351" s="4" t="n"/>
      <c r="F351" s="5" t="n"/>
      <c r="G351" s="9">
        <f>IF(E351="","",E351*F351)</f>
        <v/>
      </c>
      <c r="H351" s="5" t="n"/>
      <c r="I351" s="9">
        <f>IF(G351="","",G351-IF(H351="",0,H351))</f>
        <v/>
      </c>
    </row>
    <row r="352">
      <c r="A352" t="n">
        <v>349</v>
      </c>
      <c r="B352" s="8" t="n"/>
      <c r="C352" s="4" t="n"/>
      <c r="D352" s="4" t="n"/>
      <c r="E352" s="4" t="n"/>
      <c r="F352" s="5" t="n"/>
      <c r="G352" s="9">
        <f>IF(E352="","",E352*F352)</f>
        <v/>
      </c>
      <c r="H352" s="5" t="n"/>
      <c r="I352" s="9">
        <f>IF(G352="","",G352-IF(H352="",0,H352))</f>
        <v/>
      </c>
    </row>
    <row r="353">
      <c r="A353" t="n">
        <v>350</v>
      </c>
      <c r="B353" s="8" t="n"/>
      <c r="C353" s="4" t="n"/>
      <c r="D353" s="4" t="n"/>
      <c r="E353" s="4" t="n"/>
      <c r="F353" s="5" t="n"/>
      <c r="G353" s="9">
        <f>IF(E353="","",E353*F353)</f>
        <v/>
      </c>
      <c r="H353" s="5" t="n"/>
      <c r="I353" s="9">
        <f>IF(G353="","",G353-IF(H353="",0,H353))</f>
        <v/>
      </c>
    </row>
    <row r="354">
      <c r="A354" t="n">
        <v>351</v>
      </c>
      <c r="B354" s="8" t="n"/>
      <c r="C354" s="4" t="n"/>
      <c r="D354" s="4" t="n"/>
      <c r="E354" s="4" t="n"/>
      <c r="F354" s="5" t="n"/>
      <c r="G354" s="9">
        <f>IF(E354="","",E354*F354)</f>
        <v/>
      </c>
      <c r="H354" s="5" t="n"/>
      <c r="I354" s="9">
        <f>IF(G354="","",G354-IF(H354="",0,H354))</f>
        <v/>
      </c>
    </row>
    <row r="355">
      <c r="A355" t="n">
        <v>352</v>
      </c>
      <c r="B355" s="8" t="n"/>
      <c r="C355" s="4" t="n"/>
      <c r="D355" s="4" t="n"/>
      <c r="E355" s="4" t="n"/>
      <c r="F355" s="5" t="n"/>
      <c r="G355" s="9">
        <f>IF(E355="","",E355*F355)</f>
        <v/>
      </c>
      <c r="H355" s="5" t="n"/>
      <c r="I355" s="9">
        <f>IF(G355="","",G355-IF(H355="",0,H355))</f>
        <v/>
      </c>
    </row>
    <row r="356">
      <c r="A356" t="n">
        <v>353</v>
      </c>
      <c r="B356" s="8" t="n"/>
      <c r="C356" s="4" t="n"/>
      <c r="D356" s="4" t="n"/>
      <c r="E356" s="4" t="n"/>
      <c r="F356" s="5" t="n"/>
      <c r="G356" s="9">
        <f>IF(E356="","",E356*F356)</f>
        <v/>
      </c>
      <c r="H356" s="5" t="n"/>
      <c r="I356" s="9">
        <f>IF(G356="","",G356-IF(H356="",0,H356))</f>
        <v/>
      </c>
    </row>
    <row r="357">
      <c r="A357" t="n">
        <v>354</v>
      </c>
      <c r="B357" s="8" t="n"/>
      <c r="C357" s="4" t="n"/>
      <c r="D357" s="4" t="n"/>
      <c r="E357" s="4" t="n"/>
      <c r="F357" s="5" t="n"/>
      <c r="G357" s="9">
        <f>IF(E357="","",E357*F357)</f>
        <v/>
      </c>
      <c r="H357" s="5" t="n"/>
      <c r="I357" s="9">
        <f>IF(G357="","",G357-IF(H357="",0,H357))</f>
        <v/>
      </c>
    </row>
    <row r="358">
      <c r="A358" t="n">
        <v>355</v>
      </c>
      <c r="B358" s="8" t="n"/>
      <c r="C358" s="4" t="n"/>
      <c r="D358" s="4" t="n"/>
      <c r="E358" s="4" t="n"/>
      <c r="F358" s="5" t="n"/>
      <c r="G358" s="9">
        <f>IF(E358="","",E358*F358)</f>
        <v/>
      </c>
      <c r="H358" s="5" t="n"/>
      <c r="I358" s="9">
        <f>IF(G358="","",G358-IF(H358="",0,H358))</f>
        <v/>
      </c>
    </row>
    <row r="359">
      <c r="A359" t="n">
        <v>356</v>
      </c>
      <c r="B359" s="8" t="n"/>
      <c r="C359" s="4" t="n"/>
      <c r="D359" s="4" t="n"/>
      <c r="E359" s="4" t="n"/>
      <c r="F359" s="5" t="n"/>
      <c r="G359" s="9">
        <f>IF(E359="","",E359*F359)</f>
        <v/>
      </c>
      <c r="H359" s="5" t="n"/>
      <c r="I359" s="9">
        <f>IF(G359="","",G359-IF(H359="",0,H359))</f>
        <v/>
      </c>
    </row>
    <row r="360">
      <c r="A360" t="n">
        <v>357</v>
      </c>
      <c r="B360" s="8" t="n"/>
      <c r="C360" s="4" t="n"/>
      <c r="D360" s="4" t="n"/>
      <c r="E360" s="4" t="n"/>
      <c r="F360" s="5" t="n"/>
      <c r="G360" s="9">
        <f>IF(E360="","",E360*F360)</f>
        <v/>
      </c>
      <c r="H360" s="5" t="n"/>
      <c r="I360" s="9">
        <f>IF(G360="","",G360-IF(H360="",0,H360))</f>
        <v/>
      </c>
    </row>
    <row r="361">
      <c r="A361" t="n">
        <v>358</v>
      </c>
      <c r="B361" s="8" t="n"/>
      <c r="C361" s="4" t="n"/>
      <c r="D361" s="4" t="n"/>
      <c r="E361" s="4" t="n"/>
      <c r="F361" s="5" t="n"/>
      <c r="G361" s="9">
        <f>IF(E361="","",E361*F361)</f>
        <v/>
      </c>
      <c r="H361" s="5" t="n"/>
      <c r="I361" s="9">
        <f>IF(G361="","",G361-IF(H361="",0,H361))</f>
        <v/>
      </c>
    </row>
    <row r="362">
      <c r="A362" t="n">
        <v>359</v>
      </c>
      <c r="B362" s="8" t="n"/>
      <c r="C362" s="4" t="n"/>
      <c r="D362" s="4" t="n"/>
      <c r="E362" s="4" t="n"/>
      <c r="F362" s="5" t="n"/>
      <c r="G362" s="9">
        <f>IF(E362="","",E362*F362)</f>
        <v/>
      </c>
      <c r="H362" s="5" t="n"/>
      <c r="I362" s="9">
        <f>IF(G362="","",G362-IF(H362="",0,H362))</f>
        <v/>
      </c>
    </row>
    <row r="363">
      <c r="A363" t="n">
        <v>360</v>
      </c>
      <c r="B363" s="8" t="n"/>
      <c r="C363" s="4" t="n"/>
      <c r="D363" s="4" t="n"/>
      <c r="E363" s="4" t="n"/>
      <c r="F363" s="5" t="n"/>
      <c r="G363" s="9">
        <f>IF(E363="","",E363*F363)</f>
        <v/>
      </c>
      <c r="H363" s="5" t="n"/>
      <c r="I363" s="9">
        <f>IF(G363="","",G363-IF(H363="",0,H363))</f>
        <v/>
      </c>
    </row>
    <row r="364">
      <c r="A364" t="n">
        <v>361</v>
      </c>
      <c r="B364" s="8" t="n"/>
      <c r="C364" s="4" t="n"/>
      <c r="D364" s="4" t="n"/>
      <c r="E364" s="4" t="n"/>
      <c r="F364" s="5" t="n"/>
      <c r="G364" s="9">
        <f>IF(E364="","",E364*F364)</f>
        <v/>
      </c>
      <c r="H364" s="5" t="n"/>
      <c r="I364" s="9">
        <f>IF(G364="","",G364-IF(H364="",0,H364))</f>
        <v/>
      </c>
    </row>
    <row r="365">
      <c r="A365" t="n">
        <v>362</v>
      </c>
      <c r="B365" s="8" t="n"/>
      <c r="C365" s="4" t="n"/>
      <c r="D365" s="4" t="n"/>
      <c r="E365" s="4" t="n"/>
      <c r="F365" s="5" t="n"/>
      <c r="G365" s="9">
        <f>IF(E365="","",E365*F365)</f>
        <v/>
      </c>
      <c r="H365" s="5" t="n"/>
      <c r="I365" s="9">
        <f>IF(G365="","",G365-IF(H365="",0,H365))</f>
        <v/>
      </c>
    </row>
    <row r="366">
      <c r="A366" t="n">
        <v>363</v>
      </c>
      <c r="B366" s="8" t="n"/>
      <c r="C366" s="4" t="n"/>
      <c r="D366" s="4" t="n"/>
      <c r="E366" s="4" t="n"/>
      <c r="F366" s="5" t="n"/>
      <c r="G366" s="9">
        <f>IF(E366="","",E366*F366)</f>
        <v/>
      </c>
      <c r="H366" s="5" t="n"/>
      <c r="I366" s="9">
        <f>IF(G366="","",G366-IF(H366="",0,H366))</f>
        <v/>
      </c>
    </row>
    <row r="367">
      <c r="A367" t="n">
        <v>364</v>
      </c>
      <c r="B367" s="8" t="n"/>
      <c r="C367" s="4" t="n"/>
      <c r="D367" s="4" t="n"/>
      <c r="E367" s="4" t="n"/>
      <c r="F367" s="5" t="n"/>
      <c r="G367" s="9">
        <f>IF(E367="","",E367*F367)</f>
        <v/>
      </c>
      <c r="H367" s="5" t="n"/>
      <c r="I367" s="9">
        <f>IF(G367="","",G367-IF(H367="",0,H367))</f>
        <v/>
      </c>
    </row>
    <row r="368">
      <c r="A368" t="n">
        <v>365</v>
      </c>
      <c r="B368" s="8" t="n"/>
      <c r="C368" s="4" t="n"/>
      <c r="D368" s="4" t="n"/>
      <c r="E368" s="4" t="n"/>
      <c r="F368" s="5" t="n"/>
      <c r="G368" s="9">
        <f>IF(E368="","",E368*F368)</f>
        <v/>
      </c>
      <c r="H368" s="5" t="n"/>
      <c r="I368" s="9">
        <f>IF(G368="","",G368-IF(H368="",0,H368))</f>
        <v/>
      </c>
    </row>
    <row r="369">
      <c r="A369" t="n">
        <v>366</v>
      </c>
      <c r="B369" s="8" t="n"/>
      <c r="C369" s="4" t="n"/>
      <c r="D369" s="4" t="n"/>
      <c r="E369" s="4" t="n"/>
      <c r="F369" s="5" t="n"/>
      <c r="G369" s="9">
        <f>IF(E369="","",E369*F369)</f>
        <v/>
      </c>
      <c r="H369" s="5" t="n"/>
      <c r="I369" s="9">
        <f>IF(G369="","",G369-IF(H369="",0,H369))</f>
        <v/>
      </c>
    </row>
    <row r="370">
      <c r="A370" t="n">
        <v>367</v>
      </c>
      <c r="B370" s="8" t="n"/>
      <c r="C370" s="4" t="n"/>
      <c r="D370" s="4" t="n"/>
      <c r="E370" s="4" t="n"/>
      <c r="F370" s="5" t="n"/>
      <c r="G370" s="9">
        <f>IF(E370="","",E370*F370)</f>
        <v/>
      </c>
      <c r="H370" s="5" t="n"/>
      <c r="I370" s="9">
        <f>IF(G370="","",G370-IF(H370="",0,H370))</f>
        <v/>
      </c>
    </row>
    <row r="371">
      <c r="A371" t="n">
        <v>368</v>
      </c>
      <c r="B371" s="8" t="n"/>
      <c r="C371" s="4" t="n"/>
      <c r="D371" s="4" t="n"/>
      <c r="E371" s="4" t="n"/>
      <c r="F371" s="5" t="n"/>
      <c r="G371" s="9">
        <f>IF(E371="","",E371*F371)</f>
        <v/>
      </c>
      <c r="H371" s="5" t="n"/>
      <c r="I371" s="9">
        <f>IF(G371="","",G371-IF(H371="",0,H371))</f>
        <v/>
      </c>
    </row>
    <row r="372">
      <c r="A372" t="n">
        <v>369</v>
      </c>
      <c r="B372" s="8" t="n"/>
      <c r="C372" s="4" t="n"/>
      <c r="D372" s="4" t="n"/>
      <c r="E372" s="4" t="n"/>
      <c r="F372" s="5" t="n"/>
      <c r="G372" s="9">
        <f>IF(E372="","",E372*F372)</f>
        <v/>
      </c>
      <c r="H372" s="5" t="n"/>
      <c r="I372" s="9">
        <f>IF(G372="","",G372-IF(H372="",0,H372))</f>
        <v/>
      </c>
    </row>
    <row r="373">
      <c r="A373" t="n">
        <v>370</v>
      </c>
      <c r="B373" s="8" t="n"/>
      <c r="C373" s="4" t="n"/>
      <c r="D373" s="4" t="n"/>
      <c r="E373" s="4" t="n"/>
      <c r="F373" s="5" t="n"/>
      <c r="G373" s="9">
        <f>IF(E373="","",E373*F373)</f>
        <v/>
      </c>
      <c r="H373" s="5" t="n"/>
      <c r="I373" s="9">
        <f>IF(G373="","",G373-IF(H373="",0,H373))</f>
        <v/>
      </c>
    </row>
    <row r="374">
      <c r="A374" t="n">
        <v>371</v>
      </c>
      <c r="B374" s="8" t="n"/>
      <c r="C374" s="4" t="n"/>
      <c r="D374" s="4" t="n"/>
      <c r="E374" s="4" t="n"/>
      <c r="F374" s="5" t="n"/>
      <c r="G374" s="9">
        <f>IF(E374="","",E374*F374)</f>
        <v/>
      </c>
      <c r="H374" s="5" t="n"/>
      <c r="I374" s="9">
        <f>IF(G374="","",G374-IF(H374="",0,H374))</f>
        <v/>
      </c>
    </row>
    <row r="375">
      <c r="A375" t="n">
        <v>372</v>
      </c>
      <c r="B375" s="8" t="n"/>
      <c r="C375" s="4" t="n"/>
      <c r="D375" s="4" t="n"/>
      <c r="E375" s="4" t="n"/>
      <c r="F375" s="5" t="n"/>
      <c r="G375" s="9">
        <f>IF(E375="","",E375*F375)</f>
        <v/>
      </c>
      <c r="H375" s="5" t="n"/>
      <c r="I375" s="9">
        <f>IF(G375="","",G375-IF(H375="",0,H375))</f>
        <v/>
      </c>
    </row>
    <row r="376">
      <c r="A376" t="n">
        <v>373</v>
      </c>
      <c r="B376" s="8" t="n"/>
      <c r="C376" s="4" t="n"/>
      <c r="D376" s="4" t="n"/>
      <c r="E376" s="4" t="n"/>
      <c r="F376" s="5" t="n"/>
      <c r="G376" s="9">
        <f>IF(E376="","",E376*F376)</f>
        <v/>
      </c>
      <c r="H376" s="5" t="n"/>
      <c r="I376" s="9">
        <f>IF(G376="","",G376-IF(H376="",0,H376))</f>
        <v/>
      </c>
    </row>
    <row r="377">
      <c r="A377" t="n">
        <v>374</v>
      </c>
      <c r="B377" s="8" t="n"/>
      <c r="C377" s="4" t="n"/>
      <c r="D377" s="4" t="n"/>
      <c r="E377" s="4" t="n"/>
      <c r="F377" s="5" t="n"/>
      <c r="G377" s="9">
        <f>IF(E377="","",E377*F377)</f>
        <v/>
      </c>
      <c r="H377" s="5" t="n"/>
      <c r="I377" s="9">
        <f>IF(G377="","",G377-IF(H377="",0,H377))</f>
        <v/>
      </c>
    </row>
    <row r="378">
      <c r="A378" t="n">
        <v>375</v>
      </c>
      <c r="B378" s="8" t="n"/>
      <c r="C378" s="4" t="n"/>
      <c r="D378" s="4" t="n"/>
      <c r="E378" s="4" t="n"/>
      <c r="F378" s="5" t="n"/>
      <c r="G378" s="9">
        <f>IF(E378="","",E378*F378)</f>
        <v/>
      </c>
      <c r="H378" s="5" t="n"/>
      <c r="I378" s="9">
        <f>IF(G378="","",G378-IF(H378="",0,H378))</f>
        <v/>
      </c>
    </row>
    <row r="379">
      <c r="A379" t="n">
        <v>376</v>
      </c>
      <c r="B379" s="8" t="n"/>
      <c r="C379" s="4" t="n"/>
      <c r="D379" s="4" t="n"/>
      <c r="E379" s="4" t="n"/>
      <c r="F379" s="5" t="n"/>
      <c r="G379" s="9">
        <f>IF(E379="","",E379*F379)</f>
        <v/>
      </c>
      <c r="H379" s="5" t="n"/>
      <c r="I379" s="9">
        <f>IF(G379="","",G379-IF(H379="",0,H379))</f>
        <v/>
      </c>
    </row>
    <row r="380">
      <c r="A380" t="n">
        <v>377</v>
      </c>
      <c r="B380" s="8" t="n"/>
      <c r="C380" s="4" t="n"/>
      <c r="D380" s="4" t="n"/>
      <c r="E380" s="4" t="n"/>
      <c r="F380" s="5" t="n"/>
      <c r="G380" s="9">
        <f>IF(E380="","",E380*F380)</f>
        <v/>
      </c>
      <c r="H380" s="5" t="n"/>
      <c r="I380" s="9">
        <f>IF(G380="","",G380-IF(H380="",0,H380))</f>
        <v/>
      </c>
    </row>
    <row r="381">
      <c r="A381" t="n">
        <v>378</v>
      </c>
      <c r="B381" s="8" t="n"/>
      <c r="C381" s="4" t="n"/>
      <c r="D381" s="4" t="n"/>
      <c r="E381" s="4" t="n"/>
      <c r="F381" s="5" t="n"/>
      <c r="G381" s="9">
        <f>IF(E381="","",E381*F381)</f>
        <v/>
      </c>
      <c r="H381" s="5" t="n"/>
      <c r="I381" s="9">
        <f>IF(G381="","",G381-IF(H381="",0,H381))</f>
        <v/>
      </c>
    </row>
    <row r="382">
      <c r="A382" t="n">
        <v>379</v>
      </c>
      <c r="B382" s="8" t="n"/>
      <c r="C382" s="4" t="n"/>
      <c r="D382" s="4" t="n"/>
      <c r="E382" s="4" t="n"/>
      <c r="F382" s="5" t="n"/>
      <c r="G382" s="9">
        <f>IF(E382="","",E382*F382)</f>
        <v/>
      </c>
      <c r="H382" s="5" t="n"/>
      <c r="I382" s="9">
        <f>IF(G382="","",G382-IF(H382="",0,H382))</f>
        <v/>
      </c>
    </row>
    <row r="383">
      <c r="A383" t="n">
        <v>380</v>
      </c>
      <c r="B383" s="8" t="n"/>
      <c r="C383" s="4" t="n"/>
      <c r="D383" s="4" t="n"/>
      <c r="E383" s="4" t="n"/>
      <c r="F383" s="5" t="n"/>
      <c r="G383" s="9">
        <f>IF(E383="","",E383*F383)</f>
        <v/>
      </c>
      <c r="H383" s="5" t="n"/>
      <c r="I383" s="9">
        <f>IF(G383="","",G383-IF(H383="",0,H383))</f>
        <v/>
      </c>
    </row>
    <row r="384">
      <c r="A384" t="n">
        <v>381</v>
      </c>
      <c r="B384" s="8" t="n"/>
      <c r="C384" s="4" t="n"/>
      <c r="D384" s="4" t="n"/>
      <c r="E384" s="4" t="n"/>
      <c r="F384" s="5" t="n"/>
      <c r="G384" s="9">
        <f>IF(E384="","",E384*F384)</f>
        <v/>
      </c>
      <c r="H384" s="5" t="n"/>
      <c r="I384" s="9">
        <f>IF(G384="","",G384-IF(H384="",0,H384))</f>
        <v/>
      </c>
    </row>
    <row r="385">
      <c r="A385" t="n">
        <v>382</v>
      </c>
      <c r="B385" s="8" t="n"/>
      <c r="C385" s="4" t="n"/>
      <c r="D385" s="4" t="n"/>
      <c r="E385" s="4" t="n"/>
      <c r="F385" s="5" t="n"/>
      <c r="G385" s="9">
        <f>IF(E385="","",E385*F385)</f>
        <v/>
      </c>
      <c r="H385" s="5" t="n"/>
      <c r="I385" s="9">
        <f>IF(G385="","",G385-IF(H385="",0,H385))</f>
        <v/>
      </c>
    </row>
    <row r="386">
      <c r="A386" t="n">
        <v>383</v>
      </c>
      <c r="B386" s="8" t="n"/>
      <c r="C386" s="4" t="n"/>
      <c r="D386" s="4" t="n"/>
      <c r="E386" s="4" t="n"/>
      <c r="F386" s="5" t="n"/>
      <c r="G386" s="9">
        <f>IF(E386="","",E386*F386)</f>
        <v/>
      </c>
      <c r="H386" s="5" t="n"/>
      <c r="I386" s="9">
        <f>IF(G386="","",G386-IF(H386="",0,H386))</f>
        <v/>
      </c>
    </row>
    <row r="387">
      <c r="A387" t="n">
        <v>384</v>
      </c>
      <c r="B387" s="8" t="n"/>
      <c r="C387" s="4" t="n"/>
      <c r="D387" s="4" t="n"/>
      <c r="E387" s="4" t="n"/>
      <c r="F387" s="5" t="n"/>
      <c r="G387" s="9">
        <f>IF(E387="","",E387*F387)</f>
        <v/>
      </c>
      <c r="H387" s="5" t="n"/>
      <c r="I387" s="9">
        <f>IF(G387="","",G387-IF(H387="",0,H387))</f>
        <v/>
      </c>
    </row>
    <row r="388">
      <c r="A388" t="n">
        <v>385</v>
      </c>
      <c r="B388" s="8" t="n"/>
      <c r="C388" s="4" t="n"/>
      <c r="D388" s="4" t="n"/>
      <c r="E388" s="4" t="n"/>
      <c r="F388" s="5" t="n"/>
      <c r="G388" s="9">
        <f>IF(E388="","",E388*F388)</f>
        <v/>
      </c>
      <c r="H388" s="5" t="n"/>
      <c r="I388" s="9">
        <f>IF(G388="","",G388-IF(H388="",0,H388))</f>
        <v/>
      </c>
    </row>
    <row r="389">
      <c r="A389" t="n">
        <v>386</v>
      </c>
      <c r="B389" s="8" t="n"/>
      <c r="C389" s="4" t="n"/>
      <c r="D389" s="4" t="n"/>
      <c r="E389" s="4" t="n"/>
      <c r="F389" s="5" t="n"/>
      <c r="G389" s="9">
        <f>IF(E389="","",E389*F389)</f>
        <v/>
      </c>
      <c r="H389" s="5" t="n"/>
      <c r="I389" s="9">
        <f>IF(G389="","",G389-IF(H389="",0,H389))</f>
        <v/>
      </c>
    </row>
    <row r="390">
      <c r="A390" t="n">
        <v>387</v>
      </c>
      <c r="B390" s="8" t="n"/>
      <c r="C390" s="4" t="n"/>
      <c r="D390" s="4" t="n"/>
      <c r="E390" s="4" t="n"/>
      <c r="F390" s="5" t="n"/>
      <c r="G390" s="9">
        <f>IF(E390="","",E390*F390)</f>
        <v/>
      </c>
      <c r="H390" s="5" t="n"/>
      <c r="I390" s="9">
        <f>IF(G390="","",G390-IF(H390="",0,H390))</f>
        <v/>
      </c>
    </row>
    <row r="391">
      <c r="A391" t="n">
        <v>388</v>
      </c>
      <c r="B391" s="8" t="n"/>
      <c r="C391" s="4" t="n"/>
      <c r="D391" s="4" t="n"/>
      <c r="E391" s="4" t="n"/>
      <c r="F391" s="5" t="n"/>
      <c r="G391" s="9">
        <f>IF(E391="","",E391*F391)</f>
        <v/>
      </c>
      <c r="H391" s="5" t="n"/>
      <c r="I391" s="9">
        <f>IF(G391="","",G391-IF(H391="",0,H391))</f>
        <v/>
      </c>
    </row>
    <row r="392">
      <c r="A392" t="n">
        <v>389</v>
      </c>
      <c r="B392" s="8" t="n"/>
      <c r="C392" s="4" t="n"/>
      <c r="D392" s="4" t="n"/>
      <c r="E392" s="4" t="n"/>
      <c r="F392" s="5" t="n"/>
      <c r="G392" s="9">
        <f>IF(E392="","",E392*F392)</f>
        <v/>
      </c>
      <c r="H392" s="5" t="n"/>
      <c r="I392" s="9">
        <f>IF(G392="","",G392-IF(H392="",0,H392))</f>
        <v/>
      </c>
    </row>
    <row r="393">
      <c r="A393" t="n">
        <v>390</v>
      </c>
      <c r="B393" s="8" t="n"/>
      <c r="C393" s="4" t="n"/>
      <c r="D393" s="4" t="n"/>
      <c r="E393" s="4" t="n"/>
      <c r="F393" s="5" t="n"/>
      <c r="G393" s="9">
        <f>IF(E393="","",E393*F393)</f>
        <v/>
      </c>
      <c r="H393" s="5" t="n"/>
      <c r="I393" s="9">
        <f>IF(G393="","",G393-IF(H393="",0,H393))</f>
        <v/>
      </c>
    </row>
    <row r="394">
      <c r="A394" t="n">
        <v>391</v>
      </c>
      <c r="B394" s="8" t="n"/>
      <c r="C394" s="4" t="n"/>
      <c r="D394" s="4" t="n"/>
      <c r="E394" s="4" t="n"/>
      <c r="F394" s="5" t="n"/>
      <c r="G394" s="9">
        <f>IF(E394="","",E394*F394)</f>
        <v/>
      </c>
      <c r="H394" s="5" t="n"/>
      <c r="I394" s="9">
        <f>IF(G394="","",G394-IF(H394="",0,H394))</f>
        <v/>
      </c>
    </row>
    <row r="395">
      <c r="A395" t="n">
        <v>392</v>
      </c>
      <c r="B395" s="8" t="n"/>
      <c r="C395" s="4" t="n"/>
      <c r="D395" s="4" t="n"/>
      <c r="E395" s="4" t="n"/>
      <c r="F395" s="5" t="n"/>
      <c r="G395" s="9">
        <f>IF(E395="","",E395*F395)</f>
        <v/>
      </c>
      <c r="H395" s="5" t="n"/>
      <c r="I395" s="9">
        <f>IF(G395="","",G395-IF(H395="",0,H395))</f>
        <v/>
      </c>
    </row>
    <row r="396">
      <c r="A396" t="n">
        <v>393</v>
      </c>
      <c r="B396" s="8" t="n"/>
      <c r="C396" s="4" t="n"/>
      <c r="D396" s="4" t="n"/>
      <c r="E396" s="4" t="n"/>
      <c r="F396" s="5" t="n"/>
      <c r="G396" s="9">
        <f>IF(E396="","",E396*F396)</f>
        <v/>
      </c>
      <c r="H396" s="5" t="n"/>
      <c r="I396" s="9">
        <f>IF(G396="","",G396-IF(H396="",0,H396))</f>
        <v/>
      </c>
    </row>
    <row r="397">
      <c r="A397" t="n">
        <v>394</v>
      </c>
      <c r="B397" s="8" t="n"/>
      <c r="C397" s="4" t="n"/>
      <c r="D397" s="4" t="n"/>
      <c r="E397" s="4" t="n"/>
      <c r="F397" s="5" t="n"/>
      <c r="G397" s="9">
        <f>IF(E397="","",E397*F397)</f>
        <v/>
      </c>
      <c r="H397" s="5" t="n"/>
      <c r="I397" s="9">
        <f>IF(G397="","",G397-IF(H397="",0,H397))</f>
        <v/>
      </c>
    </row>
    <row r="398">
      <c r="A398" t="n">
        <v>395</v>
      </c>
      <c r="B398" s="8" t="n"/>
      <c r="C398" s="4" t="n"/>
      <c r="D398" s="4" t="n"/>
      <c r="E398" s="4" t="n"/>
      <c r="F398" s="5" t="n"/>
      <c r="G398" s="9">
        <f>IF(E398="","",E398*F398)</f>
        <v/>
      </c>
      <c r="H398" s="5" t="n"/>
      <c r="I398" s="9">
        <f>IF(G398="","",G398-IF(H398="",0,H398))</f>
        <v/>
      </c>
    </row>
    <row r="399">
      <c r="A399" t="n">
        <v>396</v>
      </c>
      <c r="B399" s="8" t="n"/>
      <c r="C399" s="4" t="n"/>
      <c r="D399" s="4" t="n"/>
      <c r="E399" s="4" t="n"/>
      <c r="F399" s="5" t="n"/>
      <c r="G399" s="9">
        <f>IF(E399="","",E399*F399)</f>
        <v/>
      </c>
      <c r="H399" s="5" t="n"/>
      <c r="I399" s="9">
        <f>IF(G399="","",G399-IF(H399="",0,H399))</f>
        <v/>
      </c>
    </row>
    <row r="400">
      <c r="A400" t="n">
        <v>397</v>
      </c>
      <c r="B400" s="8" t="n"/>
      <c r="C400" s="4" t="n"/>
      <c r="D400" s="4" t="n"/>
      <c r="E400" s="4" t="n"/>
      <c r="F400" s="5" t="n"/>
      <c r="G400" s="9">
        <f>IF(E400="","",E400*F400)</f>
        <v/>
      </c>
      <c r="H400" s="5" t="n"/>
      <c r="I400" s="9">
        <f>IF(G400="","",G400-IF(H400="",0,H400))</f>
        <v/>
      </c>
    </row>
    <row r="401">
      <c r="A401" t="n">
        <v>398</v>
      </c>
      <c r="B401" s="8" t="n"/>
      <c r="C401" s="4" t="n"/>
      <c r="D401" s="4" t="n"/>
      <c r="E401" s="4" t="n"/>
      <c r="F401" s="5" t="n"/>
      <c r="G401" s="9">
        <f>IF(E401="","",E401*F401)</f>
        <v/>
      </c>
      <c r="H401" s="5" t="n"/>
      <c r="I401" s="9">
        <f>IF(G401="","",G401-IF(H401="",0,H401))</f>
        <v/>
      </c>
    </row>
    <row r="402">
      <c r="A402" t="n">
        <v>399</v>
      </c>
      <c r="B402" s="8" t="n"/>
      <c r="C402" s="4" t="n"/>
      <c r="D402" s="4" t="n"/>
      <c r="E402" s="4" t="n"/>
      <c r="F402" s="5" t="n"/>
      <c r="G402" s="9">
        <f>IF(E402="","",E402*F402)</f>
        <v/>
      </c>
      <c r="H402" s="5" t="n"/>
      <c r="I402" s="9">
        <f>IF(G402="","",G402-IF(H402="",0,H402))</f>
        <v/>
      </c>
    </row>
    <row r="403">
      <c r="A403" t="n">
        <v>400</v>
      </c>
      <c r="B403" s="8" t="n"/>
      <c r="C403" s="4" t="n"/>
      <c r="D403" s="4" t="n"/>
      <c r="E403" s="4" t="n"/>
      <c r="F403" s="5" t="n"/>
      <c r="G403" s="9">
        <f>IF(E403="","",E403*F403)</f>
        <v/>
      </c>
      <c r="H403" s="5" t="n"/>
      <c r="I403" s="9">
        <f>IF(G403="","",G403-IF(H403="",0,H403))</f>
        <v/>
      </c>
    </row>
    <row r="404">
      <c r="A404" t="n">
        <v>401</v>
      </c>
      <c r="B404" s="8" t="n"/>
      <c r="C404" s="4" t="n"/>
      <c r="D404" s="4" t="n"/>
      <c r="E404" s="4" t="n"/>
      <c r="F404" s="5" t="n"/>
      <c r="G404" s="9">
        <f>IF(E404="","",E404*F404)</f>
        <v/>
      </c>
      <c r="H404" s="5" t="n"/>
      <c r="I404" s="9">
        <f>IF(G404="","",G404-IF(H404="",0,H404))</f>
        <v/>
      </c>
    </row>
    <row r="405">
      <c r="A405" t="n">
        <v>402</v>
      </c>
      <c r="B405" s="8" t="n"/>
      <c r="C405" s="4" t="n"/>
      <c r="D405" s="4" t="n"/>
      <c r="E405" s="4" t="n"/>
      <c r="F405" s="5" t="n"/>
      <c r="G405" s="9">
        <f>IF(E405="","",E405*F405)</f>
        <v/>
      </c>
      <c r="H405" s="5" t="n"/>
      <c r="I405" s="9">
        <f>IF(G405="","",G405-IF(H405="",0,H405))</f>
        <v/>
      </c>
    </row>
    <row r="406">
      <c r="A406" t="n">
        <v>403</v>
      </c>
      <c r="B406" s="8" t="n"/>
      <c r="C406" s="4" t="n"/>
      <c r="D406" s="4" t="n"/>
      <c r="E406" s="4" t="n"/>
      <c r="F406" s="5" t="n"/>
      <c r="G406" s="9">
        <f>IF(E406="","",E406*F406)</f>
        <v/>
      </c>
      <c r="H406" s="5" t="n"/>
      <c r="I406" s="9">
        <f>IF(G406="","",G406-IF(H406="",0,H406))</f>
        <v/>
      </c>
    </row>
    <row r="407">
      <c r="A407" t="n">
        <v>404</v>
      </c>
      <c r="B407" s="8" t="n"/>
      <c r="C407" s="4" t="n"/>
      <c r="D407" s="4" t="n"/>
      <c r="E407" s="4" t="n"/>
      <c r="F407" s="5" t="n"/>
      <c r="G407" s="9">
        <f>IF(E407="","",E407*F407)</f>
        <v/>
      </c>
      <c r="H407" s="5" t="n"/>
      <c r="I407" s="9">
        <f>IF(G407="","",G407-IF(H407="",0,H407))</f>
        <v/>
      </c>
    </row>
    <row r="408">
      <c r="A408" t="n">
        <v>405</v>
      </c>
      <c r="B408" s="8" t="n"/>
      <c r="C408" s="4" t="n"/>
      <c r="D408" s="4" t="n"/>
      <c r="E408" s="4" t="n"/>
      <c r="F408" s="5" t="n"/>
      <c r="G408" s="9">
        <f>IF(E408="","",E408*F408)</f>
        <v/>
      </c>
      <c r="H408" s="5" t="n"/>
      <c r="I408" s="9">
        <f>IF(G408="","",G408-IF(H408="",0,H408))</f>
        <v/>
      </c>
    </row>
    <row r="409">
      <c r="A409" t="n">
        <v>406</v>
      </c>
      <c r="B409" s="8" t="n"/>
      <c r="C409" s="4" t="n"/>
      <c r="D409" s="4" t="n"/>
      <c r="E409" s="4" t="n"/>
      <c r="F409" s="5" t="n"/>
      <c r="G409" s="9">
        <f>IF(E409="","",E409*F409)</f>
        <v/>
      </c>
      <c r="H409" s="5" t="n"/>
      <c r="I409" s="9">
        <f>IF(G409="","",G409-IF(H409="",0,H409))</f>
        <v/>
      </c>
    </row>
    <row r="410">
      <c r="A410" t="n">
        <v>407</v>
      </c>
      <c r="B410" s="8" t="n"/>
      <c r="C410" s="4" t="n"/>
      <c r="D410" s="4" t="n"/>
      <c r="E410" s="4" t="n"/>
      <c r="F410" s="5" t="n"/>
      <c r="G410" s="9">
        <f>IF(E410="","",E410*F410)</f>
        <v/>
      </c>
      <c r="H410" s="5" t="n"/>
      <c r="I410" s="9">
        <f>IF(G410="","",G410-IF(H410="",0,H410))</f>
        <v/>
      </c>
    </row>
    <row r="411">
      <c r="A411" t="n">
        <v>408</v>
      </c>
      <c r="B411" s="8" t="n"/>
      <c r="C411" s="4" t="n"/>
      <c r="D411" s="4" t="n"/>
      <c r="E411" s="4" t="n"/>
      <c r="F411" s="5" t="n"/>
      <c r="G411" s="9">
        <f>IF(E411="","",E411*F411)</f>
        <v/>
      </c>
      <c r="H411" s="5" t="n"/>
      <c r="I411" s="9">
        <f>IF(G411="","",G411-IF(H411="",0,H411))</f>
        <v/>
      </c>
    </row>
    <row r="412">
      <c r="A412" t="n">
        <v>409</v>
      </c>
      <c r="B412" s="8" t="n"/>
      <c r="C412" s="4" t="n"/>
      <c r="D412" s="4" t="n"/>
      <c r="E412" s="4" t="n"/>
      <c r="F412" s="5" t="n"/>
      <c r="G412" s="9">
        <f>IF(E412="","",E412*F412)</f>
        <v/>
      </c>
      <c r="H412" s="5" t="n"/>
      <c r="I412" s="9">
        <f>IF(G412="","",G412-IF(H412="",0,H412))</f>
        <v/>
      </c>
    </row>
    <row r="413">
      <c r="A413" t="n">
        <v>410</v>
      </c>
      <c r="B413" s="8" t="n"/>
      <c r="C413" s="4" t="n"/>
      <c r="D413" s="4" t="n"/>
      <c r="E413" s="4" t="n"/>
      <c r="F413" s="5" t="n"/>
      <c r="G413" s="9">
        <f>IF(E413="","",E413*F413)</f>
        <v/>
      </c>
      <c r="H413" s="5" t="n"/>
      <c r="I413" s="9">
        <f>IF(G413="","",G413-IF(H413="",0,H413))</f>
        <v/>
      </c>
    </row>
    <row r="414">
      <c r="A414" t="n">
        <v>411</v>
      </c>
      <c r="B414" s="8" t="n"/>
      <c r="C414" s="4" t="n"/>
      <c r="D414" s="4" t="n"/>
      <c r="E414" s="4" t="n"/>
      <c r="F414" s="5" t="n"/>
      <c r="G414" s="9">
        <f>IF(E414="","",E414*F414)</f>
        <v/>
      </c>
      <c r="H414" s="5" t="n"/>
      <c r="I414" s="9">
        <f>IF(G414="","",G414-IF(H414="",0,H414))</f>
        <v/>
      </c>
    </row>
    <row r="415">
      <c r="A415" t="n">
        <v>412</v>
      </c>
      <c r="B415" s="8" t="n"/>
      <c r="C415" s="4" t="n"/>
      <c r="D415" s="4" t="n"/>
      <c r="E415" s="4" t="n"/>
      <c r="F415" s="5" t="n"/>
      <c r="G415" s="9">
        <f>IF(E415="","",E415*F415)</f>
        <v/>
      </c>
      <c r="H415" s="5" t="n"/>
      <c r="I415" s="9">
        <f>IF(G415="","",G415-IF(H415="",0,H415))</f>
        <v/>
      </c>
    </row>
    <row r="416">
      <c r="A416" t="n">
        <v>413</v>
      </c>
      <c r="B416" s="8" t="n"/>
      <c r="C416" s="4" t="n"/>
      <c r="D416" s="4" t="n"/>
      <c r="E416" s="4" t="n"/>
      <c r="F416" s="5" t="n"/>
      <c r="G416" s="9">
        <f>IF(E416="","",E416*F416)</f>
        <v/>
      </c>
      <c r="H416" s="5" t="n"/>
      <c r="I416" s="9">
        <f>IF(G416="","",G416-IF(H416="",0,H416))</f>
        <v/>
      </c>
    </row>
    <row r="417">
      <c r="A417" t="n">
        <v>414</v>
      </c>
      <c r="B417" s="8" t="n"/>
      <c r="C417" s="4" t="n"/>
      <c r="D417" s="4" t="n"/>
      <c r="E417" s="4" t="n"/>
      <c r="F417" s="5" t="n"/>
      <c r="G417" s="9">
        <f>IF(E417="","",E417*F417)</f>
        <v/>
      </c>
      <c r="H417" s="5" t="n"/>
      <c r="I417" s="9">
        <f>IF(G417="","",G417-IF(H417="",0,H417))</f>
        <v/>
      </c>
    </row>
    <row r="418">
      <c r="A418" t="n">
        <v>415</v>
      </c>
      <c r="B418" s="8" t="n"/>
      <c r="C418" s="4" t="n"/>
      <c r="D418" s="4" t="n"/>
      <c r="E418" s="4" t="n"/>
      <c r="F418" s="5" t="n"/>
      <c r="G418" s="9">
        <f>IF(E418="","",E418*F418)</f>
        <v/>
      </c>
      <c r="H418" s="5" t="n"/>
      <c r="I418" s="9">
        <f>IF(G418="","",G418-IF(H418="",0,H418))</f>
        <v/>
      </c>
    </row>
    <row r="419">
      <c r="A419" t="n">
        <v>416</v>
      </c>
      <c r="B419" s="8" t="n"/>
      <c r="C419" s="4" t="n"/>
      <c r="D419" s="4" t="n"/>
      <c r="E419" s="4" t="n"/>
      <c r="F419" s="5" t="n"/>
      <c r="G419" s="9">
        <f>IF(E419="","",E419*F419)</f>
        <v/>
      </c>
      <c r="H419" s="5" t="n"/>
      <c r="I419" s="9">
        <f>IF(G419="","",G419-IF(H419="",0,H419))</f>
        <v/>
      </c>
    </row>
    <row r="420">
      <c r="A420" t="n">
        <v>417</v>
      </c>
      <c r="B420" s="8" t="n"/>
      <c r="C420" s="4" t="n"/>
      <c r="D420" s="4" t="n"/>
      <c r="E420" s="4" t="n"/>
      <c r="F420" s="5" t="n"/>
      <c r="G420" s="9">
        <f>IF(E420="","",E420*F420)</f>
        <v/>
      </c>
      <c r="H420" s="5" t="n"/>
      <c r="I420" s="9">
        <f>IF(G420="","",G420-IF(H420="",0,H420))</f>
        <v/>
      </c>
    </row>
    <row r="421">
      <c r="A421" t="n">
        <v>418</v>
      </c>
      <c r="B421" s="8" t="n"/>
      <c r="C421" s="4" t="n"/>
      <c r="D421" s="4" t="n"/>
      <c r="E421" s="4" t="n"/>
      <c r="F421" s="5" t="n"/>
      <c r="G421" s="9">
        <f>IF(E421="","",E421*F421)</f>
        <v/>
      </c>
      <c r="H421" s="5" t="n"/>
      <c r="I421" s="9">
        <f>IF(G421="","",G421-IF(H421="",0,H421))</f>
        <v/>
      </c>
    </row>
    <row r="422">
      <c r="A422" t="n">
        <v>419</v>
      </c>
      <c r="B422" s="8" t="n"/>
      <c r="C422" s="4" t="n"/>
      <c r="D422" s="4" t="n"/>
      <c r="E422" s="4" t="n"/>
      <c r="F422" s="5" t="n"/>
      <c r="G422" s="9">
        <f>IF(E422="","",E422*F422)</f>
        <v/>
      </c>
      <c r="H422" s="5" t="n"/>
      <c r="I422" s="9">
        <f>IF(G422="","",G422-IF(H422="",0,H422))</f>
        <v/>
      </c>
    </row>
    <row r="423">
      <c r="A423" t="n">
        <v>420</v>
      </c>
      <c r="B423" s="8" t="n"/>
      <c r="C423" s="4" t="n"/>
      <c r="D423" s="4" t="n"/>
      <c r="E423" s="4" t="n"/>
      <c r="F423" s="5" t="n"/>
      <c r="G423" s="9">
        <f>IF(E423="","",E423*F423)</f>
        <v/>
      </c>
      <c r="H423" s="5" t="n"/>
      <c r="I423" s="9">
        <f>IF(G423="","",G423-IF(H423="",0,H423))</f>
        <v/>
      </c>
    </row>
    <row r="424">
      <c r="A424" t="n">
        <v>421</v>
      </c>
      <c r="B424" s="8" t="n"/>
      <c r="C424" s="4" t="n"/>
      <c r="D424" s="4" t="n"/>
      <c r="E424" s="4" t="n"/>
      <c r="F424" s="5" t="n"/>
      <c r="G424" s="9">
        <f>IF(E424="","",E424*F424)</f>
        <v/>
      </c>
      <c r="H424" s="5" t="n"/>
      <c r="I424" s="9">
        <f>IF(G424="","",G424-IF(H424="",0,H424))</f>
        <v/>
      </c>
    </row>
    <row r="425">
      <c r="A425" t="n">
        <v>422</v>
      </c>
      <c r="B425" s="8" t="n"/>
      <c r="C425" s="4" t="n"/>
      <c r="D425" s="4" t="n"/>
      <c r="E425" s="4" t="n"/>
      <c r="F425" s="5" t="n"/>
      <c r="G425" s="9">
        <f>IF(E425="","",E425*F425)</f>
        <v/>
      </c>
      <c r="H425" s="5" t="n"/>
      <c r="I425" s="9">
        <f>IF(G425="","",G425-IF(H425="",0,H425))</f>
        <v/>
      </c>
    </row>
    <row r="426">
      <c r="A426" t="n">
        <v>423</v>
      </c>
      <c r="B426" s="8" t="n"/>
      <c r="C426" s="4" t="n"/>
      <c r="D426" s="4" t="n"/>
      <c r="E426" s="4" t="n"/>
      <c r="F426" s="5" t="n"/>
      <c r="G426" s="9">
        <f>IF(E426="","",E426*F426)</f>
        <v/>
      </c>
      <c r="H426" s="5" t="n"/>
      <c r="I426" s="9">
        <f>IF(G426="","",G426-IF(H426="",0,H426))</f>
        <v/>
      </c>
    </row>
    <row r="427">
      <c r="A427" t="n">
        <v>424</v>
      </c>
      <c r="B427" s="8" t="n"/>
      <c r="C427" s="4" t="n"/>
      <c r="D427" s="4" t="n"/>
      <c r="E427" s="4" t="n"/>
      <c r="F427" s="5" t="n"/>
      <c r="G427" s="9">
        <f>IF(E427="","",E427*F427)</f>
        <v/>
      </c>
      <c r="H427" s="5" t="n"/>
      <c r="I427" s="9">
        <f>IF(G427="","",G427-IF(H427="",0,H427))</f>
        <v/>
      </c>
    </row>
    <row r="428">
      <c r="A428" t="n">
        <v>425</v>
      </c>
      <c r="B428" s="8" t="n"/>
      <c r="C428" s="4" t="n"/>
      <c r="D428" s="4" t="n"/>
      <c r="E428" s="4" t="n"/>
      <c r="F428" s="5" t="n"/>
      <c r="G428" s="9">
        <f>IF(E428="","",E428*F428)</f>
        <v/>
      </c>
      <c r="H428" s="5" t="n"/>
      <c r="I428" s="9">
        <f>IF(G428="","",G428-IF(H428="",0,H428))</f>
        <v/>
      </c>
    </row>
    <row r="429">
      <c r="A429" t="n">
        <v>426</v>
      </c>
      <c r="B429" s="8" t="n"/>
      <c r="C429" s="4" t="n"/>
      <c r="D429" s="4" t="n"/>
      <c r="E429" s="4" t="n"/>
      <c r="F429" s="5" t="n"/>
      <c r="G429" s="9">
        <f>IF(E429="","",E429*F429)</f>
        <v/>
      </c>
      <c r="H429" s="5" t="n"/>
      <c r="I429" s="9">
        <f>IF(G429="","",G429-IF(H429="",0,H429))</f>
        <v/>
      </c>
    </row>
    <row r="430">
      <c r="A430" t="n">
        <v>427</v>
      </c>
      <c r="B430" s="8" t="n"/>
      <c r="C430" s="4" t="n"/>
      <c r="D430" s="4" t="n"/>
      <c r="E430" s="4" t="n"/>
      <c r="F430" s="5" t="n"/>
      <c r="G430" s="9">
        <f>IF(E430="","",E430*F430)</f>
        <v/>
      </c>
      <c r="H430" s="5" t="n"/>
      <c r="I430" s="9">
        <f>IF(G430="","",G430-IF(H430="",0,H430))</f>
        <v/>
      </c>
    </row>
    <row r="431">
      <c r="A431" t="n">
        <v>428</v>
      </c>
      <c r="B431" s="8" t="n"/>
      <c r="C431" s="4" t="n"/>
      <c r="D431" s="4" t="n"/>
      <c r="E431" s="4" t="n"/>
      <c r="F431" s="5" t="n"/>
      <c r="G431" s="9">
        <f>IF(E431="","",E431*F431)</f>
        <v/>
      </c>
      <c r="H431" s="5" t="n"/>
      <c r="I431" s="9">
        <f>IF(G431="","",G431-IF(H431="",0,H431))</f>
        <v/>
      </c>
    </row>
    <row r="432">
      <c r="A432" t="n">
        <v>429</v>
      </c>
      <c r="B432" s="8" t="n"/>
      <c r="C432" s="4" t="n"/>
      <c r="D432" s="4" t="n"/>
      <c r="E432" s="4" t="n"/>
      <c r="F432" s="5" t="n"/>
      <c r="G432" s="9">
        <f>IF(E432="","",E432*F432)</f>
        <v/>
      </c>
      <c r="H432" s="5" t="n"/>
      <c r="I432" s="9">
        <f>IF(G432="","",G432-IF(H432="",0,H432))</f>
        <v/>
      </c>
    </row>
    <row r="433">
      <c r="A433" t="n">
        <v>430</v>
      </c>
      <c r="B433" s="8" t="n"/>
      <c r="C433" s="4" t="n"/>
      <c r="D433" s="4" t="n"/>
      <c r="E433" s="4" t="n"/>
      <c r="F433" s="5" t="n"/>
      <c r="G433" s="9">
        <f>IF(E433="","",E433*F433)</f>
        <v/>
      </c>
      <c r="H433" s="5" t="n"/>
      <c r="I433" s="9">
        <f>IF(G433="","",G433-IF(H433="",0,H433))</f>
        <v/>
      </c>
    </row>
    <row r="434">
      <c r="A434" t="n">
        <v>431</v>
      </c>
      <c r="B434" s="8" t="n"/>
      <c r="C434" s="4" t="n"/>
      <c r="D434" s="4" t="n"/>
      <c r="E434" s="4" t="n"/>
      <c r="F434" s="5" t="n"/>
      <c r="G434" s="9">
        <f>IF(E434="","",E434*F434)</f>
        <v/>
      </c>
      <c r="H434" s="5" t="n"/>
      <c r="I434" s="9">
        <f>IF(G434="","",G434-IF(H434="",0,H434))</f>
        <v/>
      </c>
    </row>
    <row r="435">
      <c r="A435" t="n">
        <v>432</v>
      </c>
      <c r="B435" s="8" t="n"/>
      <c r="C435" s="4" t="n"/>
      <c r="D435" s="4" t="n"/>
      <c r="E435" s="4" t="n"/>
      <c r="F435" s="5" t="n"/>
      <c r="G435" s="9">
        <f>IF(E435="","",E435*F435)</f>
        <v/>
      </c>
      <c r="H435" s="5" t="n"/>
      <c r="I435" s="9">
        <f>IF(G435="","",G435-IF(H435="",0,H435))</f>
        <v/>
      </c>
    </row>
    <row r="436">
      <c r="A436" t="n">
        <v>433</v>
      </c>
      <c r="B436" s="8" t="n"/>
      <c r="C436" s="4" t="n"/>
      <c r="D436" s="4" t="n"/>
      <c r="E436" s="4" t="n"/>
      <c r="F436" s="5" t="n"/>
      <c r="G436" s="9">
        <f>IF(E436="","",E436*F436)</f>
        <v/>
      </c>
      <c r="H436" s="5" t="n"/>
      <c r="I436" s="9">
        <f>IF(G436="","",G436-IF(H436="",0,H436))</f>
        <v/>
      </c>
    </row>
    <row r="437">
      <c r="A437" t="n">
        <v>434</v>
      </c>
      <c r="B437" s="8" t="n"/>
      <c r="C437" s="4" t="n"/>
      <c r="D437" s="4" t="n"/>
      <c r="E437" s="4" t="n"/>
      <c r="F437" s="5" t="n"/>
      <c r="G437" s="9">
        <f>IF(E437="","",E437*F437)</f>
        <v/>
      </c>
      <c r="H437" s="5" t="n"/>
      <c r="I437" s="9">
        <f>IF(G437="","",G437-IF(H437="",0,H437))</f>
        <v/>
      </c>
    </row>
    <row r="438">
      <c r="A438" t="n">
        <v>435</v>
      </c>
      <c r="B438" s="8" t="n"/>
      <c r="C438" s="4" t="n"/>
      <c r="D438" s="4" t="n"/>
      <c r="E438" s="4" t="n"/>
      <c r="F438" s="5" t="n"/>
      <c r="G438" s="9">
        <f>IF(E438="","",E438*F438)</f>
        <v/>
      </c>
      <c r="H438" s="5" t="n"/>
      <c r="I438" s="9">
        <f>IF(G438="","",G438-IF(H438="",0,H438))</f>
        <v/>
      </c>
    </row>
    <row r="439">
      <c r="A439" t="n">
        <v>436</v>
      </c>
      <c r="B439" s="8" t="n"/>
      <c r="C439" s="4" t="n"/>
      <c r="D439" s="4" t="n"/>
      <c r="E439" s="4" t="n"/>
      <c r="F439" s="5" t="n"/>
      <c r="G439" s="9">
        <f>IF(E439="","",E439*F439)</f>
        <v/>
      </c>
      <c r="H439" s="5" t="n"/>
      <c r="I439" s="9">
        <f>IF(G439="","",G439-IF(H439="",0,H439))</f>
        <v/>
      </c>
    </row>
    <row r="440">
      <c r="A440" t="n">
        <v>437</v>
      </c>
      <c r="B440" s="8" t="n"/>
      <c r="C440" s="4" t="n"/>
      <c r="D440" s="4" t="n"/>
      <c r="E440" s="4" t="n"/>
      <c r="F440" s="5" t="n"/>
      <c r="G440" s="9">
        <f>IF(E440="","",E440*F440)</f>
        <v/>
      </c>
      <c r="H440" s="5" t="n"/>
      <c r="I440" s="9">
        <f>IF(G440="","",G440-IF(H440="",0,H440))</f>
        <v/>
      </c>
    </row>
    <row r="441">
      <c r="A441" t="n">
        <v>438</v>
      </c>
      <c r="B441" s="8" t="n"/>
      <c r="C441" s="4" t="n"/>
      <c r="D441" s="4" t="n"/>
      <c r="E441" s="4" t="n"/>
      <c r="F441" s="5" t="n"/>
      <c r="G441" s="9">
        <f>IF(E441="","",E441*F441)</f>
        <v/>
      </c>
      <c r="H441" s="5" t="n"/>
      <c r="I441" s="9">
        <f>IF(G441="","",G441-IF(H441="",0,H441))</f>
        <v/>
      </c>
    </row>
    <row r="442">
      <c r="A442" t="n">
        <v>439</v>
      </c>
      <c r="B442" s="8" t="n"/>
      <c r="C442" s="4" t="n"/>
      <c r="D442" s="4" t="n"/>
      <c r="E442" s="4" t="n"/>
      <c r="F442" s="5" t="n"/>
      <c r="G442" s="9">
        <f>IF(E442="","",E442*F442)</f>
        <v/>
      </c>
      <c r="H442" s="5" t="n"/>
      <c r="I442" s="9">
        <f>IF(G442="","",G442-IF(H442="",0,H442))</f>
        <v/>
      </c>
    </row>
    <row r="443">
      <c r="A443" t="n">
        <v>440</v>
      </c>
      <c r="B443" s="8" t="n"/>
      <c r="C443" s="4" t="n"/>
      <c r="D443" s="4" t="n"/>
      <c r="E443" s="4" t="n"/>
      <c r="F443" s="5" t="n"/>
      <c r="G443" s="9">
        <f>IF(E443="","",E443*F443)</f>
        <v/>
      </c>
      <c r="H443" s="5" t="n"/>
      <c r="I443" s="9">
        <f>IF(G443="","",G443-IF(H443="",0,H443))</f>
        <v/>
      </c>
    </row>
    <row r="444">
      <c r="A444" t="n">
        <v>441</v>
      </c>
      <c r="B444" s="8" t="n"/>
      <c r="C444" s="4" t="n"/>
      <c r="D444" s="4" t="n"/>
      <c r="E444" s="4" t="n"/>
      <c r="F444" s="5" t="n"/>
      <c r="G444" s="9">
        <f>IF(E444="","",E444*F444)</f>
        <v/>
      </c>
      <c r="H444" s="5" t="n"/>
      <c r="I444" s="9">
        <f>IF(G444="","",G444-IF(H444="",0,H444))</f>
        <v/>
      </c>
    </row>
    <row r="445">
      <c r="A445" t="n">
        <v>442</v>
      </c>
      <c r="B445" s="8" t="n"/>
      <c r="C445" s="4" t="n"/>
      <c r="D445" s="4" t="n"/>
      <c r="E445" s="4" t="n"/>
      <c r="F445" s="5" t="n"/>
      <c r="G445" s="9">
        <f>IF(E445="","",E445*F445)</f>
        <v/>
      </c>
      <c r="H445" s="5" t="n"/>
      <c r="I445" s="9">
        <f>IF(G445="","",G445-IF(H445="",0,H445))</f>
        <v/>
      </c>
    </row>
    <row r="446">
      <c r="A446" t="n">
        <v>443</v>
      </c>
      <c r="B446" s="8" t="n"/>
      <c r="C446" s="4" t="n"/>
      <c r="D446" s="4" t="n"/>
      <c r="E446" s="4" t="n"/>
      <c r="F446" s="5" t="n"/>
      <c r="G446" s="9">
        <f>IF(E446="","",E446*F446)</f>
        <v/>
      </c>
      <c r="H446" s="5" t="n"/>
      <c r="I446" s="9">
        <f>IF(G446="","",G446-IF(H446="",0,H446))</f>
        <v/>
      </c>
    </row>
    <row r="447">
      <c r="A447" t="n">
        <v>444</v>
      </c>
      <c r="B447" s="8" t="n"/>
      <c r="C447" s="4" t="n"/>
      <c r="D447" s="4" t="n"/>
      <c r="E447" s="4" t="n"/>
      <c r="F447" s="5" t="n"/>
      <c r="G447" s="9">
        <f>IF(E447="","",E447*F447)</f>
        <v/>
      </c>
      <c r="H447" s="5" t="n"/>
      <c r="I447" s="9">
        <f>IF(G447="","",G447-IF(H447="",0,H447))</f>
        <v/>
      </c>
    </row>
    <row r="448">
      <c r="A448" t="n">
        <v>445</v>
      </c>
      <c r="B448" s="8" t="n"/>
      <c r="C448" s="4" t="n"/>
      <c r="D448" s="4" t="n"/>
      <c r="E448" s="4" t="n"/>
      <c r="F448" s="5" t="n"/>
      <c r="G448" s="9">
        <f>IF(E448="","",E448*F448)</f>
        <v/>
      </c>
      <c r="H448" s="5" t="n"/>
      <c r="I448" s="9">
        <f>IF(G448="","",G448-IF(H448="",0,H448))</f>
        <v/>
      </c>
    </row>
    <row r="449">
      <c r="A449" t="n">
        <v>446</v>
      </c>
      <c r="B449" s="8" t="n"/>
      <c r="C449" s="4" t="n"/>
      <c r="D449" s="4" t="n"/>
      <c r="E449" s="4" t="n"/>
      <c r="F449" s="5" t="n"/>
      <c r="G449" s="9">
        <f>IF(E449="","",E449*F449)</f>
        <v/>
      </c>
      <c r="H449" s="5" t="n"/>
      <c r="I449" s="9">
        <f>IF(G449="","",G449-IF(H449="",0,H449))</f>
        <v/>
      </c>
    </row>
    <row r="450">
      <c r="A450" t="n">
        <v>447</v>
      </c>
      <c r="B450" s="8" t="n"/>
      <c r="C450" s="4" t="n"/>
      <c r="D450" s="4" t="n"/>
      <c r="E450" s="4" t="n"/>
      <c r="F450" s="5" t="n"/>
      <c r="G450" s="9">
        <f>IF(E450="","",E450*F450)</f>
        <v/>
      </c>
      <c r="H450" s="5" t="n"/>
      <c r="I450" s="9">
        <f>IF(G450="","",G450-IF(H450="",0,H450))</f>
        <v/>
      </c>
    </row>
    <row r="451">
      <c r="A451" t="n">
        <v>448</v>
      </c>
      <c r="B451" s="8" t="n"/>
      <c r="C451" s="4" t="n"/>
      <c r="D451" s="4" t="n"/>
      <c r="E451" s="4" t="n"/>
      <c r="F451" s="5" t="n"/>
      <c r="G451" s="9">
        <f>IF(E451="","",E451*F451)</f>
        <v/>
      </c>
      <c r="H451" s="5" t="n"/>
      <c r="I451" s="9">
        <f>IF(G451="","",G451-IF(H451="",0,H451))</f>
        <v/>
      </c>
    </row>
    <row r="452">
      <c r="A452" t="n">
        <v>449</v>
      </c>
      <c r="B452" s="8" t="n"/>
      <c r="C452" s="4" t="n"/>
      <c r="D452" s="4" t="n"/>
      <c r="E452" s="4" t="n"/>
      <c r="F452" s="5" t="n"/>
      <c r="G452" s="9">
        <f>IF(E452="","",E452*F452)</f>
        <v/>
      </c>
      <c r="H452" s="5" t="n"/>
      <c r="I452" s="9">
        <f>IF(G452="","",G452-IF(H452="",0,H452))</f>
        <v/>
      </c>
    </row>
    <row r="453">
      <c r="A453" t="n">
        <v>450</v>
      </c>
      <c r="B453" s="8" t="n"/>
      <c r="C453" s="4" t="n"/>
      <c r="D453" s="4" t="n"/>
      <c r="E453" s="4" t="n"/>
      <c r="F453" s="5" t="n"/>
      <c r="G453" s="9">
        <f>IF(E453="","",E453*F453)</f>
        <v/>
      </c>
      <c r="H453" s="5" t="n"/>
      <c r="I453" s="9">
        <f>IF(G453="","",G453-IF(H453="",0,H453))</f>
        <v/>
      </c>
    </row>
    <row r="454">
      <c r="A454" t="n">
        <v>451</v>
      </c>
      <c r="B454" s="8" t="n"/>
      <c r="C454" s="4" t="n"/>
      <c r="D454" s="4" t="n"/>
      <c r="E454" s="4" t="n"/>
      <c r="F454" s="5" t="n"/>
      <c r="G454" s="9">
        <f>IF(E454="","",E454*F454)</f>
        <v/>
      </c>
      <c r="H454" s="5" t="n"/>
      <c r="I454" s="9">
        <f>IF(G454="","",G454-IF(H454="",0,H454))</f>
        <v/>
      </c>
    </row>
    <row r="455">
      <c r="A455" t="n">
        <v>452</v>
      </c>
      <c r="B455" s="8" t="n"/>
      <c r="C455" s="4" t="n"/>
      <c r="D455" s="4" t="n"/>
      <c r="E455" s="4" t="n"/>
      <c r="F455" s="5" t="n"/>
      <c r="G455" s="9">
        <f>IF(E455="","",E455*F455)</f>
        <v/>
      </c>
      <c r="H455" s="5" t="n"/>
      <c r="I455" s="9">
        <f>IF(G455="","",G455-IF(H455="",0,H455))</f>
        <v/>
      </c>
    </row>
    <row r="456">
      <c r="A456" t="n">
        <v>453</v>
      </c>
      <c r="B456" s="8" t="n"/>
      <c r="C456" s="4" t="n"/>
      <c r="D456" s="4" t="n"/>
      <c r="E456" s="4" t="n"/>
      <c r="F456" s="5" t="n"/>
      <c r="G456" s="9">
        <f>IF(E456="","",E456*F456)</f>
        <v/>
      </c>
      <c r="H456" s="5" t="n"/>
      <c r="I456" s="9">
        <f>IF(G456="","",G456-IF(H456="",0,H456))</f>
        <v/>
      </c>
    </row>
    <row r="457">
      <c r="A457" t="n">
        <v>454</v>
      </c>
      <c r="B457" s="8" t="n"/>
      <c r="C457" s="4" t="n"/>
      <c r="D457" s="4" t="n"/>
      <c r="E457" s="4" t="n"/>
      <c r="F457" s="5" t="n"/>
      <c r="G457" s="9">
        <f>IF(E457="","",E457*F457)</f>
        <v/>
      </c>
      <c r="H457" s="5" t="n"/>
      <c r="I457" s="9">
        <f>IF(G457="","",G457-IF(H457="",0,H457))</f>
        <v/>
      </c>
    </row>
    <row r="458">
      <c r="A458" t="n">
        <v>455</v>
      </c>
      <c r="B458" s="8" t="n"/>
      <c r="C458" s="4" t="n"/>
      <c r="D458" s="4" t="n"/>
      <c r="E458" s="4" t="n"/>
      <c r="F458" s="5" t="n"/>
      <c r="G458" s="9">
        <f>IF(E458="","",E458*F458)</f>
        <v/>
      </c>
      <c r="H458" s="5" t="n"/>
      <c r="I458" s="9">
        <f>IF(G458="","",G458-IF(H458="",0,H458))</f>
        <v/>
      </c>
    </row>
    <row r="459">
      <c r="A459" t="n">
        <v>456</v>
      </c>
      <c r="B459" s="8" t="n"/>
      <c r="C459" s="4" t="n"/>
      <c r="D459" s="4" t="n"/>
      <c r="E459" s="4" t="n"/>
      <c r="F459" s="5" t="n"/>
      <c r="G459" s="9">
        <f>IF(E459="","",E459*F459)</f>
        <v/>
      </c>
      <c r="H459" s="5" t="n"/>
      <c r="I459" s="9">
        <f>IF(G459="","",G459-IF(H459="",0,H459))</f>
        <v/>
      </c>
    </row>
    <row r="460">
      <c r="A460" t="n">
        <v>457</v>
      </c>
      <c r="B460" s="8" t="n"/>
      <c r="C460" s="4" t="n"/>
      <c r="D460" s="4" t="n"/>
      <c r="E460" s="4" t="n"/>
      <c r="F460" s="5" t="n"/>
      <c r="G460" s="9">
        <f>IF(E460="","",E460*F460)</f>
        <v/>
      </c>
      <c r="H460" s="5" t="n"/>
      <c r="I460" s="9">
        <f>IF(G460="","",G460-IF(H460="",0,H460))</f>
        <v/>
      </c>
    </row>
    <row r="461">
      <c r="A461" t="n">
        <v>458</v>
      </c>
      <c r="B461" s="8" t="n"/>
      <c r="C461" s="4" t="n"/>
      <c r="D461" s="4" t="n"/>
      <c r="E461" s="4" t="n"/>
      <c r="F461" s="5" t="n"/>
      <c r="G461" s="9">
        <f>IF(E461="","",E461*F461)</f>
        <v/>
      </c>
      <c r="H461" s="5" t="n"/>
      <c r="I461" s="9">
        <f>IF(G461="","",G461-IF(H461="",0,H461))</f>
        <v/>
      </c>
    </row>
    <row r="462">
      <c r="A462" t="n">
        <v>459</v>
      </c>
      <c r="B462" s="8" t="n"/>
      <c r="C462" s="4" t="n"/>
      <c r="D462" s="4" t="n"/>
      <c r="E462" s="4" t="n"/>
      <c r="F462" s="5" t="n"/>
      <c r="G462" s="9">
        <f>IF(E462="","",E462*F462)</f>
        <v/>
      </c>
      <c r="H462" s="5" t="n"/>
      <c r="I462" s="9">
        <f>IF(G462="","",G462-IF(H462="",0,H462))</f>
        <v/>
      </c>
    </row>
    <row r="463">
      <c r="A463" t="n">
        <v>460</v>
      </c>
      <c r="B463" s="8" t="n"/>
      <c r="C463" s="4" t="n"/>
      <c r="D463" s="4" t="n"/>
      <c r="E463" s="4" t="n"/>
      <c r="F463" s="5" t="n"/>
      <c r="G463" s="9">
        <f>IF(E463="","",E463*F463)</f>
        <v/>
      </c>
      <c r="H463" s="5" t="n"/>
      <c r="I463" s="9">
        <f>IF(G463="","",G463-IF(H463="",0,H463))</f>
        <v/>
      </c>
    </row>
    <row r="464">
      <c r="A464" t="n">
        <v>461</v>
      </c>
      <c r="B464" s="8" t="n"/>
      <c r="C464" s="4" t="n"/>
      <c r="D464" s="4" t="n"/>
      <c r="E464" s="4" t="n"/>
      <c r="F464" s="5" t="n"/>
      <c r="G464" s="9">
        <f>IF(E464="","",E464*F464)</f>
        <v/>
      </c>
      <c r="H464" s="5" t="n"/>
      <c r="I464" s="9">
        <f>IF(G464="","",G464-IF(H464="",0,H464))</f>
        <v/>
      </c>
    </row>
    <row r="465">
      <c r="A465" t="n">
        <v>462</v>
      </c>
      <c r="B465" s="8" t="n"/>
      <c r="C465" s="4" t="n"/>
      <c r="D465" s="4" t="n"/>
      <c r="E465" s="4" t="n"/>
      <c r="F465" s="5" t="n"/>
      <c r="G465" s="9">
        <f>IF(E465="","",E465*F465)</f>
        <v/>
      </c>
      <c r="H465" s="5" t="n"/>
      <c r="I465" s="9">
        <f>IF(G465="","",G465-IF(H465="",0,H465))</f>
        <v/>
      </c>
    </row>
    <row r="466">
      <c r="A466" t="n">
        <v>463</v>
      </c>
      <c r="B466" s="8" t="n"/>
      <c r="C466" s="4" t="n"/>
      <c r="D466" s="4" t="n"/>
      <c r="E466" s="4" t="n"/>
      <c r="F466" s="5" t="n"/>
      <c r="G466" s="9">
        <f>IF(E466="","",E466*F466)</f>
        <v/>
      </c>
      <c r="H466" s="5" t="n"/>
      <c r="I466" s="9">
        <f>IF(G466="","",G466-IF(H466="",0,H466))</f>
        <v/>
      </c>
    </row>
    <row r="467">
      <c r="A467" t="n">
        <v>464</v>
      </c>
      <c r="B467" s="8" t="n"/>
      <c r="C467" s="4" t="n"/>
      <c r="D467" s="4" t="n"/>
      <c r="E467" s="4" t="n"/>
      <c r="F467" s="5" t="n"/>
      <c r="G467" s="9">
        <f>IF(E467="","",E467*F467)</f>
        <v/>
      </c>
      <c r="H467" s="5" t="n"/>
      <c r="I467" s="9">
        <f>IF(G467="","",G467-IF(H467="",0,H467))</f>
        <v/>
      </c>
    </row>
    <row r="468">
      <c r="A468" t="n">
        <v>465</v>
      </c>
      <c r="B468" s="8" t="n"/>
      <c r="C468" s="4" t="n"/>
      <c r="D468" s="4" t="n"/>
      <c r="E468" s="4" t="n"/>
      <c r="F468" s="5" t="n"/>
      <c r="G468" s="9">
        <f>IF(E468="","",E468*F468)</f>
        <v/>
      </c>
      <c r="H468" s="5" t="n"/>
      <c r="I468" s="9">
        <f>IF(G468="","",G468-IF(H468="",0,H468))</f>
        <v/>
      </c>
    </row>
    <row r="469">
      <c r="A469" t="n">
        <v>466</v>
      </c>
      <c r="B469" s="8" t="n"/>
      <c r="C469" s="4" t="n"/>
      <c r="D469" s="4" t="n"/>
      <c r="E469" s="4" t="n"/>
      <c r="F469" s="5" t="n"/>
      <c r="G469" s="9">
        <f>IF(E469="","",E469*F469)</f>
        <v/>
      </c>
      <c r="H469" s="5" t="n"/>
      <c r="I469" s="9">
        <f>IF(G469="","",G469-IF(H469="",0,H469))</f>
        <v/>
      </c>
    </row>
    <row r="470">
      <c r="A470" t="n">
        <v>467</v>
      </c>
      <c r="B470" s="8" t="n"/>
      <c r="C470" s="4" t="n"/>
      <c r="D470" s="4" t="n"/>
      <c r="E470" s="4" t="n"/>
      <c r="F470" s="5" t="n"/>
      <c r="G470" s="9">
        <f>IF(E470="","",E470*F470)</f>
        <v/>
      </c>
      <c r="H470" s="5" t="n"/>
      <c r="I470" s="9">
        <f>IF(G470="","",G470-IF(H470="",0,H470))</f>
        <v/>
      </c>
    </row>
    <row r="471">
      <c r="A471" t="n">
        <v>468</v>
      </c>
      <c r="B471" s="8" t="n"/>
      <c r="C471" s="4" t="n"/>
      <c r="D471" s="4" t="n"/>
      <c r="E471" s="4" t="n"/>
      <c r="F471" s="5" t="n"/>
      <c r="G471" s="9">
        <f>IF(E471="","",E471*F471)</f>
        <v/>
      </c>
      <c r="H471" s="5" t="n"/>
      <c r="I471" s="9">
        <f>IF(G471="","",G471-IF(H471="",0,H471))</f>
        <v/>
      </c>
    </row>
    <row r="472">
      <c r="A472" t="n">
        <v>469</v>
      </c>
      <c r="B472" s="8" t="n"/>
      <c r="C472" s="4" t="n"/>
      <c r="D472" s="4" t="n"/>
      <c r="E472" s="4" t="n"/>
      <c r="F472" s="5" t="n"/>
      <c r="G472" s="9">
        <f>IF(E472="","",E472*F472)</f>
        <v/>
      </c>
      <c r="H472" s="5" t="n"/>
      <c r="I472" s="9">
        <f>IF(G472="","",G472-IF(H472="",0,H472))</f>
        <v/>
      </c>
    </row>
    <row r="473">
      <c r="A473" t="n">
        <v>470</v>
      </c>
      <c r="B473" s="8" t="n"/>
      <c r="C473" s="4" t="n"/>
      <c r="D473" s="4" t="n"/>
      <c r="E473" s="4" t="n"/>
      <c r="F473" s="5" t="n"/>
      <c r="G473" s="9">
        <f>IF(E473="","",E473*F473)</f>
        <v/>
      </c>
      <c r="H473" s="5" t="n"/>
      <c r="I473" s="9">
        <f>IF(G473="","",G473-IF(H473="",0,H473))</f>
        <v/>
      </c>
    </row>
    <row r="474">
      <c r="A474" t="n">
        <v>471</v>
      </c>
      <c r="B474" s="8" t="n"/>
      <c r="C474" s="4" t="n"/>
      <c r="D474" s="4" t="n"/>
      <c r="E474" s="4" t="n"/>
      <c r="F474" s="5" t="n"/>
      <c r="G474" s="9">
        <f>IF(E474="","",E474*F474)</f>
        <v/>
      </c>
      <c r="H474" s="5" t="n"/>
      <c r="I474" s="9">
        <f>IF(G474="","",G474-IF(H474="",0,H474))</f>
        <v/>
      </c>
    </row>
    <row r="475">
      <c r="A475" t="n">
        <v>472</v>
      </c>
      <c r="B475" s="8" t="n"/>
      <c r="C475" s="4" t="n"/>
      <c r="D475" s="4" t="n"/>
      <c r="E475" s="4" t="n"/>
      <c r="F475" s="5" t="n"/>
      <c r="G475" s="9">
        <f>IF(E475="","",E475*F475)</f>
        <v/>
      </c>
      <c r="H475" s="5" t="n"/>
      <c r="I475" s="9">
        <f>IF(G475="","",G475-IF(H475="",0,H475))</f>
        <v/>
      </c>
    </row>
    <row r="476">
      <c r="A476" t="n">
        <v>473</v>
      </c>
      <c r="B476" s="8" t="n"/>
      <c r="C476" s="4" t="n"/>
      <c r="D476" s="4" t="n"/>
      <c r="E476" s="4" t="n"/>
      <c r="F476" s="5" t="n"/>
      <c r="G476" s="9">
        <f>IF(E476="","",E476*F476)</f>
        <v/>
      </c>
      <c r="H476" s="5" t="n"/>
      <c r="I476" s="9">
        <f>IF(G476="","",G476-IF(H476="",0,H476))</f>
        <v/>
      </c>
    </row>
    <row r="477">
      <c r="A477" t="n">
        <v>474</v>
      </c>
      <c r="B477" s="8" t="n"/>
      <c r="C477" s="4" t="n"/>
      <c r="D477" s="4" t="n"/>
      <c r="E477" s="4" t="n"/>
      <c r="F477" s="5" t="n"/>
      <c r="G477" s="9">
        <f>IF(E477="","",E477*F477)</f>
        <v/>
      </c>
      <c r="H477" s="5" t="n"/>
      <c r="I477" s="9">
        <f>IF(G477="","",G477-IF(H477="",0,H477))</f>
        <v/>
      </c>
    </row>
    <row r="478">
      <c r="A478" t="n">
        <v>475</v>
      </c>
      <c r="B478" s="8" t="n"/>
      <c r="C478" s="4" t="n"/>
      <c r="D478" s="4" t="n"/>
      <c r="E478" s="4" t="n"/>
      <c r="F478" s="5" t="n"/>
      <c r="G478" s="9">
        <f>IF(E478="","",E478*F478)</f>
        <v/>
      </c>
      <c r="H478" s="5" t="n"/>
      <c r="I478" s="9">
        <f>IF(G478="","",G478-IF(H478="",0,H478))</f>
        <v/>
      </c>
    </row>
    <row r="479">
      <c r="A479" t="n">
        <v>476</v>
      </c>
      <c r="B479" s="8" t="n"/>
      <c r="C479" s="4" t="n"/>
      <c r="D479" s="4" t="n"/>
      <c r="E479" s="4" t="n"/>
      <c r="F479" s="5" t="n"/>
      <c r="G479" s="9">
        <f>IF(E479="","",E479*F479)</f>
        <v/>
      </c>
      <c r="H479" s="5" t="n"/>
      <c r="I479" s="9">
        <f>IF(G479="","",G479-IF(H479="",0,H479))</f>
        <v/>
      </c>
    </row>
    <row r="480">
      <c r="A480" t="n">
        <v>477</v>
      </c>
      <c r="B480" s="8" t="n"/>
      <c r="C480" s="4" t="n"/>
      <c r="D480" s="4" t="n"/>
      <c r="E480" s="4" t="n"/>
      <c r="F480" s="5" t="n"/>
      <c r="G480" s="9">
        <f>IF(E480="","",E480*F480)</f>
        <v/>
      </c>
      <c r="H480" s="5" t="n"/>
      <c r="I480" s="9">
        <f>IF(G480="","",G480-IF(H480="",0,H480))</f>
        <v/>
      </c>
    </row>
    <row r="481">
      <c r="A481" t="n">
        <v>478</v>
      </c>
      <c r="B481" s="8" t="n"/>
      <c r="C481" s="4" t="n"/>
      <c r="D481" s="4" t="n"/>
      <c r="E481" s="4" t="n"/>
      <c r="F481" s="5" t="n"/>
      <c r="G481" s="9">
        <f>IF(E481="","",E481*F481)</f>
        <v/>
      </c>
      <c r="H481" s="5" t="n"/>
      <c r="I481" s="9">
        <f>IF(G481="","",G481-IF(H481="",0,H481))</f>
        <v/>
      </c>
    </row>
    <row r="482">
      <c r="A482" t="n">
        <v>479</v>
      </c>
      <c r="B482" s="8" t="n"/>
      <c r="C482" s="4" t="n"/>
      <c r="D482" s="4" t="n"/>
      <c r="E482" s="4" t="n"/>
      <c r="F482" s="5" t="n"/>
      <c r="G482" s="9">
        <f>IF(E482="","",E482*F482)</f>
        <v/>
      </c>
      <c r="H482" s="5" t="n"/>
      <c r="I482" s="9">
        <f>IF(G482="","",G482-IF(H482="",0,H482))</f>
        <v/>
      </c>
    </row>
    <row r="483">
      <c r="A483" t="n">
        <v>480</v>
      </c>
      <c r="B483" s="8" t="n"/>
      <c r="C483" s="4" t="n"/>
      <c r="D483" s="4" t="n"/>
      <c r="E483" s="4" t="n"/>
      <c r="F483" s="5" t="n"/>
      <c r="G483" s="9">
        <f>IF(E483="","",E483*F483)</f>
        <v/>
      </c>
      <c r="H483" s="5" t="n"/>
      <c r="I483" s="9">
        <f>IF(G483="","",G483-IF(H483="",0,H483))</f>
        <v/>
      </c>
    </row>
    <row r="484">
      <c r="A484" t="n">
        <v>481</v>
      </c>
      <c r="B484" s="8" t="n"/>
      <c r="C484" s="4" t="n"/>
      <c r="D484" s="4" t="n"/>
      <c r="E484" s="4" t="n"/>
      <c r="F484" s="5" t="n"/>
      <c r="G484" s="9">
        <f>IF(E484="","",E484*F484)</f>
        <v/>
      </c>
      <c r="H484" s="5" t="n"/>
      <c r="I484" s="9">
        <f>IF(G484="","",G484-IF(H484="",0,H484))</f>
        <v/>
      </c>
    </row>
    <row r="485">
      <c r="A485" t="n">
        <v>482</v>
      </c>
      <c r="B485" s="8" t="n"/>
      <c r="C485" s="4" t="n"/>
      <c r="D485" s="4" t="n"/>
      <c r="E485" s="4" t="n"/>
      <c r="F485" s="5" t="n"/>
      <c r="G485" s="9">
        <f>IF(E485="","",E485*F485)</f>
        <v/>
      </c>
      <c r="H485" s="5" t="n"/>
      <c r="I485" s="9">
        <f>IF(G485="","",G485-IF(H485="",0,H485))</f>
        <v/>
      </c>
    </row>
    <row r="486">
      <c r="A486" t="n">
        <v>483</v>
      </c>
      <c r="B486" s="8" t="n"/>
      <c r="C486" s="4" t="n"/>
      <c r="D486" s="4" t="n"/>
      <c r="E486" s="4" t="n"/>
      <c r="F486" s="5" t="n"/>
      <c r="G486" s="9">
        <f>IF(E486="","",E486*F486)</f>
        <v/>
      </c>
      <c r="H486" s="5" t="n"/>
      <c r="I486" s="9">
        <f>IF(G486="","",G486-IF(H486="",0,H486))</f>
        <v/>
      </c>
    </row>
    <row r="487">
      <c r="A487" t="n">
        <v>484</v>
      </c>
      <c r="B487" s="8" t="n"/>
      <c r="C487" s="4" t="n"/>
      <c r="D487" s="4" t="n"/>
      <c r="E487" s="4" t="n"/>
      <c r="F487" s="5" t="n"/>
      <c r="G487" s="9">
        <f>IF(E487="","",E487*F487)</f>
        <v/>
      </c>
      <c r="H487" s="5" t="n"/>
      <c r="I487" s="9">
        <f>IF(G487="","",G487-IF(H487="",0,H487))</f>
        <v/>
      </c>
    </row>
    <row r="488">
      <c r="A488" t="n">
        <v>485</v>
      </c>
      <c r="B488" s="8" t="n"/>
      <c r="C488" s="4" t="n"/>
      <c r="D488" s="4" t="n"/>
      <c r="E488" s="4" t="n"/>
      <c r="F488" s="5" t="n"/>
      <c r="G488" s="9">
        <f>IF(E488="","",E488*F488)</f>
        <v/>
      </c>
      <c r="H488" s="5" t="n"/>
      <c r="I488" s="9">
        <f>IF(G488="","",G488-IF(H488="",0,H488))</f>
        <v/>
      </c>
    </row>
    <row r="489">
      <c r="A489" t="n">
        <v>486</v>
      </c>
      <c r="B489" s="8" t="n"/>
      <c r="C489" s="4" t="n"/>
      <c r="D489" s="4" t="n"/>
      <c r="E489" s="4" t="n"/>
      <c r="F489" s="5" t="n"/>
      <c r="G489" s="9">
        <f>IF(E489="","",E489*F489)</f>
        <v/>
      </c>
      <c r="H489" s="5" t="n"/>
      <c r="I489" s="9">
        <f>IF(G489="","",G489-IF(H489="",0,H489))</f>
        <v/>
      </c>
    </row>
    <row r="490">
      <c r="A490" t="n">
        <v>487</v>
      </c>
      <c r="B490" s="8" t="n"/>
      <c r="C490" s="4" t="n"/>
      <c r="D490" s="4" t="n"/>
      <c r="E490" s="4" t="n"/>
      <c r="F490" s="5" t="n"/>
      <c r="G490" s="9">
        <f>IF(E490="","",E490*F490)</f>
        <v/>
      </c>
      <c r="H490" s="5" t="n"/>
      <c r="I490" s="9">
        <f>IF(G490="","",G490-IF(H490="",0,H490))</f>
        <v/>
      </c>
    </row>
    <row r="491">
      <c r="A491" t="n">
        <v>488</v>
      </c>
      <c r="B491" s="8" t="n"/>
      <c r="C491" s="4" t="n"/>
      <c r="D491" s="4" t="n"/>
      <c r="E491" s="4" t="n"/>
      <c r="F491" s="5" t="n"/>
      <c r="G491" s="9">
        <f>IF(E491="","",E491*F491)</f>
        <v/>
      </c>
      <c r="H491" s="5" t="n"/>
      <c r="I491" s="9">
        <f>IF(G491="","",G491-IF(H491="",0,H491))</f>
        <v/>
      </c>
    </row>
    <row r="492">
      <c r="A492" t="n">
        <v>489</v>
      </c>
      <c r="B492" s="8" t="n"/>
      <c r="C492" s="4" t="n"/>
      <c r="D492" s="4" t="n"/>
      <c r="E492" s="4" t="n"/>
      <c r="F492" s="5" t="n"/>
      <c r="G492" s="9">
        <f>IF(E492="","",E492*F492)</f>
        <v/>
      </c>
      <c r="H492" s="5" t="n"/>
      <c r="I492" s="9">
        <f>IF(G492="","",G492-IF(H492="",0,H492))</f>
        <v/>
      </c>
    </row>
    <row r="493">
      <c r="A493" t="n">
        <v>490</v>
      </c>
      <c r="B493" s="8" t="n"/>
      <c r="C493" s="4" t="n"/>
      <c r="D493" s="4" t="n"/>
      <c r="E493" s="4" t="n"/>
      <c r="F493" s="5" t="n"/>
      <c r="G493" s="9">
        <f>IF(E493="","",E493*F493)</f>
        <v/>
      </c>
      <c r="H493" s="5" t="n"/>
      <c r="I493" s="9">
        <f>IF(G493="","",G493-IF(H493="",0,H493))</f>
        <v/>
      </c>
    </row>
    <row r="494">
      <c r="A494" t="n">
        <v>491</v>
      </c>
      <c r="B494" s="8" t="n"/>
      <c r="C494" s="4" t="n"/>
      <c r="D494" s="4" t="n"/>
      <c r="E494" s="4" t="n"/>
      <c r="F494" s="5" t="n"/>
      <c r="G494" s="9">
        <f>IF(E494="","",E494*F494)</f>
        <v/>
      </c>
      <c r="H494" s="5" t="n"/>
      <c r="I494" s="9">
        <f>IF(G494="","",G494-IF(H494="",0,H494))</f>
        <v/>
      </c>
    </row>
    <row r="495">
      <c r="A495" t="n">
        <v>492</v>
      </c>
      <c r="B495" s="8" t="n"/>
      <c r="C495" s="4" t="n"/>
      <c r="D495" s="4" t="n"/>
      <c r="E495" s="4" t="n"/>
      <c r="F495" s="5" t="n"/>
      <c r="G495" s="9">
        <f>IF(E495="","",E495*F495)</f>
        <v/>
      </c>
      <c r="H495" s="5" t="n"/>
      <c r="I495" s="9">
        <f>IF(G495="","",G495-IF(H495="",0,H495))</f>
        <v/>
      </c>
    </row>
    <row r="496">
      <c r="A496" t="n">
        <v>493</v>
      </c>
      <c r="B496" s="8" t="n"/>
      <c r="C496" s="4" t="n"/>
      <c r="D496" s="4" t="n"/>
      <c r="E496" s="4" t="n"/>
      <c r="F496" s="5" t="n"/>
      <c r="G496" s="9">
        <f>IF(E496="","",E496*F496)</f>
        <v/>
      </c>
      <c r="H496" s="5" t="n"/>
      <c r="I496" s="9">
        <f>IF(G496="","",G496-IF(H496="",0,H496))</f>
        <v/>
      </c>
    </row>
    <row r="497">
      <c r="A497" t="n">
        <v>494</v>
      </c>
      <c r="B497" s="8" t="n"/>
      <c r="C497" s="4" t="n"/>
      <c r="D497" s="4" t="n"/>
      <c r="E497" s="4" t="n"/>
      <c r="F497" s="5" t="n"/>
      <c r="G497" s="9">
        <f>IF(E497="","",E497*F497)</f>
        <v/>
      </c>
      <c r="H497" s="5" t="n"/>
      <c r="I497" s="9">
        <f>IF(G497="","",G497-IF(H497="",0,H497))</f>
        <v/>
      </c>
    </row>
    <row r="498">
      <c r="A498" t="n">
        <v>495</v>
      </c>
      <c r="B498" s="8" t="n"/>
      <c r="C498" s="4" t="n"/>
      <c r="D498" s="4" t="n"/>
      <c r="E498" s="4" t="n"/>
      <c r="F498" s="5" t="n"/>
      <c r="G498" s="9">
        <f>IF(E498="","",E498*F498)</f>
        <v/>
      </c>
      <c r="H498" s="5" t="n"/>
      <c r="I498" s="9">
        <f>IF(G498="","",G498-IF(H498="",0,H498))</f>
        <v/>
      </c>
    </row>
    <row r="499">
      <c r="A499" t="n">
        <v>496</v>
      </c>
      <c r="B499" s="8" t="n"/>
      <c r="C499" s="4" t="n"/>
      <c r="D499" s="4" t="n"/>
      <c r="E499" s="4" t="n"/>
      <c r="F499" s="5" t="n"/>
      <c r="G499" s="9">
        <f>IF(E499="","",E499*F499)</f>
        <v/>
      </c>
      <c r="H499" s="5" t="n"/>
      <c r="I499" s="9">
        <f>IF(G499="","",G499-IF(H499="",0,H499))</f>
        <v/>
      </c>
    </row>
    <row r="500">
      <c r="A500" t="n">
        <v>497</v>
      </c>
      <c r="B500" s="8" t="n"/>
      <c r="C500" s="4" t="n"/>
      <c r="D500" s="4" t="n"/>
      <c r="E500" s="4" t="n"/>
      <c r="F500" s="5" t="n"/>
      <c r="G500" s="9">
        <f>IF(E500="","",E500*F500)</f>
        <v/>
      </c>
      <c r="H500" s="5" t="n"/>
      <c r="I500" s="9">
        <f>IF(G500="","",G500-IF(H500="",0,H500))</f>
        <v/>
      </c>
    </row>
    <row r="501">
      <c r="A501" t="n">
        <v>498</v>
      </c>
      <c r="B501" s="8" t="n"/>
      <c r="C501" s="4" t="n"/>
      <c r="D501" s="4" t="n"/>
      <c r="E501" s="4" t="n"/>
      <c r="F501" s="5" t="n"/>
      <c r="G501" s="9">
        <f>IF(E501="","",E501*F501)</f>
        <v/>
      </c>
      <c r="H501" s="5" t="n"/>
      <c r="I501" s="9">
        <f>IF(G501="","",G501-IF(H501="",0,H501))</f>
        <v/>
      </c>
    </row>
    <row r="502">
      <c r="A502" t="n">
        <v>499</v>
      </c>
      <c r="B502" s="8" t="n"/>
      <c r="C502" s="4" t="n"/>
      <c r="D502" s="4" t="n"/>
      <c r="E502" s="4" t="n"/>
      <c r="F502" s="5" t="n"/>
      <c r="G502" s="9">
        <f>IF(E502="","",E502*F502)</f>
        <v/>
      </c>
      <c r="H502" s="5" t="n"/>
      <c r="I502" s="9">
        <f>IF(G502="","",G502-IF(H502="",0,H502))</f>
        <v/>
      </c>
    </row>
    <row r="503">
      <c r="A503" t="n">
        <v>500</v>
      </c>
      <c r="B503" s="8" t="n"/>
      <c r="C503" s="4" t="n"/>
      <c r="D503" s="4" t="n"/>
      <c r="E503" s="4" t="n"/>
      <c r="F503" s="5" t="n"/>
      <c r="G503" s="9">
        <f>IF(E503="","",E503*F503)</f>
        <v/>
      </c>
      <c r="H503" s="5" t="n"/>
      <c r="I503" s="9">
        <f>IF(G503="","",G503-IF(H503="",0,H503))</f>
        <v/>
      </c>
    </row>
    <row r="504">
      <c r="A504" t="n">
        <v>501</v>
      </c>
      <c r="B504" s="8" t="n"/>
      <c r="C504" s="4" t="n"/>
      <c r="D504" s="4" t="n"/>
      <c r="E504" s="4" t="n"/>
      <c r="F504" s="5" t="n"/>
      <c r="G504" s="9">
        <f>IF(E504="","",E504*F504)</f>
        <v/>
      </c>
      <c r="H504" s="5" t="n"/>
      <c r="I504" s="9">
        <f>IF(G504="","",G504-IF(H504="",0,H504))</f>
        <v/>
      </c>
    </row>
    <row r="505">
      <c r="A505" t="n">
        <v>502</v>
      </c>
      <c r="B505" s="8" t="n"/>
      <c r="C505" s="4" t="n"/>
      <c r="D505" s="4" t="n"/>
      <c r="E505" s="4" t="n"/>
      <c r="F505" s="5" t="n"/>
      <c r="G505" s="9">
        <f>IF(E505="","",E505*F505)</f>
        <v/>
      </c>
      <c r="H505" s="5" t="n"/>
      <c r="I505" s="9">
        <f>IF(G505="","",G505-IF(H505="",0,H505))</f>
        <v/>
      </c>
    </row>
    <row r="506">
      <c r="A506" t="n">
        <v>503</v>
      </c>
      <c r="B506" s="8" t="n"/>
      <c r="C506" s="4" t="n"/>
      <c r="D506" s="4" t="n"/>
      <c r="E506" s="4" t="n"/>
      <c r="F506" s="5" t="n"/>
      <c r="G506" s="9">
        <f>IF(E506="","",E506*F506)</f>
        <v/>
      </c>
      <c r="H506" s="5" t="n"/>
      <c r="I506" s="9">
        <f>IF(G506="","",G506-IF(H506="",0,H506))</f>
        <v/>
      </c>
    </row>
    <row r="507">
      <c r="A507" t="n">
        <v>504</v>
      </c>
      <c r="B507" s="8" t="n"/>
      <c r="C507" s="4" t="n"/>
      <c r="D507" s="4" t="n"/>
      <c r="E507" s="4" t="n"/>
      <c r="F507" s="5" t="n"/>
      <c r="G507" s="9">
        <f>IF(E507="","",E507*F507)</f>
        <v/>
      </c>
      <c r="H507" s="5" t="n"/>
      <c r="I507" s="9">
        <f>IF(G507="","",G507-IF(H507="",0,H507))</f>
        <v/>
      </c>
    </row>
    <row r="508">
      <c r="A508" t="n">
        <v>505</v>
      </c>
      <c r="B508" s="8" t="n"/>
      <c r="C508" s="4" t="n"/>
      <c r="D508" s="4" t="n"/>
      <c r="E508" s="4" t="n"/>
      <c r="F508" s="5" t="n"/>
      <c r="G508" s="9">
        <f>IF(E508="","",E508*F508)</f>
        <v/>
      </c>
      <c r="H508" s="5" t="n"/>
      <c r="I508" s="9">
        <f>IF(G508="","",G508-IF(H508="",0,H508))</f>
        <v/>
      </c>
    </row>
    <row r="509">
      <c r="A509" t="n">
        <v>506</v>
      </c>
      <c r="B509" s="8" t="n"/>
      <c r="C509" s="4" t="n"/>
      <c r="D509" s="4" t="n"/>
      <c r="E509" s="4" t="n"/>
      <c r="F509" s="5" t="n"/>
      <c r="G509" s="9">
        <f>IF(E509="","",E509*F509)</f>
        <v/>
      </c>
      <c r="H509" s="5" t="n"/>
      <c r="I509" s="9">
        <f>IF(G509="","",G509-IF(H509="",0,H509))</f>
        <v/>
      </c>
    </row>
    <row r="510">
      <c r="A510" t="n">
        <v>507</v>
      </c>
      <c r="B510" s="8" t="n"/>
      <c r="C510" s="4" t="n"/>
      <c r="D510" s="4" t="n"/>
      <c r="E510" s="4" t="n"/>
      <c r="F510" s="5" t="n"/>
      <c r="G510" s="9">
        <f>IF(E510="","",E510*F510)</f>
        <v/>
      </c>
      <c r="H510" s="5" t="n"/>
      <c r="I510" s="9">
        <f>IF(G510="","",G510-IF(H510="",0,H510))</f>
        <v/>
      </c>
    </row>
    <row r="511">
      <c r="A511" t="n">
        <v>508</v>
      </c>
      <c r="B511" s="8" t="n"/>
      <c r="C511" s="4" t="n"/>
      <c r="D511" s="4" t="n"/>
      <c r="E511" s="4" t="n"/>
      <c r="F511" s="5" t="n"/>
      <c r="G511" s="9">
        <f>IF(E511="","",E511*F511)</f>
        <v/>
      </c>
      <c r="H511" s="5" t="n"/>
      <c r="I511" s="9">
        <f>IF(G511="","",G511-IF(H511="",0,H511))</f>
        <v/>
      </c>
    </row>
    <row r="512">
      <c r="A512" t="n">
        <v>509</v>
      </c>
      <c r="B512" s="8" t="n"/>
      <c r="C512" s="4" t="n"/>
      <c r="D512" s="4" t="n"/>
      <c r="E512" s="4" t="n"/>
      <c r="F512" s="5" t="n"/>
      <c r="G512" s="9">
        <f>IF(E512="","",E512*F512)</f>
        <v/>
      </c>
      <c r="H512" s="5" t="n"/>
      <c r="I512" s="9">
        <f>IF(G512="","",G512-IF(H512="",0,H512))</f>
        <v/>
      </c>
    </row>
    <row r="513">
      <c r="A513" t="n">
        <v>510</v>
      </c>
      <c r="B513" s="8" t="n"/>
      <c r="C513" s="4" t="n"/>
      <c r="D513" s="4" t="n"/>
      <c r="E513" s="4" t="n"/>
      <c r="F513" s="5" t="n"/>
      <c r="G513" s="9">
        <f>IF(E513="","",E513*F513)</f>
        <v/>
      </c>
      <c r="H513" s="5" t="n"/>
      <c r="I513" s="9">
        <f>IF(G513="","",G513-IF(H513="",0,H513))</f>
        <v/>
      </c>
    </row>
    <row r="514">
      <c r="A514" t="n">
        <v>511</v>
      </c>
      <c r="B514" s="8" t="n"/>
      <c r="C514" s="4" t="n"/>
      <c r="D514" s="4" t="n"/>
      <c r="E514" s="4" t="n"/>
      <c r="F514" s="5" t="n"/>
      <c r="G514" s="9">
        <f>IF(E514="","",E514*F514)</f>
        <v/>
      </c>
      <c r="H514" s="5" t="n"/>
      <c r="I514" s="9">
        <f>IF(G514="","",G514-IF(H514="",0,H514))</f>
        <v/>
      </c>
    </row>
    <row r="515">
      <c r="A515" t="n">
        <v>512</v>
      </c>
      <c r="B515" s="8" t="n"/>
      <c r="C515" s="4" t="n"/>
      <c r="D515" s="4" t="n"/>
      <c r="E515" s="4" t="n"/>
      <c r="F515" s="5" t="n"/>
      <c r="G515" s="9">
        <f>IF(E515="","",E515*F515)</f>
        <v/>
      </c>
      <c r="H515" s="5" t="n"/>
      <c r="I515" s="9">
        <f>IF(G515="","",G515-IF(H515="",0,H515))</f>
        <v/>
      </c>
    </row>
    <row r="516">
      <c r="A516" t="n">
        <v>513</v>
      </c>
      <c r="B516" s="8" t="n"/>
      <c r="C516" s="4" t="n"/>
      <c r="D516" s="4" t="n"/>
      <c r="E516" s="4" t="n"/>
      <c r="F516" s="5" t="n"/>
      <c r="G516" s="9">
        <f>IF(E516="","",E516*F516)</f>
        <v/>
      </c>
      <c r="H516" s="5" t="n"/>
      <c r="I516" s="9">
        <f>IF(G516="","",G516-IF(H516="",0,H516))</f>
        <v/>
      </c>
    </row>
    <row r="517">
      <c r="A517" t="n">
        <v>514</v>
      </c>
      <c r="B517" s="8" t="n"/>
      <c r="C517" s="4" t="n"/>
      <c r="D517" s="4" t="n"/>
      <c r="E517" s="4" t="n"/>
      <c r="F517" s="5" t="n"/>
      <c r="G517" s="9">
        <f>IF(E517="","",E517*F517)</f>
        <v/>
      </c>
      <c r="H517" s="5" t="n"/>
      <c r="I517" s="9">
        <f>IF(G517="","",G517-IF(H517="",0,H517))</f>
        <v/>
      </c>
    </row>
    <row r="518">
      <c r="A518" t="n">
        <v>515</v>
      </c>
      <c r="B518" s="8" t="n"/>
      <c r="C518" s="4" t="n"/>
      <c r="D518" s="4" t="n"/>
      <c r="E518" s="4" t="n"/>
      <c r="F518" s="5" t="n"/>
      <c r="G518" s="9">
        <f>IF(E518="","",E518*F518)</f>
        <v/>
      </c>
      <c r="H518" s="5" t="n"/>
      <c r="I518" s="9">
        <f>IF(G518="","",G518-IF(H518="",0,H518))</f>
        <v/>
      </c>
    </row>
    <row r="519">
      <c r="A519" t="n">
        <v>516</v>
      </c>
      <c r="B519" s="8" t="n"/>
      <c r="C519" s="4" t="n"/>
      <c r="D519" s="4" t="n"/>
      <c r="E519" s="4" t="n"/>
      <c r="F519" s="5" t="n"/>
      <c r="G519" s="9">
        <f>IF(E519="","",E519*F519)</f>
        <v/>
      </c>
      <c r="H519" s="5" t="n"/>
      <c r="I519" s="9">
        <f>IF(G519="","",G519-IF(H519="",0,H519))</f>
        <v/>
      </c>
    </row>
    <row r="520">
      <c r="A520" t="n">
        <v>517</v>
      </c>
      <c r="B520" s="8" t="n"/>
      <c r="C520" s="4" t="n"/>
      <c r="D520" s="4" t="n"/>
      <c r="E520" s="4" t="n"/>
      <c r="F520" s="5" t="n"/>
      <c r="G520" s="9">
        <f>IF(E520="","",E520*F520)</f>
        <v/>
      </c>
      <c r="H520" s="5" t="n"/>
      <c r="I520" s="9">
        <f>IF(G520="","",G520-IF(H520="",0,H520))</f>
        <v/>
      </c>
    </row>
    <row r="521">
      <c r="A521" t="n">
        <v>518</v>
      </c>
      <c r="B521" s="8" t="n"/>
      <c r="C521" s="4" t="n"/>
      <c r="D521" s="4" t="n"/>
      <c r="E521" s="4" t="n"/>
      <c r="F521" s="5" t="n"/>
      <c r="G521" s="9">
        <f>IF(E521="","",E521*F521)</f>
        <v/>
      </c>
      <c r="H521" s="5" t="n"/>
      <c r="I521" s="9">
        <f>IF(G521="","",G521-IF(H521="",0,H521))</f>
        <v/>
      </c>
    </row>
    <row r="522">
      <c r="A522" t="n">
        <v>519</v>
      </c>
      <c r="B522" s="8" t="n"/>
      <c r="C522" s="4" t="n"/>
      <c r="D522" s="4" t="n"/>
      <c r="E522" s="4" t="n"/>
      <c r="F522" s="5" t="n"/>
      <c r="G522" s="9">
        <f>IF(E522="","",E522*F522)</f>
        <v/>
      </c>
      <c r="H522" s="5" t="n"/>
      <c r="I522" s="9">
        <f>IF(G522="","",G522-IF(H522="",0,H522))</f>
        <v/>
      </c>
    </row>
    <row r="523">
      <c r="A523" t="n">
        <v>520</v>
      </c>
      <c r="B523" s="8" t="n"/>
      <c r="C523" s="4" t="n"/>
      <c r="D523" s="4" t="n"/>
      <c r="E523" s="4" t="n"/>
      <c r="F523" s="5" t="n"/>
      <c r="G523" s="9">
        <f>IF(E523="","",E523*F523)</f>
        <v/>
      </c>
      <c r="H523" s="5" t="n"/>
      <c r="I523" s="9">
        <f>IF(G523="","",G523-IF(H523="",0,H523))</f>
        <v/>
      </c>
    </row>
    <row r="524">
      <c r="A524" t="n">
        <v>521</v>
      </c>
      <c r="B524" s="8" t="n"/>
      <c r="C524" s="4" t="n"/>
      <c r="D524" s="4" t="n"/>
      <c r="E524" s="4" t="n"/>
      <c r="F524" s="5" t="n"/>
      <c r="G524" s="9">
        <f>IF(E524="","",E524*F524)</f>
        <v/>
      </c>
      <c r="H524" s="5" t="n"/>
      <c r="I524" s="9">
        <f>IF(G524="","",G524-IF(H524="",0,H524))</f>
        <v/>
      </c>
    </row>
    <row r="525">
      <c r="A525" t="n">
        <v>522</v>
      </c>
      <c r="B525" s="8" t="n"/>
      <c r="C525" s="4" t="n"/>
      <c r="D525" s="4" t="n"/>
      <c r="E525" s="4" t="n"/>
      <c r="F525" s="5" t="n"/>
      <c r="G525" s="9">
        <f>IF(E525="","",E525*F525)</f>
        <v/>
      </c>
      <c r="H525" s="5" t="n"/>
      <c r="I525" s="9">
        <f>IF(G525="","",G525-IF(H525="",0,H525))</f>
        <v/>
      </c>
    </row>
    <row r="526">
      <c r="A526" t="n">
        <v>523</v>
      </c>
      <c r="B526" s="8" t="n"/>
      <c r="C526" s="4" t="n"/>
      <c r="D526" s="4" t="n"/>
      <c r="E526" s="4" t="n"/>
      <c r="F526" s="5" t="n"/>
      <c r="G526" s="9">
        <f>IF(E526="","",E526*F526)</f>
        <v/>
      </c>
      <c r="H526" s="5" t="n"/>
      <c r="I526" s="9">
        <f>IF(G526="","",G526-IF(H526="",0,H526))</f>
        <v/>
      </c>
    </row>
    <row r="527">
      <c r="A527" t="n">
        <v>524</v>
      </c>
      <c r="B527" s="8" t="n"/>
      <c r="C527" s="4" t="n"/>
      <c r="D527" s="4" t="n"/>
      <c r="E527" s="4" t="n"/>
      <c r="F527" s="5" t="n"/>
      <c r="G527" s="9">
        <f>IF(E527="","",E527*F527)</f>
        <v/>
      </c>
      <c r="H527" s="5" t="n"/>
      <c r="I527" s="9">
        <f>IF(G527="","",G527-IF(H527="",0,H527))</f>
        <v/>
      </c>
    </row>
    <row r="528">
      <c r="A528" t="n">
        <v>525</v>
      </c>
      <c r="B528" s="8" t="n"/>
      <c r="C528" s="4" t="n"/>
      <c r="D528" s="4" t="n"/>
      <c r="E528" s="4" t="n"/>
      <c r="F528" s="5" t="n"/>
      <c r="G528" s="9">
        <f>IF(E528="","",E528*F528)</f>
        <v/>
      </c>
      <c r="H528" s="5" t="n"/>
      <c r="I528" s="9">
        <f>IF(G528="","",G528-IF(H528="",0,H528))</f>
        <v/>
      </c>
    </row>
    <row r="529">
      <c r="A529" t="n">
        <v>526</v>
      </c>
      <c r="B529" s="8" t="n"/>
      <c r="C529" s="4" t="n"/>
      <c r="D529" s="4" t="n"/>
      <c r="E529" s="4" t="n"/>
      <c r="F529" s="5" t="n"/>
      <c r="G529" s="9">
        <f>IF(E529="","",E529*F529)</f>
        <v/>
      </c>
      <c r="H529" s="5" t="n"/>
      <c r="I529" s="9">
        <f>IF(G529="","",G529-IF(H529="",0,H529))</f>
        <v/>
      </c>
    </row>
    <row r="530">
      <c r="A530" t="n">
        <v>527</v>
      </c>
      <c r="B530" s="8" t="n"/>
      <c r="C530" s="4" t="n"/>
      <c r="D530" s="4" t="n"/>
      <c r="E530" s="4" t="n"/>
      <c r="F530" s="5" t="n"/>
      <c r="G530" s="9">
        <f>IF(E530="","",E530*F530)</f>
        <v/>
      </c>
      <c r="H530" s="5" t="n"/>
      <c r="I530" s="9">
        <f>IF(G530="","",G530-IF(H530="",0,H530))</f>
        <v/>
      </c>
    </row>
    <row r="531">
      <c r="A531" t="n">
        <v>528</v>
      </c>
      <c r="B531" s="8" t="n"/>
      <c r="C531" s="4" t="n"/>
      <c r="D531" s="4" t="n"/>
      <c r="E531" s="4" t="n"/>
      <c r="F531" s="5" t="n"/>
      <c r="G531" s="9">
        <f>IF(E531="","",E531*F531)</f>
        <v/>
      </c>
      <c r="H531" s="5" t="n"/>
      <c r="I531" s="9">
        <f>IF(G531="","",G531-IF(H531="",0,H531))</f>
        <v/>
      </c>
    </row>
    <row r="532">
      <c r="A532" t="n">
        <v>529</v>
      </c>
      <c r="B532" s="8" t="n"/>
      <c r="C532" s="4" t="n"/>
      <c r="D532" s="4" t="n"/>
      <c r="E532" s="4" t="n"/>
      <c r="F532" s="5" t="n"/>
      <c r="G532" s="9">
        <f>IF(E532="","",E532*F532)</f>
        <v/>
      </c>
      <c r="H532" s="5" t="n"/>
      <c r="I532" s="9">
        <f>IF(G532="","",G532-IF(H532="",0,H532))</f>
        <v/>
      </c>
    </row>
    <row r="533">
      <c r="A533" t="n">
        <v>530</v>
      </c>
      <c r="B533" s="8" t="n"/>
      <c r="C533" s="4" t="n"/>
      <c r="D533" s="4" t="n"/>
      <c r="E533" s="4" t="n"/>
      <c r="F533" s="5" t="n"/>
      <c r="G533" s="9">
        <f>IF(E533="","",E533*F533)</f>
        <v/>
      </c>
      <c r="H533" s="5" t="n"/>
      <c r="I533" s="9">
        <f>IF(G533="","",G533-IF(H533="",0,H533))</f>
        <v/>
      </c>
    </row>
    <row r="534">
      <c r="A534" t="n">
        <v>531</v>
      </c>
      <c r="B534" s="8" t="n"/>
      <c r="C534" s="4" t="n"/>
      <c r="D534" s="4" t="n"/>
      <c r="E534" s="4" t="n"/>
      <c r="F534" s="5" t="n"/>
      <c r="G534" s="9">
        <f>IF(E534="","",E534*F534)</f>
        <v/>
      </c>
      <c r="H534" s="5" t="n"/>
      <c r="I534" s="9">
        <f>IF(G534="","",G534-IF(H534="",0,H534))</f>
        <v/>
      </c>
    </row>
    <row r="535">
      <c r="A535" t="n">
        <v>532</v>
      </c>
      <c r="B535" s="8" t="n"/>
      <c r="C535" s="4" t="n"/>
      <c r="D535" s="4" t="n"/>
      <c r="E535" s="4" t="n"/>
      <c r="F535" s="5" t="n"/>
      <c r="G535" s="9">
        <f>IF(E535="","",E535*F535)</f>
        <v/>
      </c>
      <c r="H535" s="5" t="n"/>
      <c r="I535" s="9">
        <f>IF(G535="","",G535-IF(H535="",0,H535))</f>
        <v/>
      </c>
    </row>
    <row r="536">
      <c r="A536" t="n">
        <v>533</v>
      </c>
      <c r="B536" s="8" t="n"/>
      <c r="C536" s="4" t="n"/>
      <c r="D536" s="4" t="n"/>
      <c r="E536" s="4" t="n"/>
      <c r="F536" s="5" t="n"/>
      <c r="G536" s="9">
        <f>IF(E536="","",E536*F536)</f>
        <v/>
      </c>
      <c r="H536" s="5" t="n"/>
      <c r="I536" s="9">
        <f>IF(G536="","",G536-IF(H536="",0,H536))</f>
        <v/>
      </c>
    </row>
    <row r="537">
      <c r="A537" t="n">
        <v>534</v>
      </c>
      <c r="B537" s="8" t="n"/>
      <c r="C537" s="4" t="n"/>
      <c r="D537" s="4" t="n"/>
      <c r="E537" s="4" t="n"/>
      <c r="F537" s="5" t="n"/>
      <c r="G537" s="9">
        <f>IF(E537="","",E537*F537)</f>
        <v/>
      </c>
      <c r="H537" s="5" t="n"/>
      <c r="I537" s="9">
        <f>IF(G537="","",G537-IF(H537="",0,H537))</f>
        <v/>
      </c>
    </row>
    <row r="538">
      <c r="A538" t="n">
        <v>535</v>
      </c>
      <c r="B538" s="8" t="n"/>
      <c r="C538" s="4" t="n"/>
      <c r="D538" s="4" t="n"/>
      <c r="E538" s="4" t="n"/>
      <c r="F538" s="5" t="n"/>
      <c r="G538" s="9">
        <f>IF(E538="","",E538*F538)</f>
        <v/>
      </c>
      <c r="H538" s="5" t="n"/>
      <c r="I538" s="9">
        <f>IF(G538="","",G538-IF(H538="",0,H538))</f>
        <v/>
      </c>
    </row>
    <row r="539">
      <c r="A539" t="n">
        <v>536</v>
      </c>
      <c r="B539" s="8" t="n"/>
      <c r="C539" s="4" t="n"/>
      <c r="D539" s="4" t="n"/>
      <c r="E539" s="4" t="n"/>
      <c r="F539" s="5" t="n"/>
      <c r="G539" s="9">
        <f>IF(E539="","",E539*F539)</f>
        <v/>
      </c>
      <c r="H539" s="5" t="n"/>
      <c r="I539" s="9">
        <f>IF(G539="","",G539-IF(H539="",0,H539))</f>
        <v/>
      </c>
    </row>
    <row r="540">
      <c r="A540" t="n">
        <v>537</v>
      </c>
      <c r="B540" s="8" t="n"/>
      <c r="C540" s="4" t="n"/>
      <c r="D540" s="4" t="n"/>
      <c r="E540" s="4" t="n"/>
      <c r="F540" s="5" t="n"/>
      <c r="G540" s="9">
        <f>IF(E540="","",E540*F540)</f>
        <v/>
      </c>
      <c r="H540" s="5" t="n"/>
      <c r="I540" s="9">
        <f>IF(G540="","",G540-IF(H540="",0,H540))</f>
        <v/>
      </c>
    </row>
    <row r="541">
      <c r="A541" t="n">
        <v>538</v>
      </c>
      <c r="B541" s="8" t="n"/>
      <c r="C541" s="4" t="n"/>
      <c r="D541" s="4" t="n"/>
      <c r="E541" s="4" t="n"/>
      <c r="F541" s="5" t="n"/>
      <c r="G541" s="9">
        <f>IF(E541="","",E541*F541)</f>
        <v/>
      </c>
      <c r="H541" s="5" t="n"/>
      <c r="I541" s="9">
        <f>IF(G541="","",G541-IF(H541="",0,H541))</f>
        <v/>
      </c>
    </row>
    <row r="542">
      <c r="A542" t="n">
        <v>539</v>
      </c>
      <c r="B542" s="8" t="n"/>
      <c r="C542" s="4" t="n"/>
      <c r="D542" s="4" t="n"/>
      <c r="E542" s="4" t="n"/>
      <c r="F542" s="5" t="n"/>
      <c r="G542" s="9">
        <f>IF(E542="","",E542*F542)</f>
        <v/>
      </c>
      <c r="H542" s="5" t="n"/>
      <c r="I542" s="9">
        <f>IF(G542="","",G542-IF(H542="",0,H542))</f>
        <v/>
      </c>
    </row>
    <row r="543">
      <c r="A543" t="n">
        <v>540</v>
      </c>
      <c r="B543" s="8" t="n"/>
      <c r="C543" s="4" t="n"/>
      <c r="D543" s="4" t="n"/>
      <c r="E543" s="4" t="n"/>
      <c r="F543" s="5" t="n"/>
      <c r="G543" s="9">
        <f>IF(E543="","",E543*F543)</f>
        <v/>
      </c>
      <c r="H543" s="5" t="n"/>
      <c r="I543" s="9">
        <f>IF(G543="","",G543-IF(H543="",0,H543))</f>
        <v/>
      </c>
    </row>
    <row r="544">
      <c r="A544" t="n">
        <v>541</v>
      </c>
      <c r="B544" s="8" t="n"/>
      <c r="C544" s="4" t="n"/>
      <c r="D544" s="4" t="n"/>
      <c r="E544" s="4" t="n"/>
      <c r="F544" s="5" t="n"/>
      <c r="G544" s="9">
        <f>IF(E544="","",E544*F544)</f>
        <v/>
      </c>
      <c r="H544" s="5" t="n"/>
      <c r="I544" s="9">
        <f>IF(G544="","",G544-IF(H544="",0,H544))</f>
        <v/>
      </c>
    </row>
    <row r="545">
      <c r="A545" t="n">
        <v>542</v>
      </c>
      <c r="B545" s="8" t="n"/>
      <c r="C545" s="4" t="n"/>
      <c r="D545" s="4" t="n"/>
      <c r="E545" s="4" t="n"/>
      <c r="F545" s="5" t="n"/>
      <c r="G545" s="9">
        <f>IF(E545="","",E545*F545)</f>
        <v/>
      </c>
      <c r="H545" s="5" t="n"/>
      <c r="I545" s="9">
        <f>IF(G545="","",G545-IF(H545="",0,H545))</f>
        <v/>
      </c>
    </row>
    <row r="546">
      <c r="A546" t="n">
        <v>543</v>
      </c>
      <c r="B546" s="8" t="n"/>
      <c r="C546" s="4" t="n"/>
      <c r="D546" s="4" t="n"/>
      <c r="E546" s="4" t="n"/>
      <c r="F546" s="5" t="n"/>
      <c r="G546" s="9">
        <f>IF(E546="","",E546*F546)</f>
        <v/>
      </c>
      <c r="H546" s="5" t="n"/>
      <c r="I546" s="9">
        <f>IF(G546="","",G546-IF(H546="",0,H546))</f>
        <v/>
      </c>
    </row>
    <row r="547">
      <c r="A547" t="n">
        <v>544</v>
      </c>
      <c r="B547" s="8" t="n"/>
      <c r="C547" s="4" t="n"/>
      <c r="D547" s="4" t="n"/>
      <c r="E547" s="4" t="n"/>
      <c r="F547" s="5" t="n"/>
      <c r="G547" s="9">
        <f>IF(E547="","",E547*F547)</f>
        <v/>
      </c>
      <c r="H547" s="5" t="n"/>
      <c r="I547" s="9">
        <f>IF(G547="","",G547-IF(H547="",0,H547))</f>
        <v/>
      </c>
    </row>
    <row r="548">
      <c r="A548" t="n">
        <v>545</v>
      </c>
      <c r="B548" s="8" t="n"/>
      <c r="C548" s="4" t="n"/>
      <c r="D548" s="4" t="n"/>
      <c r="E548" s="4" t="n"/>
      <c r="F548" s="5" t="n"/>
      <c r="G548" s="9">
        <f>IF(E548="","",E548*F548)</f>
        <v/>
      </c>
      <c r="H548" s="5" t="n"/>
      <c r="I548" s="9">
        <f>IF(G548="","",G548-IF(H548="",0,H548))</f>
        <v/>
      </c>
    </row>
    <row r="549">
      <c r="A549" t="n">
        <v>546</v>
      </c>
      <c r="B549" s="8" t="n"/>
      <c r="C549" s="4" t="n"/>
      <c r="D549" s="4" t="n"/>
      <c r="E549" s="4" t="n"/>
      <c r="F549" s="5" t="n"/>
      <c r="G549" s="9">
        <f>IF(E549="","",E549*F549)</f>
        <v/>
      </c>
      <c r="H549" s="5" t="n"/>
      <c r="I549" s="9">
        <f>IF(G549="","",G549-IF(H549="",0,H549))</f>
        <v/>
      </c>
    </row>
    <row r="550">
      <c r="A550" t="n">
        <v>547</v>
      </c>
      <c r="B550" s="8" t="n"/>
      <c r="C550" s="4" t="n"/>
      <c r="D550" s="4" t="n"/>
      <c r="E550" s="4" t="n"/>
      <c r="F550" s="5" t="n"/>
      <c r="G550" s="9">
        <f>IF(E550="","",E550*F550)</f>
        <v/>
      </c>
      <c r="H550" s="5" t="n"/>
      <c r="I550" s="9">
        <f>IF(G550="","",G550-IF(H550="",0,H550))</f>
        <v/>
      </c>
    </row>
    <row r="551">
      <c r="A551" t="n">
        <v>548</v>
      </c>
      <c r="B551" s="8" t="n"/>
      <c r="C551" s="4" t="n"/>
      <c r="D551" s="4" t="n"/>
      <c r="E551" s="4" t="n"/>
      <c r="F551" s="5" t="n"/>
      <c r="G551" s="9">
        <f>IF(E551="","",E551*F551)</f>
        <v/>
      </c>
      <c r="H551" s="5" t="n"/>
      <c r="I551" s="9">
        <f>IF(G551="","",G551-IF(H551="",0,H551))</f>
        <v/>
      </c>
    </row>
    <row r="552">
      <c r="A552" t="n">
        <v>549</v>
      </c>
      <c r="B552" s="8" t="n"/>
      <c r="C552" s="4" t="n"/>
      <c r="D552" s="4" t="n"/>
      <c r="E552" s="4" t="n"/>
      <c r="F552" s="5" t="n"/>
      <c r="G552" s="9">
        <f>IF(E552="","",E552*F552)</f>
        <v/>
      </c>
      <c r="H552" s="5" t="n"/>
      <c r="I552" s="9">
        <f>IF(G552="","",G552-IF(H552="",0,H552))</f>
        <v/>
      </c>
    </row>
    <row r="553">
      <c r="A553" t="n">
        <v>550</v>
      </c>
      <c r="B553" s="8" t="n"/>
      <c r="C553" s="4" t="n"/>
      <c r="D553" s="4" t="n"/>
      <c r="E553" s="4" t="n"/>
      <c r="F553" s="5" t="n"/>
      <c r="G553" s="9">
        <f>IF(E553="","",E553*F553)</f>
        <v/>
      </c>
      <c r="H553" s="5" t="n"/>
      <c r="I553" s="9">
        <f>IF(G553="","",G553-IF(H553="",0,H553))</f>
        <v/>
      </c>
    </row>
    <row r="554">
      <c r="A554" t="n">
        <v>551</v>
      </c>
      <c r="B554" s="8" t="n"/>
      <c r="C554" s="4" t="n"/>
      <c r="D554" s="4" t="n"/>
      <c r="E554" s="4" t="n"/>
      <c r="F554" s="5" t="n"/>
      <c r="G554" s="9">
        <f>IF(E554="","",E554*F554)</f>
        <v/>
      </c>
      <c r="H554" s="5" t="n"/>
      <c r="I554" s="9">
        <f>IF(G554="","",G554-IF(H554="",0,H554))</f>
        <v/>
      </c>
    </row>
    <row r="555">
      <c r="A555" t="n">
        <v>552</v>
      </c>
      <c r="B555" s="8" t="n"/>
      <c r="C555" s="4" t="n"/>
      <c r="D555" s="4" t="n"/>
      <c r="E555" s="4" t="n"/>
      <c r="F555" s="5" t="n"/>
      <c r="G555" s="9">
        <f>IF(E555="","",E555*F555)</f>
        <v/>
      </c>
      <c r="H555" s="5" t="n"/>
      <c r="I555" s="9">
        <f>IF(G555="","",G555-IF(H555="",0,H555))</f>
        <v/>
      </c>
    </row>
    <row r="556">
      <c r="A556" t="n">
        <v>553</v>
      </c>
      <c r="B556" s="8" t="n"/>
      <c r="C556" s="4" t="n"/>
      <c r="D556" s="4" t="n"/>
      <c r="E556" s="4" t="n"/>
      <c r="F556" s="5" t="n"/>
      <c r="G556" s="9">
        <f>IF(E556="","",E556*F556)</f>
        <v/>
      </c>
      <c r="H556" s="5" t="n"/>
      <c r="I556" s="9">
        <f>IF(G556="","",G556-IF(H556="",0,H556))</f>
        <v/>
      </c>
    </row>
    <row r="557">
      <c r="A557" t="n">
        <v>554</v>
      </c>
      <c r="B557" s="8" t="n"/>
      <c r="C557" s="4" t="n"/>
      <c r="D557" s="4" t="n"/>
      <c r="E557" s="4" t="n"/>
      <c r="F557" s="5" t="n"/>
      <c r="G557" s="9">
        <f>IF(E557="","",E557*F557)</f>
        <v/>
      </c>
      <c r="H557" s="5" t="n"/>
      <c r="I557" s="9">
        <f>IF(G557="","",G557-IF(H557="",0,H557))</f>
        <v/>
      </c>
    </row>
    <row r="558">
      <c r="A558" t="n">
        <v>555</v>
      </c>
      <c r="B558" s="8" t="n"/>
      <c r="C558" s="4" t="n"/>
      <c r="D558" s="4" t="n"/>
      <c r="E558" s="4" t="n"/>
      <c r="F558" s="5" t="n"/>
      <c r="G558" s="9">
        <f>IF(E558="","",E558*F558)</f>
        <v/>
      </c>
      <c r="H558" s="5" t="n"/>
      <c r="I558" s="9">
        <f>IF(G558="","",G558-IF(H558="",0,H558))</f>
        <v/>
      </c>
    </row>
    <row r="559">
      <c r="A559" t="n">
        <v>556</v>
      </c>
      <c r="B559" s="8" t="n"/>
      <c r="C559" s="4" t="n"/>
      <c r="D559" s="4" t="n"/>
      <c r="E559" s="4" t="n"/>
      <c r="F559" s="5" t="n"/>
      <c r="G559" s="9">
        <f>IF(E559="","",E559*F559)</f>
        <v/>
      </c>
      <c r="H559" s="5" t="n"/>
      <c r="I559" s="9">
        <f>IF(G559="","",G559-IF(H559="",0,H559))</f>
        <v/>
      </c>
    </row>
    <row r="560">
      <c r="A560" t="n">
        <v>557</v>
      </c>
      <c r="B560" s="8" t="n"/>
      <c r="C560" s="4" t="n"/>
      <c r="D560" s="4" t="n"/>
      <c r="E560" s="4" t="n"/>
      <c r="F560" s="5" t="n"/>
      <c r="G560" s="9">
        <f>IF(E560="","",E560*F560)</f>
        <v/>
      </c>
      <c r="H560" s="5" t="n"/>
      <c r="I560" s="9">
        <f>IF(G560="","",G560-IF(H560="",0,H560))</f>
        <v/>
      </c>
    </row>
    <row r="561">
      <c r="A561" t="n">
        <v>558</v>
      </c>
      <c r="B561" s="8" t="n"/>
      <c r="C561" s="4" t="n"/>
      <c r="D561" s="4" t="n"/>
      <c r="E561" s="4" t="n"/>
      <c r="F561" s="5" t="n"/>
      <c r="G561" s="9">
        <f>IF(E561="","",E561*F561)</f>
        <v/>
      </c>
      <c r="H561" s="5" t="n"/>
      <c r="I561" s="9">
        <f>IF(G561="","",G561-IF(H561="",0,H561))</f>
        <v/>
      </c>
    </row>
    <row r="562">
      <c r="A562" t="n">
        <v>559</v>
      </c>
      <c r="B562" s="8" t="n"/>
      <c r="C562" s="4" t="n"/>
      <c r="D562" s="4" t="n"/>
      <c r="E562" s="4" t="n"/>
      <c r="F562" s="5" t="n"/>
      <c r="G562" s="9">
        <f>IF(E562="","",E562*F562)</f>
        <v/>
      </c>
      <c r="H562" s="5" t="n"/>
      <c r="I562" s="9">
        <f>IF(G562="","",G562-IF(H562="",0,H562))</f>
        <v/>
      </c>
    </row>
    <row r="563">
      <c r="A563" t="n">
        <v>560</v>
      </c>
      <c r="B563" s="8" t="n"/>
      <c r="C563" s="4" t="n"/>
      <c r="D563" s="4" t="n"/>
      <c r="E563" s="4" t="n"/>
      <c r="F563" s="5" t="n"/>
      <c r="G563" s="9">
        <f>IF(E563="","",E563*F563)</f>
        <v/>
      </c>
      <c r="H563" s="5" t="n"/>
      <c r="I563" s="9">
        <f>IF(G563="","",G563-IF(H563="",0,H563))</f>
        <v/>
      </c>
    </row>
    <row r="564">
      <c r="A564" t="n">
        <v>561</v>
      </c>
      <c r="B564" s="8" t="n"/>
      <c r="C564" s="4" t="n"/>
      <c r="D564" s="4" t="n"/>
      <c r="E564" s="4" t="n"/>
      <c r="F564" s="5" t="n"/>
      <c r="G564" s="9">
        <f>IF(E564="","",E564*F564)</f>
        <v/>
      </c>
      <c r="H564" s="5" t="n"/>
      <c r="I564" s="9">
        <f>IF(G564="","",G564-IF(H564="",0,H564))</f>
        <v/>
      </c>
    </row>
    <row r="565">
      <c r="A565" t="n">
        <v>562</v>
      </c>
      <c r="B565" s="8" t="n"/>
      <c r="C565" s="4" t="n"/>
      <c r="D565" s="4" t="n"/>
      <c r="E565" s="4" t="n"/>
      <c r="F565" s="5" t="n"/>
      <c r="G565" s="9">
        <f>IF(E565="","",E565*F565)</f>
        <v/>
      </c>
      <c r="H565" s="5" t="n"/>
      <c r="I565" s="9">
        <f>IF(G565="","",G565-IF(H565="",0,H565))</f>
        <v/>
      </c>
    </row>
    <row r="566">
      <c r="A566" t="n">
        <v>563</v>
      </c>
      <c r="B566" s="8" t="n"/>
      <c r="C566" s="4" t="n"/>
      <c r="D566" s="4" t="n"/>
      <c r="E566" s="4" t="n"/>
      <c r="F566" s="5" t="n"/>
      <c r="G566" s="9">
        <f>IF(E566="","",E566*F566)</f>
        <v/>
      </c>
      <c r="H566" s="5" t="n"/>
      <c r="I566" s="9">
        <f>IF(G566="","",G566-IF(H566="",0,H566))</f>
        <v/>
      </c>
    </row>
    <row r="567">
      <c r="A567" t="n">
        <v>564</v>
      </c>
      <c r="B567" s="8" t="n"/>
      <c r="C567" s="4" t="n"/>
      <c r="D567" s="4" t="n"/>
      <c r="E567" s="4" t="n"/>
      <c r="F567" s="5" t="n"/>
      <c r="G567" s="9">
        <f>IF(E567="","",E567*F567)</f>
        <v/>
      </c>
      <c r="H567" s="5" t="n"/>
      <c r="I567" s="9">
        <f>IF(G567="","",G567-IF(H567="",0,H567))</f>
        <v/>
      </c>
    </row>
    <row r="568">
      <c r="A568" t="n">
        <v>565</v>
      </c>
      <c r="B568" s="8" t="n"/>
      <c r="C568" s="4" t="n"/>
      <c r="D568" s="4" t="n"/>
      <c r="E568" s="4" t="n"/>
      <c r="F568" s="5" t="n"/>
      <c r="G568" s="9">
        <f>IF(E568="","",E568*F568)</f>
        <v/>
      </c>
      <c r="H568" s="5" t="n"/>
      <c r="I568" s="9">
        <f>IF(G568="","",G568-IF(H568="",0,H568))</f>
        <v/>
      </c>
    </row>
    <row r="569">
      <c r="A569" t="n">
        <v>566</v>
      </c>
      <c r="B569" s="8" t="n"/>
      <c r="C569" s="4" t="n"/>
      <c r="D569" s="4" t="n"/>
      <c r="E569" s="4" t="n"/>
      <c r="F569" s="5" t="n"/>
      <c r="G569" s="9">
        <f>IF(E569="","",E569*F569)</f>
        <v/>
      </c>
      <c r="H569" s="5" t="n"/>
      <c r="I569" s="9">
        <f>IF(G569="","",G569-IF(H569="",0,H569))</f>
        <v/>
      </c>
    </row>
    <row r="570">
      <c r="A570" t="n">
        <v>567</v>
      </c>
      <c r="B570" s="8" t="n"/>
      <c r="C570" s="4" t="n"/>
      <c r="D570" s="4" t="n"/>
      <c r="E570" s="4" t="n"/>
      <c r="F570" s="5" t="n"/>
      <c r="G570" s="9">
        <f>IF(E570="","",E570*F570)</f>
        <v/>
      </c>
      <c r="H570" s="5" t="n"/>
      <c r="I570" s="9">
        <f>IF(G570="","",G570-IF(H570="",0,H570))</f>
        <v/>
      </c>
    </row>
    <row r="571">
      <c r="A571" t="n">
        <v>568</v>
      </c>
      <c r="B571" s="8" t="n"/>
      <c r="C571" s="4" t="n"/>
      <c r="D571" s="4" t="n"/>
      <c r="E571" s="4" t="n"/>
      <c r="F571" s="5" t="n"/>
      <c r="G571" s="9">
        <f>IF(E571="","",E571*F571)</f>
        <v/>
      </c>
      <c r="H571" s="5" t="n"/>
      <c r="I571" s="9">
        <f>IF(G571="","",G571-IF(H571="",0,H571))</f>
        <v/>
      </c>
    </row>
    <row r="572">
      <c r="A572" t="n">
        <v>569</v>
      </c>
      <c r="B572" s="8" t="n"/>
      <c r="C572" s="4" t="n"/>
      <c r="D572" s="4" t="n"/>
      <c r="E572" s="4" t="n"/>
      <c r="F572" s="5" t="n"/>
      <c r="G572" s="9">
        <f>IF(E572="","",E572*F572)</f>
        <v/>
      </c>
      <c r="H572" s="5" t="n"/>
      <c r="I572" s="9">
        <f>IF(G572="","",G572-IF(H572="",0,H572))</f>
        <v/>
      </c>
    </row>
    <row r="573">
      <c r="A573" t="n">
        <v>570</v>
      </c>
      <c r="B573" s="8" t="n"/>
      <c r="C573" s="4" t="n"/>
      <c r="D573" s="4" t="n"/>
      <c r="E573" s="4" t="n"/>
      <c r="F573" s="5" t="n"/>
      <c r="G573" s="9">
        <f>IF(E573="","",E573*F573)</f>
        <v/>
      </c>
      <c r="H573" s="5" t="n"/>
      <c r="I573" s="9">
        <f>IF(G573="","",G573-IF(H573="",0,H573))</f>
        <v/>
      </c>
    </row>
    <row r="574">
      <c r="A574" t="n">
        <v>571</v>
      </c>
      <c r="B574" s="8" t="n"/>
      <c r="C574" s="4" t="n"/>
      <c r="D574" s="4" t="n"/>
      <c r="E574" s="4" t="n"/>
      <c r="F574" s="5" t="n"/>
      <c r="G574" s="9">
        <f>IF(E574="","",E574*F574)</f>
        <v/>
      </c>
      <c r="H574" s="5" t="n"/>
      <c r="I574" s="9">
        <f>IF(G574="","",G574-IF(H574="",0,H574))</f>
        <v/>
      </c>
    </row>
    <row r="575">
      <c r="A575" t="n">
        <v>572</v>
      </c>
      <c r="B575" s="8" t="n"/>
      <c r="C575" s="4" t="n"/>
      <c r="D575" s="4" t="n"/>
      <c r="E575" s="4" t="n"/>
      <c r="F575" s="5" t="n"/>
      <c r="G575" s="9">
        <f>IF(E575="","",E575*F575)</f>
        <v/>
      </c>
      <c r="H575" s="5" t="n"/>
      <c r="I575" s="9">
        <f>IF(G575="","",G575-IF(H575="",0,H575))</f>
        <v/>
      </c>
    </row>
    <row r="576">
      <c r="A576" t="n">
        <v>573</v>
      </c>
      <c r="B576" s="8" t="n"/>
      <c r="C576" s="4" t="n"/>
      <c r="D576" s="4" t="n"/>
      <c r="E576" s="4" t="n"/>
      <c r="F576" s="5" t="n"/>
      <c r="G576" s="9">
        <f>IF(E576="","",E576*F576)</f>
        <v/>
      </c>
      <c r="H576" s="5" t="n"/>
      <c r="I576" s="9">
        <f>IF(G576="","",G576-IF(H576="",0,H576))</f>
        <v/>
      </c>
    </row>
    <row r="577">
      <c r="A577" t="n">
        <v>574</v>
      </c>
      <c r="B577" s="8" t="n"/>
      <c r="C577" s="4" t="n"/>
      <c r="D577" s="4" t="n"/>
      <c r="E577" s="4" t="n"/>
      <c r="F577" s="5" t="n"/>
      <c r="G577" s="9">
        <f>IF(E577="","",E577*F577)</f>
        <v/>
      </c>
      <c r="H577" s="5" t="n"/>
      <c r="I577" s="9">
        <f>IF(G577="","",G577-IF(H577="",0,H577))</f>
        <v/>
      </c>
    </row>
    <row r="578">
      <c r="A578" t="n">
        <v>575</v>
      </c>
      <c r="B578" s="8" t="n"/>
      <c r="C578" s="4" t="n"/>
      <c r="D578" s="4" t="n"/>
      <c r="E578" s="4" t="n"/>
      <c r="F578" s="5" t="n"/>
      <c r="G578" s="9">
        <f>IF(E578="","",E578*F578)</f>
        <v/>
      </c>
      <c r="H578" s="5" t="n"/>
      <c r="I578" s="9">
        <f>IF(G578="","",G578-IF(H578="",0,H578))</f>
        <v/>
      </c>
    </row>
    <row r="579">
      <c r="A579" t="n">
        <v>576</v>
      </c>
      <c r="B579" s="8" t="n"/>
      <c r="C579" s="4" t="n"/>
      <c r="D579" s="4" t="n"/>
      <c r="E579" s="4" t="n"/>
      <c r="F579" s="5" t="n"/>
      <c r="G579" s="9">
        <f>IF(E579="","",E579*F579)</f>
        <v/>
      </c>
      <c r="H579" s="5" t="n"/>
      <c r="I579" s="9">
        <f>IF(G579="","",G579-IF(H579="",0,H579))</f>
        <v/>
      </c>
    </row>
    <row r="580">
      <c r="A580" t="n">
        <v>577</v>
      </c>
      <c r="B580" s="8" t="n"/>
      <c r="C580" s="4" t="n"/>
      <c r="D580" s="4" t="n"/>
      <c r="E580" s="4" t="n"/>
      <c r="F580" s="5" t="n"/>
      <c r="G580" s="9">
        <f>IF(E580="","",E580*F580)</f>
        <v/>
      </c>
      <c r="H580" s="5" t="n"/>
      <c r="I580" s="9">
        <f>IF(G580="","",G580-IF(H580="",0,H580))</f>
        <v/>
      </c>
    </row>
    <row r="581">
      <c r="A581" t="n">
        <v>578</v>
      </c>
      <c r="B581" s="8" t="n"/>
      <c r="C581" s="4" t="n"/>
      <c r="D581" s="4" t="n"/>
      <c r="E581" s="4" t="n"/>
      <c r="F581" s="5" t="n"/>
      <c r="G581" s="9">
        <f>IF(E581="","",E581*F581)</f>
        <v/>
      </c>
      <c r="H581" s="5" t="n"/>
      <c r="I581" s="9">
        <f>IF(G581="","",G581-IF(H581="",0,H581))</f>
        <v/>
      </c>
    </row>
    <row r="582">
      <c r="A582" t="n">
        <v>579</v>
      </c>
      <c r="B582" s="8" t="n"/>
      <c r="C582" s="4" t="n"/>
      <c r="D582" s="4" t="n"/>
      <c r="E582" s="4" t="n"/>
      <c r="F582" s="5" t="n"/>
      <c r="G582" s="9">
        <f>IF(E582="","",E582*F582)</f>
        <v/>
      </c>
      <c r="H582" s="5" t="n"/>
      <c r="I582" s="9">
        <f>IF(G582="","",G582-IF(H582="",0,H582))</f>
        <v/>
      </c>
    </row>
    <row r="583">
      <c r="A583" t="n">
        <v>580</v>
      </c>
      <c r="B583" s="8" t="n"/>
      <c r="C583" s="4" t="n"/>
      <c r="D583" s="4" t="n"/>
      <c r="E583" s="4" t="n"/>
      <c r="F583" s="5" t="n"/>
      <c r="G583" s="9">
        <f>IF(E583="","",E583*F583)</f>
        <v/>
      </c>
      <c r="H583" s="5" t="n"/>
      <c r="I583" s="9">
        <f>IF(G583="","",G583-IF(H583="",0,H583))</f>
        <v/>
      </c>
    </row>
    <row r="584">
      <c r="A584" t="n">
        <v>581</v>
      </c>
      <c r="B584" s="8" t="n"/>
      <c r="C584" s="4" t="n"/>
      <c r="D584" s="4" t="n"/>
      <c r="E584" s="4" t="n"/>
      <c r="F584" s="5" t="n"/>
      <c r="G584" s="9">
        <f>IF(E584="","",E584*F584)</f>
        <v/>
      </c>
      <c r="H584" s="5" t="n"/>
      <c r="I584" s="9">
        <f>IF(G584="","",G584-IF(H584="",0,H584))</f>
        <v/>
      </c>
    </row>
    <row r="585">
      <c r="A585" t="n">
        <v>582</v>
      </c>
      <c r="B585" s="8" t="n"/>
      <c r="C585" s="4" t="n"/>
      <c r="D585" s="4" t="n"/>
      <c r="E585" s="4" t="n"/>
      <c r="F585" s="5" t="n"/>
      <c r="G585" s="9">
        <f>IF(E585="","",E585*F585)</f>
        <v/>
      </c>
      <c r="H585" s="5" t="n"/>
      <c r="I585" s="9">
        <f>IF(G585="","",G585-IF(H585="",0,H585))</f>
        <v/>
      </c>
    </row>
    <row r="586">
      <c r="A586" t="n">
        <v>583</v>
      </c>
      <c r="B586" s="8" t="n"/>
      <c r="C586" s="4" t="n"/>
      <c r="D586" s="4" t="n"/>
      <c r="E586" s="4" t="n"/>
      <c r="F586" s="5" t="n"/>
      <c r="G586" s="9">
        <f>IF(E586="","",E586*F586)</f>
        <v/>
      </c>
      <c r="H586" s="5" t="n"/>
      <c r="I586" s="9">
        <f>IF(G586="","",G586-IF(H586="",0,H586))</f>
        <v/>
      </c>
    </row>
    <row r="587">
      <c r="A587" t="n">
        <v>584</v>
      </c>
      <c r="B587" s="8" t="n"/>
      <c r="C587" s="4" t="n"/>
      <c r="D587" s="4" t="n"/>
      <c r="E587" s="4" t="n"/>
      <c r="F587" s="5" t="n"/>
      <c r="G587" s="9">
        <f>IF(E587="","",E587*F587)</f>
        <v/>
      </c>
      <c r="H587" s="5" t="n"/>
      <c r="I587" s="9">
        <f>IF(G587="","",G587-IF(H587="",0,H587))</f>
        <v/>
      </c>
    </row>
    <row r="588">
      <c r="A588" t="n">
        <v>585</v>
      </c>
      <c r="B588" s="8" t="n"/>
      <c r="C588" s="4" t="n"/>
      <c r="D588" s="4" t="n"/>
      <c r="E588" s="4" t="n"/>
      <c r="F588" s="5" t="n"/>
      <c r="G588" s="9">
        <f>IF(E588="","",E588*F588)</f>
        <v/>
      </c>
      <c r="H588" s="5" t="n"/>
      <c r="I588" s="9">
        <f>IF(G588="","",G588-IF(H588="",0,H588))</f>
        <v/>
      </c>
    </row>
    <row r="589">
      <c r="A589" t="n">
        <v>586</v>
      </c>
      <c r="B589" s="8" t="n"/>
      <c r="C589" s="4" t="n"/>
      <c r="D589" s="4" t="n"/>
      <c r="E589" s="4" t="n"/>
      <c r="F589" s="5" t="n"/>
      <c r="G589" s="9">
        <f>IF(E589="","",E589*F589)</f>
        <v/>
      </c>
      <c r="H589" s="5" t="n"/>
      <c r="I589" s="9">
        <f>IF(G589="","",G589-IF(H589="",0,H589))</f>
        <v/>
      </c>
    </row>
    <row r="590">
      <c r="A590" t="n">
        <v>587</v>
      </c>
      <c r="B590" s="8" t="n"/>
      <c r="C590" s="4" t="n"/>
      <c r="D590" s="4" t="n"/>
      <c r="E590" s="4" t="n"/>
      <c r="F590" s="5" t="n"/>
      <c r="G590" s="9">
        <f>IF(E590="","",E590*F590)</f>
        <v/>
      </c>
      <c r="H590" s="5" t="n"/>
      <c r="I590" s="9">
        <f>IF(G590="","",G590-IF(H590="",0,H590))</f>
        <v/>
      </c>
    </row>
    <row r="591">
      <c r="A591" t="n">
        <v>588</v>
      </c>
      <c r="B591" s="8" t="n"/>
      <c r="C591" s="4" t="n"/>
      <c r="D591" s="4" t="n"/>
      <c r="E591" s="4" t="n"/>
      <c r="F591" s="5" t="n"/>
      <c r="G591" s="9">
        <f>IF(E591="","",E591*F591)</f>
        <v/>
      </c>
      <c r="H591" s="5" t="n"/>
      <c r="I591" s="9">
        <f>IF(G591="","",G591-IF(H591="",0,H591))</f>
        <v/>
      </c>
    </row>
    <row r="592">
      <c r="A592" t="n">
        <v>589</v>
      </c>
      <c r="B592" s="8" t="n"/>
      <c r="C592" s="4" t="n"/>
      <c r="D592" s="4" t="n"/>
      <c r="E592" s="4" t="n"/>
      <c r="F592" s="5" t="n"/>
      <c r="G592" s="9">
        <f>IF(E592="","",E592*F592)</f>
        <v/>
      </c>
      <c r="H592" s="5" t="n"/>
      <c r="I592" s="9">
        <f>IF(G592="","",G592-IF(H592="",0,H592))</f>
        <v/>
      </c>
    </row>
    <row r="593">
      <c r="A593" t="n">
        <v>590</v>
      </c>
      <c r="B593" s="8" t="n"/>
      <c r="C593" s="4" t="n"/>
      <c r="D593" s="4" t="n"/>
      <c r="E593" s="4" t="n"/>
      <c r="F593" s="5" t="n"/>
      <c r="G593" s="9">
        <f>IF(E593="","",E593*F593)</f>
        <v/>
      </c>
      <c r="H593" s="5" t="n"/>
      <c r="I593" s="9">
        <f>IF(G593="","",G593-IF(H593="",0,H593))</f>
        <v/>
      </c>
    </row>
    <row r="594">
      <c r="A594" t="n">
        <v>591</v>
      </c>
      <c r="B594" s="8" t="n"/>
      <c r="C594" s="4" t="n"/>
      <c r="D594" s="4" t="n"/>
      <c r="E594" s="4" t="n"/>
      <c r="F594" s="5" t="n"/>
      <c r="G594" s="9">
        <f>IF(E594="","",E594*F594)</f>
        <v/>
      </c>
      <c r="H594" s="5" t="n"/>
      <c r="I594" s="9">
        <f>IF(G594="","",G594-IF(H594="",0,H594))</f>
        <v/>
      </c>
    </row>
    <row r="595">
      <c r="A595" t="n">
        <v>592</v>
      </c>
      <c r="B595" s="8" t="n"/>
      <c r="C595" s="4" t="n"/>
      <c r="D595" s="4" t="n"/>
      <c r="E595" s="4" t="n"/>
      <c r="F595" s="5" t="n"/>
      <c r="G595" s="9">
        <f>IF(E595="","",E595*F595)</f>
        <v/>
      </c>
      <c r="H595" s="5" t="n"/>
      <c r="I595" s="9">
        <f>IF(G595="","",G595-IF(H595="",0,H595))</f>
        <v/>
      </c>
    </row>
    <row r="596">
      <c r="A596" t="n">
        <v>593</v>
      </c>
      <c r="B596" s="8" t="n"/>
      <c r="C596" s="4" t="n"/>
      <c r="D596" s="4" t="n"/>
      <c r="E596" s="4" t="n"/>
      <c r="F596" s="5" t="n"/>
      <c r="G596" s="9">
        <f>IF(E596="","",E596*F596)</f>
        <v/>
      </c>
      <c r="H596" s="5" t="n"/>
      <c r="I596" s="9">
        <f>IF(G596="","",G596-IF(H596="",0,H596))</f>
        <v/>
      </c>
    </row>
    <row r="597">
      <c r="A597" t="n">
        <v>594</v>
      </c>
      <c r="B597" s="8" t="n"/>
      <c r="C597" s="4" t="n"/>
      <c r="D597" s="4" t="n"/>
      <c r="E597" s="4" t="n"/>
      <c r="F597" s="5" t="n"/>
      <c r="G597" s="9">
        <f>IF(E597="","",E597*F597)</f>
        <v/>
      </c>
      <c r="H597" s="5" t="n"/>
      <c r="I597" s="9">
        <f>IF(G597="","",G597-IF(H597="",0,H597))</f>
        <v/>
      </c>
    </row>
    <row r="598">
      <c r="A598" t="n">
        <v>595</v>
      </c>
      <c r="B598" s="8" t="n"/>
      <c r="C598" s="4" t="n"/>
      <c r="D598" s="4" t="n"/>
      <c r="E598" s="4" t="n"/>
      <c r="F598" s="5" t="n"/>
      <c r="G598" s="9">
        <f>IF(E598="","",E598*F598)</f>
        <v/>
      </c>
      <c r="H598" s="5" t="n"/>
      <c r="I598" s="9">
        <f>IF(G598="","",G598-IF(H598="",0,H598))</f>
        <v/>
      </c>
    </row>
    <row r="599">
      <c r="A599" t="n">
        <v>596</v>
      </c>
      <c r="B599" s="8" t="n"/>
      <c r="C599" s="4" t="n"/>
      <c r="D599" s="4" t="n"/>
      <c r="E599" s="4" t="n"/>
      <c r="F599" s="5" t="n"/>
      <c r="G599" s="9">
        <f>IF(E599="","",E599*F599)</f>
        <v/>
      </c>
      <c r="H599" s="5" t="n"/>
      <c r="I599" s="9">
        <f>IF(G599="","",G599-IF(H599="",0,H599))</f>
        <v/>
      </c>
    </row>
    <row r="600">
      <c r="A600" t="n">
        <v>597</v>
      </c>
      <c r="B600" s="8" t="n"/>
      <c r="C600" s="4" t="n"/>
      <c r="D600" s="4" t="n"/>
      <c r="E600" s="4" t="n"/>
      <c r="F600" s="5" t="n"/>
      <c r="G600" s="9">
        <f>IF(E600="","",E600*F600)</f>
        <v/>
      </c>
      <c r="H600" s="5" t="n"/>
      <c r="I600" s="9">
        <f>IF(G600="","",G600-IF(H600="",0,H600))</f>
        <v/>
      </c>
    </row>
    <row r="601">
      <c r="A601" t="n">
        <v>598</v>
      </c>
      <c r="B601" s="8" t="n"/>
      <c r="C601" s="4" t="n"/>
      <c r="D601" s="4" t="n"/>
      <c r="E601" s="4" t="n"/>
      <c r="F601" s="5" t="n"/>
      <c r="G601" s="9">
        <f>IF(E601="","",E601*F601)</f>
        <v/>
      </c>
      <c r="H601" s="5" t="n"/>
      <c r="I601" s="9">
        <f>IF(G601="","",G601-IF(H601="",0,H601))</f>
        <v/>
      </c>
    </row>
    <row r="602">
      <c r="A602" t="n">
        <v>599</v>
      </c>
      <c r="B602" s="8" t="n"/>
      <c r="C602" s="4" t="n"/>
      <c r="D602" s="4" t="n"/>
      <c r="E602" s="4" t="n"/>
      <c r="F602" s="5" t="n"/>
      <c r="G602" s="9">
        <f>IF(E602="","",E602*F602)</f>
        <v/>
      </c>
      <c r="H602" s="5" t="n"/>
      <c r="I602" s="9">
        <f>IF(G602="","",G602-IF(H602="",0,H602))</f>
        <v/>
      </c>
    </row>
    <row r="603">
      <c r="A603" t="n">
        <v>600</v>
      </c>
      <c r="B603" s="8" t="n"/>
      <c r="C603" s="4" t="n"/>
      <c r="D603" s="4" t="n"/>
      <c r="E603" s="4" t="n"/>
      <c r="F603" s="5" t="n"/>
      <c r="G603" s="9">
        <f>IF(E603="","",E603*F603)</f>
        <v/>
      </c>
      <c r="H603" s="5" t="n"/>
      <c r="I603" s="9">
        <f>IF(G603="","",G603-IF(H603="",0,H603))</f>
        <v/>
      </c>
    </row>
    <row r="604">
      <c r="A604" t="n">
        <v>601</v>
      </c>
      <c r="B604" s="8" t="n"/>
      <c r="C604" s="4" t="n"/>
      <c r="D604" s="4" t="n"/>
      <c r="E604" s="4" t="n"/>
      <c r="F604" s="5" t="n"/>
      <c r="G604" s="9">
        <f>IF(E604="","",E604*F604)</f>
        <v/>
      </c>
      <c r="H604" s="5" t="n"/>
      <c r="I604" s="9">
        <f>IF(G604="","",G604-IF(H604="",0,H604))</f>
        <v/>
      </c>
    </row>
    <row r="605">
      <c r="A605" t="n">
        <v>602</v>
      </c>
      <c r="B605" s="8" t="n"/>
      <c r="C605" s="4" t="n"/>
      <c r="D605" s="4" t="n"/>
      <c r="E605" s="4" t="n"/>
      <c r="F605" s="5" t="n"/>
      <c r="G605" s="9">
        <f>IF(E605="","",E605*F605)</f>
        <v/>
      </c>
      <c r="H605" s="5" t="n"/>
      <c r="I605" s="9">
        <f>IF(G605="","",G605-IF(H605="",0,H605))</f>
        <v/>
      </c>
    </row>
    <row r="606">
      <c r="A606" t="n">
        <v>603</v>
      </c>
      <c r="B606" s="8" t="n"/>
      <c r="C606" s="4" t="n"/>
      <c r="D606" s="4" t="n"/>
      <c r="E606" s="4" t="n"/>
      <c r="F606" s="5" t="n"/>
      <c r="G606" s="9">
        <f>IF(E606="","",E606*F606)</f>
        <v/>
      </c>
      <c r="H606" s="5" t="n"/>
      <c r="I606" s="9">
        <f>IF(G606="","",G606-IF(H606="",0,H606))</f>
        <v/>
      </c>
    </row>
    <row r="607">
      <c r="A607" t="n">
        <v>604</v>
      </c>
      <c r="B607" s="8" t="n"/>
      <c r="C607" s="4" t="n"/>
      <c r="D607" s="4" t="n"/>
      <c r="E607" s="4" t="n"/>
      <c r="F607" s="5" t="n"/>
      <c r="G607" s="9">
        <f>IF(E607="","",E607*F607)</f>
        <v/>
      </c>
      <c r="H607" s="5" t="n"/>
      <c r="I607" s="9">
        <f>IF(G607="","",G607-IF(H607="",0,H607))</f>
        <v/>
      </c>
    </row>
    <row r="608">
      <c r="A608" t="n">
        <v>605</v>
      </c>
      <c r="B608" s="8" t="n"/>
      <c r="C608" s="4" t="n"/>
      <c r="D608" s="4" t="n"/>
      <c r="E608" s="4" t="n"/>
      <c r="F608" s="5" t="n"/>
      <c r="G608" s="9">
        <f>IF(E608="","",E608*F608)</f>
        <v/>
      </c>
      <c r="H608" s="5" t="n"/>
      <c r="I608" s="9">
        <f>IF(G608="","",G608-IF(H608="",0,H608))</f>
        <v/>
      </c>
    </row>
    <row r="609">
      <c r="A609" t="n">
        <v>606</v>
      </c>
      <c r="B609" s="8" t="n"/>
      <c r="C609" s="4" t="n"/>
      <c r="D609" s="4" t="n"/>
      <c r="E609" s="4" t="n"/>
      <c r="F609" s="5" t="n"/>
      <c r="G609" s="9">
        <f>IF(E609="","",E609*F609)</f>
        <v/>
      </c>
      <c r="H609" s="5" t="n"/>
      <c r="I609" s="9">
        <f>IF(G609="","",G609-IF(H609="",0,H609))</f>
        <v/>
      </c>
    </row>
    <row r="610">
      <c r="A610" t="n">
        <v>607</v>
      </c>
      <c r="B610" s="8" t="n"/>
      <c r="C610" s="4" t="n"/>
      <c r="D610" s="4" t="n"/>
      <c r="E610" s="4" t="n"/>
      <c r="F610" s="5" t="n"/>
      <c r="G610" s="9">
        <f>IF(E610="","",E610*F610)</f>
        <v/>
      </c>
      <c r="H610" s="5" t="n"/>
      <c r="I610" s="9">
        <f>IF(G610="","",G610-IF(H610="",0,H610))</f>
        <v/>
      </c>
    </row>
    <row r="611">
      <c r="A611" t="n">
        <v>608</v>
      </c>
      <c r="B611" s="8" t="n"/>
      <c r="C611" s="4" t="n"/>
      <c r="D611" s="4" t="n"/>
      <c r="E611" s="4" t="n"/>
      <c r="F611" s="5" t="n"/>
      <c r="G611" s="9">
        <f>IF(E611="","",E611*F611)</f>
        <v/>
      </c>
      <c r="H611" s="5" t="n"/>
      <c r="I611" s="9">
        <f>IF(G611="","",G611-IF(H611="",0,H611))</f>
        <v/>
      </c>
    </row>
    <row r="612">
      <c r="A612" t="n">
        <v>609</v>
      </c>
      <c r="B612" s="8" t="n"/>
      <c r="C612" s="4" t="n"/>
      <c r="D612" s="4" t="n"/>
      <c r="E612" s="4" t="n"/>
      <c r="F612" s="5" t="n"/>
      <c r="G612" s="9">
        <f>IF(E612="","",E612*F612)</f>
        <v/>
      </c>
      <c r="H612" s="5" t="n"/>
      <c r="I612" s="9">
        <f>IF(G612="","",G612-IF(H612="",0,H612))</f>
        <v/>
      </c>
    </row>
    <row r="613">
      <c r="A613" t="n">
        <v>610</v>
      </c>
      <c r="B613" s="8" t="n"/>
      <c r="C613" s="4" t="n"/>
      <c r="D613" s="4" t="n"/>
      <c r="E613" s="4" t="n"/>
      <c r="F613" s="5" t="n"/>
      <c r="G613" s="9">
        <f>IF(E613="","",E613*F613)</f>
        <v/>
      </c>
      <c r="H613" s="5" t="n"/>
      <c r="I613" s="9">
        <f>IF(G613="","",G613-IF(H613="",0,H613))</f>
        <v/>
      </c>
    </row>
    <row r="614">
      <c r="A614" t="n">
        <v>611</v>
      </c>
      <c r="B614" s="8" t="n"/>
      <c r="C614" s="4" t="n"/>
      <c r="D614" s="4" t="n"/>
      <c r="E614" s="4" t="n"/>
      <c r="F614" s="5" t="n"/>
      <c r="G614" s="9">
        <f>IF(E614="","",E614*F614)</f>
        <v/>
      </c>
      <c r="H614" s="5" t="n"/>
      <c r="I614" s="9">
        <f>IF(G614="","",G614-IF(H614="",0,H614))</f>
        <v/>
      </c>
    </row>
    <row r="615">
      <c r="A615" t="n">
        <v>612</v>
      </c>
      <c r="B615" s="8" t="n"/>
      <c r="C615" s="4" t="n"/>
      <c r="D615" s="4" t="n"/>
      <c r="E615" s="4" t="n"/>
      <c r="F615" s="5" t="n"/>
      <c r="G615" s="9">
        <f>IF(E615="","",E615*F615)</f>
        <v/>
      </c>
      <c r="H615" s="5" t="n"/>
      <c r="I615" s="9">
        <f>IF(G615="","",G615-IF(H615="",0,H615))</f>
        <v/>
      </c>
    </row>
    <row r="616">
      <c r="A616" t="n">
        <v>613</v>
      </c>
      <c r="B616" s="8" t="n"/>
      <c r="C616" s="4" t="n"/>
      <c r="D616" s="4" t="n"/>
      <c r="E616" s="4" t="n"/>
      <c r="F616" s="5" t="n"/>
      <c r="G616" s="9">
        <f>IF(E616="","",E616*F616)</f>
        <v/>
      </c>
      <c r="H616" s="5" t="n"/>
      <c r="I616" s="9">
        <f>IF(G616="","",G616-IF(H616="",0,H616))</f>
        <v/>
      </c>
    </row>
    <row r="617">
      <c r="A617" t="n">
        <v>614</v>
      </c>
      <c r="B617" s="8" t="n"/>
      <c r="C617" s="4" t="n"/>
      <c r="D617" s="4" t="n"/>
      <c r="E617" s="4" t="n"/>
      <c r="F617" s="5" t="n"/>
      <c r="G617" s="9">
        <f>IF(E617="","",E617*F617)</f>
        <v/>
      </c>
      <c r="H617" s="5" t="n"/>
      <c r="I617" s="9">
        <f>IF(G617="","",G617-IF(H617="",0,H617))</f>
        <v/>
      </c>
    </row>
    <row r="618">
      <c r="A618" t="n">
        <v>615</v>
      </c>
      <c r="B618" s="8" t="n"/>
      <c r="C618" s="4" t="n"/>
      <c r="D618" s="4" t="n"/>
      <c r="E618" s="4" t="n"/>
      <c r="F618" s="5" t="n"/>
      <c r="G618" s="9">
        <f>IF(E618="","",E618*F618)</f>
        <v/>
      </c>
      <c r="H618" s="5" t="n"/>
      <c r="I618" s="9">
        <f>IF(G618="","",G618-IF(H618="",0,H618))</f>
        <v/>
      </c>
    </row>
    <row r="619">
      <c r="A619" t="n">
        <v>616</v>
      </c>
      <c r="B619" s="8" t="n"/>
      <c r="C619" s="4" t="n"/>
      <c r="D619" s="4" t="n"/>
      <c r="E619" s="4" t="n"/>
      <c r="F619" s="5" t="n"/>
      <c r="G619" s="9">
        <f>IF(E619="","",E619*F619)</f>
        <v/>
      </c>
      <c r="H619" s="5" t="n"/>
      <c r="I619" s="9">
        <f>IF(G619="","",G619-IF(H619="",0,H619))</f>
        <v/>
      </c>
    </row>
    <row r="620">
      <c r="A620" t="n">
        <v>617</v>
      </c>
      <c r="B620" s="8" t="n"/>
      <c r="C620" s="4" t="n"/>
      <c r="D620" s="4" t="n"/>
      <c r="E620" s="4" t="n"/>
      <c r="F620" s="5" t="n"/>
      <c r="G620" s="9">
        <f>IF(E620="","",E620*F620)</f>
        <v/>
      </c>
      <c r="H620" s="5" t="n"/>
      <c r="I620" s="9">
        <f>IF(G620="","",G620-IF(H620="",0,H620))</f>
        <v/>
      </c>
    </row>
    <row r="621">
      <c r="A621" t="n">
        <v>618</v>
      </c>
      <c r="B621" s="8" t="n"/>
      <c r="C621" s="4" t="n"/>
      <c r="D621" s="4" t="n"/>
      <c r="E621" s="4" t="n"/>
      <c r="F621" s="5" t="n"/>
      <c r="G621" s="9">
        <f>IF(E621="","",E621*F621)</f>
        <v/>
      </c>
      <c r="H621" s="5" t="n"/>
      <c r="I621" s="9">
        <f>IF(G621="","",G621-IF(H621="",0,H621))</f>
        <v/>
      </c>
    </row>
    <row r="622">
      <c r="A622" t="n">
        <v>619</v>
      </c>
      <c r="B622" s="8" t="n"/>
      <c r="C622" s="4" t="n"/>
      <c r="D622" s="4" t="n"/>
      <c r="E622" s="4" t="n"/>
      <c r="F622" s="5" t="n"/>
      <c r="G622" s="9">
        <f>IF(E622="","",E622*F622)</f>
        <v/>
      </c>
      <c r="H622" s="5" t="n"/>
      <c r="I622" s="9">
        <f>IF(G622="","",G622-IF(H622="",0,H622))</f>
        <v/>
      </c>
    </row>
    <row r="623">
      <c r="A623" t="n">
        <v>620</v>
      </c>
      <c r="B623" s="8" t="n"/>
      <c r="C623" s="4" t="n"/>
      <c r="D623" s="4" t="n"/>
      <c r="E623" s="4" t="n"/>
      <c r="F623" s="5" t="n"/>
      <c r="G623" s="9">
        <f>IF(E623="","",E623*F623)</f>
        <v/>
      </c>
      <c r="H623" s="5" t="n"/>
      <c r="I623" s="9">
        <f>IF(G623="","",G623-IF(H623="",0,H623))</f>
        <v/>
      </c>
    </row>
    <row r="624">
      <c r="A624" t="n">
        <v>621</v>
      </c>
      <c r="B624" s="8" t="n"/>
      <c r="C624" s="4" t="n"/>
      <c r="D624" s="4" t="n"/>
      <c r="E624" s="4" t="n"/>
      <c r="F624" s="5" t="n"/>
      <c r="G624" s="9">
        <f>IF(E624="","",E624*F624)</f>
        <v/>
      </c>
      <c r="H624" s="5" t="n"/>
      <c r="I624" s="9">
        <f>IF(G624="","",G624-IF(H624="",0,H624))</f>
        <v/>
      </c>
    </row>
    <row r="625">
      <c r="A625" t="n">
        <v>622</v>
      </c>
      <c r="B625" s="8" t="n"/>
      <c r="C625" s="4" t="n"/>
      <c r="D625" s="4" t="n"/>
      <c r="E625" s="4" t="n"/>
      <c r="F625" s="5" t="n"/>
      <c r="G625" s="9">
        <f>IF(E625="","",E625*F625)</f>
        <v/>
      </c>
      <c r="H625" s="5" t="n"/>
      <c r="I625" s="9">
        <f>IF(G625="","",G625-IF(H625="",0,H625))</f>
        <v/>
      </c>
    </row>
    <row r="626">
      <c r="A626" t="n">
        <v>623</v>
      </c>
      <c r="B626" s="8" t="n"/>
      <c r="C626" s="4" t="n"/>
      <c r="D626" s="4" t="n"/>
      <c r="E626" s="4" t="n"/>
      <c r="F626" s="5" t="n"/>
      <c r="G626" s="9">
        <f>IF(E626="","",E626*F626)</f>
        <v/>
      </c>
      <c r="H626" s="5" t="n"/>
      <c r="I626" s="9">
        <f>IF(G626="","",G626-IF(H626="",0,H626))</f>
        <v/>
      </c>
    </row>
    <row r="627">
      <c r="A627" t="n">
        <v>624</v>
      </c>
      <c r="B627" s="8" t="n"/>
      <c r="C627" s="4" t="n"/>
      <c r="D627" s="4" t="n"/>
      <c r="E627" s="4" t="n"/>
      <c r="F627" s="5" t="n"/>
      <c r="G627" s="9">
        <f>IF(E627="","",E627*F627)</f>
        <v/>
      </c>
      <c r="H627" s="5" t="n"/>
      <c r="I627" s="9">
        <f>IF(G627="","",G627-IF(H627="",0,H627))</f>
        <v/>
      </c>
    </row>
    <row r="628">
      <c r="A628" t="n">
        <v>625</v>
      </c>
      <c r="B628" s="8" t="n"/>
      <c r="C628" s="4" t="n"/>
      <c r="D628" s="4" t="n"/>
      <c r="E628" s="4" t="n"/>
      <c r="F628" s="5" t="n"/>
      <c r="G628" s="9">
        <f>IF(E628="","",E628*F628)</f>
        <v/>
      </c>
      <c r="H628" s="5" t="n"/>
      <c r="I628" s="9">
        <f>IF(G628="","",G628-IF(H628="",0,H628))</f>
        <v/>
      </c>
    </row>
    <row r="629">
      <c r="A629" t="n">
        <v>626</v>
      </c>
      <c r="B629" s="8" t="n"/>
      <c r="C629" s="4" t="n"/>
      <c r="D629" s="4" t="n"/>
      <c r="E629" s="4" t="n"/>
      <c r="F629" s="5" t="n"/>
      <c r="G629" s="9">
        <f>IF(E629="","",E629*F629)</f>
        <v/>
      </c>
      <c r="H629" s="5" t="n"/>
      <c r="I629" s="9">
        <f>IF(G629="","",G629-IF(H629="",0,H629))</f>
        <v/>
      </c>
    </row>
    <row r="630">
      <c r="A630" t="n">
        <v>627</v>
      </c>
      <c r="B630" s="8" t="n"/>
      <c r="C630" s="4" t="n"/>
      <c r="D630" s="4" t="n"/>
      <c r="E630" s="4" t="n"/>
      <c r="F630" s="5" t="n"/>
      <c r="G630" s="9">
        <f>IF(E630="","",E630*F630)</f>
        <v/>
      </c>
      <c r="H630" s="5" t="n"/>
      <c r="I630" s="9">
        <f>IF(G630="","",G630-IF(H630="",0,H630))</f>
        <v/>
      </c>
    </row>
    <row r="631">
      <c r="A631" t="n">
        <v>628</v>
      </c>
      <c r="B631" s="8" t="n"/>
      <c r="C631" s="4" t="n"/>
      <c r="D631" s="4" t="n"/>
      <c r="E631" s="4" t="n"/>
      <c r="F631" s="5" t="n"/>
      <c r="G631" s="9">
        <f>IF(E631="","",E631*F631)</f>
        <v/>
      </c>
      <c r="H631" s="5" t="n"/>
      <c r="I631" s="9">
        <f>IF(G631="","",G631-IF(H631="",0,H631))</f>
        <v/>
      </c>
    </row>
    <row r="632">
      <c r="A632" t="n">
        <v>629</v>
      </c>
      <c r="B632" s="8" t="n"/>
      <c r="C632" s="4" t="n"/>
      <c r="D632" s="4" t="n"/>
      <c r="E632" s="4" t="n"/>
      <c r="F632" s="5" t="n"/>
      <c r="G632" s="9">
        <f>IF(E632="","",E632*F632)</f>
        <v/>
      </c>
      <c r="H632" s="5" t="n"/>
      <c r="I632" s="9">
        <f>IF(G632="","",G632-IF(H632="",0,H632))</f>
        <v/>
      </c>
    </row>
    <row r="633">
      <c r="A633" t="n">
        <v>630</v>
      </c>
      <c r="B633" s="8" t="n"/>
      <c r="C633" s="4" t="n"/>
      <c r="D633" s="4" t="n"/>
      <c r="E633" s="4" t="n"/>
      <c r="F633" s="5" t="n"/>
      <c r="G633" s="9">
        <f>IF(E633="","",E633*F633)</f>
        <v/>
      </c>
      <c r="H633" s="5" t="n"/>
      <c r="I633" s="9">
        <f>IF(G633="","",G633-IF(H633="",0,H633))</f>
        <v/>
      </c>
    </row>
    <row r="634">
      <c r="A634" t="n">
        <v>631</v>
      </c>
      <c r="B634" s="8" t="n"/>
      <c r="C634" s="4" t="n"/>
      <c r="D634" s="4" t="n"/>
      <c r="E634" s="4" t="n"/>
      <c r="F634" s="5" t="n"/>
      <c r="G634" s="9">
        <f>IF(E634="","",E634*F634)</f>
        <v/>
      </c>
      <c r="H634" s="5" t="n"/>
      <c r="I634" s="9">
        <f>IF(G634="","",G634-IF(H634="",0,H634))</f>
        <v/>
      </c>
    </row>
    <row r="635">
      <c r="A635" t="n">
        <v>632</v>
      </c>
      <c r="B635" s="8" t="n"/>
      <c r="C635" s="4" t="n"/>
      <c r="D635" s="4" t="n"/>
      <c r="E635" s="4" t="n"/>
      <c r="F635" s="5" t="n"/>
      <c r="G635" s="9">
        <f>IF(E635="","",E635*F635)</f>
        <v/>
      </c>
      <c r="H635" s="5" t="n"/>
      <c r="I635" s="9">
        <f>IF(G635="","",G635-IF(H635="",0,H635))</f>
        <v/>
      </c>
    </row>
    <row r="636">
      <c r="A636" t="n">
        <v>633</v>
      </c>
      <c r="B636" s="8" t="n"/>
      <c r="C636" s="4" t="n"/>
      <c r="D636" s="4" t="n"/>
      <c r="E636" s="4" t="n"/>
      <c r="F636" s="5" t="n"/>
      <c r="G636" s="9">
        <f>IF(E636="","",E636*F636)</f>
        <v/>
      </c>
      <c r="H636" s="5" t="n"/>
      <c r="I636" s="9">
        <f>IF(G636="","",G636-IF(H636="",0,H636))</f>
        <v/>
      </c>
    </row>
    <row r="637">
      <c r="A637" t="n">
        <v>634</v>
      </c>
      <c r="B637" s="8" t="n"/>
      <c r="C637" s="4" t="n"/>
      <c r="D637" s="4" t="n"/>
      <c r="E637" s="4" t="n"/>
      <c r="F637" s="5" t="n"/>
      <c r="G637" s="9">
        <f>IF(E637="","",E637*F637)</f>
        <v/>
      </c>
      <c r="H637" s="5" t="n"/>
      <c r="I637" s="9">
        <f>IF(G637="","",G637-IF(H637="",0,H637))</f>
        <v/>
      </c>
    </row>
    <row r="638">
      <c r="A638" t="n">
        <v>635</v>
      </c>
      <c r="B638" s="8" t="n"/>
      <c r="C638" s="4" t="n"/>
      <c r="D638" s="4" t="n"/>
      <c r="E638" s="4" t="n"/>
      <c r="F638" s="5" t="n"/>
      <c r="G638" s="9">
        <f>IF(E638="","",E638*F638)</f>
        <v/>
      </c>
      <c r="H638" s="5" t="n"/>
      <c r="I638" s="9">
        <f>IF(G638="","",G638-IF(H638="",0,H638))</f>
        <v/>
      </c>
    </row>
    <row r="639">
      <c r="A639" t="n">
        <v>636</v>
      </c>
      <c r="B639" s="8" t="n"/>
      <c r="C639" s="4" t="n"/>
      <c r="D639" s="4" t="n"/>
      <c r="E639" s="4" t="n"/>
      <c r="F639" s="5" t="n"/>
      <c r="G639" s="9">
        <f>IF(E639="","",E639*F639)</f>
        <v/>
      </c>
      <c r="H639" s="5" t="n"/>
      <c r="I639" s="9">
        <f>IF(G639="","",G639-IF(H639="",0,H639))</f>
        <v/>
      </c>
    </row>
    <row r="640">
      <c r="A640" t="n">
        <v>637</v>
      </c>
      <c r="B640" s="8" t="n"/>
      <c r="C640" s="4" t="n"/>
      <c r="D640" s="4" t="n"/>
      <c r="E640" s="4" t="n"/>
      <c r="F640" s="5" t="n"/>
      <c r="G640" s="9">
        <f>IF(E640="","",E640*F640)</f>
        <v/>
      </c>
      <c r="H640" s="5" t="n"/>
      <c r="I640" s="9">
        <f>IF(G640="","",G640-IF(H640="",0,H640))</f>
        <v/>
      </c>
    </row>
    <row r="641">
      <c r="A641" t="n">
        <v>638</v>
      </c>
      <c r="B641" s="8" t="n"/>
      <c r="C641" s="4" t="n"/>
      <c r="D641" s="4" t="n"/>
      <c r="E641" s="4" t="n"/>
      <c r="F641" s="5" t="n"/>
      <c r="G641" s="9">
        <f>IF(E641="","",E641*F641)</f>
        <v/>
      </c>
      <c r="H641" s="5" t="n"/>
      <c r="I641" s="9">
        <f>IF(G641="","",G641-IF(H641="",0,H641))</f>
        <v/>
      </c>
    </row>
    <row r="642">
      <c r="A642" t="n">
        <v>639</v>
      </c>
      <c r="B642" s="8" t="n"/>
      <c r="C642" s="4" t="n"/>
      <c r="D642" s="4" t="n"/>
      <c r="E642" s="4" t="n"/>
      <c r="F642" s="5" t="n"/>
      <c r="G642" s="9">
        <f>IF(E642="","",E642*F642)</f>
        <v/>
      </c>
      <c r="H642" s="5" t="n"/>
      <c r="I642" s="9">
        <f>IF(G642="","",G642-IF(H642="",0,H642))</f>
        <v/>
      </c>
    </row>
    <row r="643">
      <c r="A643" t="n">
        <v>640</v>
      </c>
      <c r="B643" s="8" t="n"/>
      <c r="C643" s="4" t="n"/>
      <c r="D643" s="4" t="n"/>
      <c r="E643" s="4" t="n"/>
      <c r="F643" s="5" t="n"/>
      <c r="G643" s="9">
        <f>IF(E643="","",E643*F643)</f>
        <v/>
      </c>
      <c r="H643" s="5" t="n"/>
      <c r="I643" s="9">
        <f>IF(G643="","",G643-IF(H643="",0,H643))</f>
        <v/>
      </c>
    </row>
    <row r="644">
      <c r="A644" t="n">
        <v>641</v>
      </c>
      <c r="B644" s="8" t="n"/>
      <c r="C644" s="4" t="n"/>
      <c r="D644" s="4" t="n"/>
      <c r="E644" s="4" t="n"/>
      <c r="F644" s="5" t="n"/>
      <c r="G644" s="9">
        <f>IF(E644="","",E644*F644)</f>
        <v/>
      </c>
      <c r="H644" s="5" t="n"/>
      <c r="I644" s="9">
        <f>IF(G644="","",G644-IF(H644="",0,H644))</f>
        <v/>
      </c>
    </row>
    <row r="645">
      <c r="A645" t="n">
        <v>642</v>
      </c>
      <c r="B645" s="8" t="n"/>
      <c r="C645" s="4" t="n"/>
      <c r="D645" s="4" t="n"/>
      <c r="E645" s="4" t="n"/>
      <c r="F645" s="5" t="n"/>
      <c r="G645" s="9">
        <f>IF(E645="","",E645*F645)</f>
        <v/>
      </c>
      <c r="H645" s="5" t="n"/>
      <c r="I645" s="9">
        <f>IF(G645="","",G645-IF(H645="",0,H645))</f>
        <v/>
      </c>
    </row>
    <row r="646">
      <c r="A646" t="n">
        <v>643</v>
      </c>
      <c r="B646" s="8" t="n"/>
      <c r="C646" s="4" t="n"/>
      <c r="D646" s="4" t="n"/>
      <c r="E646" s="4" t="n"/>
      <c r="F646" s="5" t="n"/>
      <c r="G646" s="9">
        <f>IF(E646="","",E646*F646)</f>
        <v/>
      </c>
      <c r="H646" s="5" t="n"/>
      <c r="I646" s="9">
        <f>IF(G646="","",G646-IF(H646="",0,H646))</f>
        <v/>
      </c>
    </row>
    <row r="647">
      <c r="A647" t="n">
        <v>644</v>
      </c>
      <c r="B647" s="8" t="n"/>
      <c r="C647" s="4" t="n"/>
      <c r="D647" s="4" t="n"/>
      <c r="E647" s="4" t="n"/>
      <c r="F647" s="5" t="n"/>
      <c r="G647" s="9">
        <f>IF(E647="","",E647*F647)</f>
        <v/>
      </c>
      <c r="H647" s="5" t="n"/>
      <c r="I647" s="9">
        <f>IF(G647="","",G647-IF(H647="",0,H647))</f>
        <v/>
      </c>
    </row>
    <row r="648">
      <c r="A648" t="n">
        <v>645</v>
      </c>
      <c r="B648" s="8" t="n"/>
      <c r="C648" s="4" t="n"/>
      <c r="D648" s="4" t="n"/>
      <c r="E648" s="4" t="n"/>
      <c r="F648" s="5" t="n"/>
      <c r="G648" s="9">
        <f>IF(E648="","",E648*F648)</f>
        <v/>
      </c>
      <c r="H648" s="5" t="n"/>
      <c r="I648" s="9">
        <f>IF(G648="","",G648-IF(H648="",0,H648))</f>
        <v/>
      </c>
    </row>
    <row r="649">
      <c r="A649" t="n">
        <v>646</v>
      </c>
      <c r="B649" s="8" t="n"/>
      <c r="C649" s="4" t="n"/>
      <c r="D649" s="4" t="n"/>
      <c r="E649" s="4" t="n"/>
      <c r="F649" s="5" t="n"/>
      <c r="G649" s="9">
        <f>IF(E649="","",E649*F649)</f>
        <v/>
      </c>
      <c r="H649" s="5" t="n"/>
      <c r="I649" s="9">
        <f>IF(G649="","",G649-IF(H649="",0,H649))</f>
        <v/>
      </c>
    </row>
    <row r="650">
      <c r="A650" t="n">
        <v>647</v>
      </c>
      <c r="B650" s="8" t="n"/>
      <c r="C650" s="4" t="n"/>
      <c r="D650" s="4" t="n"/>
      <c r="E650" s="4" t="n"/>
      <c r="F650" s="5" t="n"/>
      <c r="G650" s="9">
        <f>IF(E650="","",E650*F650)</f>
        <v/>
      </c>
      <c r="H650" s="5" t="n"/>
      <c r="I650" s="9">
        <f>IF(G650="","",G650-IF(H650="",0,H650))</f>
        <v/>
      </c>
    </row>
    <row r="651">
      <c r="A651" t="n">
        <v>648</v>
      </c>
      <c r="B651" s="8" t="n"/>
      <c r="C651" s="4" t="n"/>
      <c r="D651" s="4" t="n"/>
      <c r="E651" s="4" t="n"/>
      <c r="F651" s="5" t="n"/>
      <c r="G651" s="9">
        <f>IF(E651="","",E651*F651)</f>
        <v/>
      </c>
      <c r="H651" s="5" t="n"/>
      <c r="I651" s="9">
        <f>IF(G651="","",G651-IF(H651="",0,H651))</f>
        <v/>
      </c>
    </row>
    <row r="652">
      <c r="A652" t="n">
        <v>649</v>
      </c>
      <c r="B652" s="8" t="n"/>
      <c r="C652" s="4" t="n"/>
      <c r="D652" s="4" t="n"/>
      <c r="E652" s="4" t="n"/>
      <c r="F652" s="5" t="n"/>
      <c r="G652" s="9">
        <f>IF(E652="","",E652*F652)</f>
        <v/>
      </c>
      <c r="H652" s="5" t="n"/>
      <c r="I652" s="9">
        <f>IF(G652="","",G652-IF(H652="",0,H652))</f>
        <v/>
      </c>
    </row>
    <row r="653">
      <c r="A653" t="n">
        <v>650</v>
      </c>
      <c r="B653" s="8" t="n"/>
      <c r="C653" s="4" t="n"/>
      <c r="D653" s="4" t="n"/>
      <c r="E653" s="4" t="n"/>
      <c r="F653" s="5" t="n"/>
      <c r="G653" s="9">
        <f>IF(E653="","",E653*F653)</f>
        <v/>
      </c>
      <c r="H653" s="5" t="n"/>
      <c r="I653" s="9">
        <f>IF(G653="","",G653-IF(H653="",0,H653))</f>
        <v/>
      </c>
    </row>
    <row r="654">
      <c r="A654" t="n">
        <v>651</v>
      </c>
      <c r="B654" s="8" t="n"/>
      <c r="C654" s="4" t="n"/>
      <c r="D654" s="4" t="n"/>
      <c r="E654" s="4" t="n"/>
      <c r="F654" s="5" t="n"/>
      <c r="G654" s="9">
        <f>IF(E654="","",E654*F654)</f>
        <v/>
      </c>
      <c r="H654" s="5" t="n"/>
      <c r="I654" s="9">
        <f>IF(G654="","",G654-IF(H654="",0,H654))</f>
        <v/>
      </c>
    </row>
    <row r="655">
      <c r="A655" t="n">
        <v>652</v>
      </c>
      <c r="B655" s="8" t="n"/>
      <c r="C655" s="4" t="n"/>
      <c r="D655" s="4" t="n"/>
      <c r="E655" s="4" t="n"/>
      <c r="F655" s="5" t="n"/>
      <c r="G655" s="9">
        <f>IF(E655="","",E655*F655)</f>
        <v/>
      </c>
      <c r="H655" s="5" t="n"/>
      <c r="I655" s="9">
        <f>IF(G655="","",G655-IF(H655="",0,H655))</f>
        <v/>
      </c>
    </row>
    <row r="656">
      <c r="A656" t="n">
        <v>653</v>
      </c>
      <c r="B656" s="8" t="n"/>
      <c r="C656" s="4" t="n"/>
      <c r="D656" s="4" t="n"/>
      <c r="E656" s="4" t="n"/>
      <c r="F656" s="5" t="n"/>
      <c r="G656" s="9">
        <f>IF(E656="","",E656*F656)</f>
        <v/>
      </c>
      <c r="H656" s="5" t="n"/>
      <c r="I656" s="9">
        <f>IF(G656="","",G656-IF(H656="",0,H656))</f>
        <v/>
      </c>
    </row>
    <row r="657">
      <c r="A657" t="n">
        <v>654</v>
      </c>
      <c r="B657" s="8" t="n"/>
      <c r="C657" s="4" t="n"/>
      <c r="D657" s="4" t="n"/>
      <c r="E657" s="4" t="n"/>
      <c r="F657" s="5" t="n"/>
      <c r="G657" s="9">
        <f>IF(E657="","",E657*F657)</f>
        <v/>
      </c>
      <c r="H657" s="5" t="n"/>
      <c r="I657" s="9">
        <f>IF(G657="","",G657-IF(H657="",0,H657))</f>
        <v/>
      </c>
    </row>
    <row r="658">
      <c r="A658" t="n">
        <v>655</v>
      </c>
      <c r="B658" s="8" t="n"/>
      <c r="C658" s="4" t="n"/>
      <c r="D658" s="4" t="n"/>
      <c r="E658" s="4" t="n"/>
      <c r="F658" s="5" t="n"/>
      <c r="G658" s="9">
        <f>IF(E658="","",E658*F658)</f>
        <v/>
      </c>
      <c r="H658" s="5" t="n"/>
      <c r="I658" s="9">
        <f>IF(G658="","",G658-IF(H658="",0,H658))</f>
        <v/>
      </c>
    </row>
    <row r="659">
      <c r="A659" t="n">
        <v>656</v>
      </c>
      <c r="B659" s="8" t="n"/>
      <c r="C659" s="4" t="n"/>
      <c r="D659" s="4" t="n"/>
      <c r="E659" s="4" t="n"/>
      <c r="F659" s="5" t="n"/>
      <c r="G659" s="9">
        <f>IF(E659="","",E659*F659)</f>
        <v/>
      </c>
      <c r="H659" s="5" t="n"/>
      <c r="I659" s="9">
        <f>IF(G659="","",G659-IF(H659="",0,H659))</f>
        <v/>
      </c>
    </row>
    <row r="660">
      <c r="A660" t="n">
        <v>657</v>
      </c>
      <c r="B660" s="8" t="n"/>
      <c r="C660" s="4" t="n"/>
      <c r="D660" s="4" t="n"/>
      <c r="E660" s="4" t="n"/>
      <c r="F660" s="5" t="n"/>
      <c r="G660" s="9">
        <f>IF(E660="","",E660*F660)</f>
        <v/>
      </c>
      <c r="H660" s="5" t="n"/>
      <c r="I660" s="9">
        <f>IF(G660="","",G660-IF(H660="",0,H660))</f>
        <v/>
      </c>
    </row>
    <row r="661">
      <c r="A661" t="n">
        <v>658</v>
      </c>
      <c r="B661" s="8" t="n"/>
      <c r="C661" s="4" t="n"/>
      <c r="D661" s="4" t="n"/>
      <c r="E661" s="4" t="n"/>
      <c r="F661" s="5" t="n"/>
      <c r="G661" s="9">
        <f>IF(E661="","",E661*F661)</f>
        <v/>
      </c>
      <c r="H661" s="5" t="n"/>
      <c r="I661" s="9">
        <f>IF(G661="","",G661-IF(H661="",0,H661))</f>
        <v/>
      </c>
    </row>
    <row r="662">
      <c r="A662" t="n">
        <v>659</v>
      </c>
      <c r="B662" s="8" t="n"/>
      <c r="C662" s="4" t="n"/>
      <c r="D662" s="4" t="n"/>
      <c r="E662" s="4" t="n"/>
      <c r="F662" s="5" t="n"/>
      <c r="G662" s="9">
        <f>IF(E662="","",E662*F662)</f>
        <v/>
      </c>
      <c r="H662" s="5" t="n"/>
      <c r="I662" s="9">
        <f>IF(G662="","",G662-IF(H662="",0,H662))</f>
        <v/>
      </c>
    </row>
    <row r="663">
      <c r="A663" t="n">
        <v>660</v>
      </c>
      <c r="B663" s="8" t="n"/>
      <c r="C663" s="4" t="n"/>
      <c r="D663" s="4" t="n"/>
      <c r="E663" s="4" t="n"/>
      <c r="F663" s="5" t="n"/>
      <c r="G663" s="9">
        <f>IF(E663="","",E663*F663)</f>
        <v/>
      </c>
      <c r="H663" s="5" t="n"/>
      <c r="I663" s="9">
        <f>IF(G663="","",G663-IF(H663="",0,H663))</f>
        <v/>
      </c>
    </row>
    <row r="664">
      <c r="A664" t="n">
        <v>661</v>
      </c>
      <c r="B664" s="8" t="n"/>
      <c r="C664" s="4" t="n"/>
      <c r="D664" s="4" t="n"/>
      <c r="E664" s="4" t="n"/>
      <c r="F664" s="5" t="n"/>
      <c r="G664" s="9">
        <f>IF(E664="","",E664*F664)</f>
        <v/>
      </c>
      <c r="H664" s="5" t="n"/>
      <c r="I664" s="9">
        <f>IF(G664="","",G664-IF(H664="",0,H664))</f>
        <v/>
      </c>
    </row>
    <row r="665">
      <c r="A665" t="n">
        <v>662</v>
      </c>
      <c r="B665" s="8" t="n"/>
      <c r="C665" s="4" t="n"/>
      <c r="D665" s="4" t="n"/>
      <c r="E665" s="4" t="n"/>
      <c r="F665" s="5" t="n"/>
      <c r="G665" s="9">
        <f>IF(E665="","",E665*F665)</f>
        <v/>
      </c>
      <c r="H665" s="5" t="n"/>
      <c r="I665" s="9">
        <f>IF(G665="","",G665-IF(H665="",0,H665))</f>
        <v/>
      </c>
    </row>
    <row r="666">
      <c r="A666" t="n">
        <v>663</v>
      </c>
      <c r="B666" s="8" t="n"/>
      <c r="C666" s="4" t="n"/>
      <c r="D666" s="4" t="n"/>
      <c r="E666" s="4" t="n"/>
      <c r="F666" s="5" t="n"/>
      <c r="G666" s="9">
        <f>IF(E666="","",E666*F666)</f>
        <v/>
      </c>
      <c r="H666" s="5" t="n"/>
      <c r="I666" s="9">
        <f>IF(G666="","",G666-IF(H666="",0,H666))</f>
        <v/>
      </c>
    </row>
    <row r="667">
      <c r="A667" t="n">
        <v>664</v>
      </c>
      <c r="B667" s="8" t="n"/>
      <c r="C667" s="4" t="n"/>
      <c r="D667" s="4" t="n"/>
      <c r="E667" s="4" t="n"/>
      <c r="F667" s="5" t="n"/>
      <c r="G667" s="9">
        <f>IF(E667="","",E667*F667)</f>
        <v/>
      </c>
      <c r="H667" s="5" t="n"/>
      <c r="I667" s="9">
        <f>IF(G667="","",G667-IF(H667="",0,H667))</f>
        <v/>
      </c>
    </row>
    <row r="668">
      <c r="A668" t="n">
        <v>665</v>
      </c>
      <c r="B668" s="8" t="n"/>
      <c r="C668" s="4" t="n"/>
      <c r="D668" s="4" t="n"/>
      <c r="E668" s="4" t="n"/>
      <c r="F668" s="5" t="n"/>
      <c r="G668" s="9">
        <f>IF(E668="","",E668*F668)</f>
        <v/>
      </c>
      <c r="H668" s="5" t="n"/>
      <c r="I668" s="9">
        <f>IF(G668="","",G668-IF(H668="",0,H668))</f>
        <v/>
      </c>
    </row>
    <row r="669">
      <c r="A669" t="n">
        <v>666</v>
      </c>
      <c r="B669" s="8" t="n"/>
      <c r="C669" s="4" t="n"/>
      <c r="D669" s="4" t="n"/>
      <c r="E669" s="4" t="n"/>
      <c r="F669" s="5" t="n"/>
      <c r="G669" s="9">
        <f>IF(E669="","",E669*F669)</f>
        <v/>
      </c>
      <c r="H669" s="5" t="n"/>
      <c r="I669" s="9">
        <f>IF(G669="","",G669-IF(H669="",0,H669))</f>
        <v/>
      </c>
    </row>
    <row r="670">
      <c r="A670" t="n">
        <v>667</v>
      </c>
      <c r="B670" s="8" t="n"/>
      <c r="C670" s="4" t="n"/>
      <c r="D670" s="4" t="n"/>
      <c r="E670" s="4" t="n"/>
      <c r="F670" s="5" t="n"/>
      <c r="G670" s="9">
        <f>IF(E670="","",E670*F670)</f>
        <v/>
      </c>
      <c r="H670" s="5" t="n"/>
      <c r="I670" s="9">
        <f>IF(G670="","",G670-IF(H670="",0,H670))</f>
        <v/>
      </c>
    </row>
    <row r="671">
      <c r="A671" t="n">
        <v>668</v>
      </c>
      <c r="B671" s="8" t="n"/>
      <c r="C671" s="4" t="n"/>
      <c r="D671" s="4" t="n"/>
      <c r="E671" s="4" t="n"/>
      <c r="F671" s="5" t="n"/>
      <c r="G671" s="9">
        <f>IF(E671="","",E671*F671)</f>
        <v/>
      </c>
      <c r="H671" s="5" t="n"/>
      <c r="I671" s="9">
        <f>IF(G671="","",G671-IF(H671="",0,H671))</f>
        <v/>
      </c>
    </row>
    <row r="672">
      <c r="A672" t="n">
        <v>669</v>
      </c>
      <c r="B672" s="8" t="n"/>
      <c r="C672" s="4" t="n"/>
      <c r="D672" s="4" t="n"/>
      <c r="E672" s="4" t="n"/>
      <c r="F672" s="5" t="n"/>
      <c r="G672" s="9">
        <f>IF(E672="","",E672*F672)</f>
        <v/>
      </c>
      <c r="H672" s="5" t="n"/>
      <c r="I672" s="9">
        <f>IF(G672="","",G672-IF(H672="",0,H672))</f>
        <v/>
      </c>
    </row>
    <row r="673">
      <c r="A673" t="n">
        <v>670</v>
      </c>
      <c r="B673" s="8" t="n"/>
      <c r="C673" s="4" t="n"/>
      <c r="D673" s="4" t="n"/>
      <c r="E673" s="4" t="n"/>
      <c r="F673" s="5" t="n"/>
      <c r="G673" s="9">
        <f>IF(E673="","",E673*F673)</f>
        <v/>
      </c>
      <c r="H673" s="5" t="n"/>
      <c r="I673" s="9">
        <f>IF(G673="","",G673-IF(H673="",0,H673))</f>
        <v/>
      </c>
    </row>
    <row r="674">
      <c r="A674" t="n">
        <v>671</v>
      </c>
      <c r="B674" s="8" t="n"/>
      <c r="C674" s="4" t="n"/>
      <c r="D674" s="4" t="n"/>
      <c r="E674" s="4" t="n"/>
      <c r="F674" s="5" t="n"/>
      <c r="G674" s="9">
        <f>IF(E674="","",E674*F674)</f>
        <v/>
      </c>
      <c r="H674" s="5" t="n"/>
      <c r="I674" s="9">
        <f>IF(G674="","",G674-IF(H674="",0,H674))</f>
        <v/>
      </c>
    </row>
    <row r="675">
      <c r="A675" t="n">
        <v>672</v>
      </c>
      <c r="B675" s="8" t="n"/>
      <c r="C675" s="4" t="n"/>
      <c r="D675" s="4" t="n"/>
      <c r="E675" s="4" t="n"/>
      <c r="F675" s="5" t="n"/>
      <c r="G675" s="9">
        <f>IF(E675="","",E675*F675)</f>
        <v/>
      </c>
      <c r="H675" s="5" t="n"/>
      <c r="I675" s="9">
        <f>IF(G675="","",G675-IF(H675="",0,H675))</f>
        <v/>
      </c>
    </row>
    <row r="676">
      <c r="A676" t="n">
        <v>673</v>
      </c>
      <c r="B676" s="8" t="n"/>
      <c r="C676" s="4" t="n"/>
      <c r="D676" s="4" t="n"/>
      <c r="E676" s="4" t="n"/>
      <c r="F676" s="5" t="n"/>
      <c r="G676" s="9">
        <f>IF(E676="","",E676*F676)</f>
        <v/>
      </c>
      <c r="H676" s="5" t="n"/>
      <c r="I676" s="9">
        <f>IF(G676="","",G676-IF(H676="",0,H676))</f>
        <v/>
      </c>
    </row>
    <row r="677">
      <c r="A677" t="n">
        <v>674</v>
      </c>
      <c r="B677" s="8" t="n"/>
      <c r="C677" s="4" t="n"/>
      <c r="D677" s="4" t="n"/>
      <c r="E677" s="4" t="n"/>
      <c r="F677" s="5" t="n"/>
      <c r="G677" s="9">
        <f>IF(E677="","",E677*F677)</f>
        <v/>
      </c>
      <c r="H677" s="5" t="n"/>
      <c r="I677" s="9">
        <f>IF(G677="","",G677-IF(H677="",0,H677))</f>
        <v/>
      </c>
    </row>
    <row r="678">
      <c r="A678" t="n">
        <v>675</v>
      </c>
      <c r="B678" s="8" t="n"/>
      <c r="C678" s="4" t="n"/>
      <c r="D678" s="4" t="n"/>
      <c r="E678" s="4" t="n"/>
      <c r="F678" s="5" t="n"/>
      <c r="G678" s="9">
        <f>IF(E678="","",E678*F678)</f>
        <v/>
      </c>
      <c r="H678" s="5" t="n"/>
      <c r="I678" s="9">
        <f>IF(G678="","",G678-IF(H678="",0,H678))</f>
        <v/>
      </c>
    </row>
    <row r="679">
      <c r="A679" t="n">
        <v>676</v>
      </c>
      <c r="B679" s="8" t="n"/>
      <c r="C679" s="4" t="n"/>
      <c r="D679" s="4" t="n"/>
      <c r="E679" s="4" t="n"/>
      <c r="F679" s="5" t="n"/>
      <c r="G679" s="9">
        <f>IF(E679="","",E679*F679)</f>
        <v/>
      </c>
      <c r="H679" s="5" t="n"/>
      <c r="I679" s="9">
        <f>IF(G679="","",G679-IF(H679="",0,H679))</f>
        <v/>
      </c>
    </row>
    <row r="680">
      <c r="A680" t="n">
        <v>677</v>
      </c>
      <c r="B680" s="8" t="n"/>
      <c r="C680" s="4" t="n"/>
      <c r="D680" s="4" t="n"/>
      <c r="E680" s="4" t="n"/>
      <c r="F680" s="5" t="n"/>
      <c r="G680" s="9">
        <f>IF(E680="","",E680*F680)</f>
        <v/>
      </c>
      <c r="H680" s="5" t="n"/>
      <c r="I680" s="9">
        <f>IF(G680="","",G680-IF(H680="",0,H680))</f>
        <v/>
      </c>
    </row>
    <row r="681">
      <c r="A681" t="n">
        <v>678</v>
      </c>
      <c r="B681" s="8" t="n"/>
      <c r="C681" s="4" t="n"/>
      <c r="D681" s="4" t="n"/>
      <c r="E681" s="4" t="n"/>
      <c r="F681" s="5" t="n"/>
      <c r="G681" s="9">
        <f>IF(E681="","",E681*F681)</f>
        <v/>
      </c>
      <c r="H681" s="5" t="n"/>
      <c r="I681" s="9">
        <f>IF(G681="","",G681-IF(H681="",0,H681))</f>
        <v/>
      </c>
    </row>
    <row r="682">
      <c r="A682" t="n">
        <v>679</v>
      </c>
      <c r="B682" s="8" t="n"/>
      <c r="C682" s="4" t="n"/>
      <c r="D682" s="4" t="n"/>
      <c r="E682" s="4" t="n"/>
      <c r="F682" s="5" t="n"/>
      <c r="G682" s="9">
        <f>IF(E682="","",E682*F682)</f>
        <v/>
      </c>
      <c r="H682" s="5" t="n"/>
      <c r="I682" s="9">
        <f>IF(G682="","",G682-IF(H682="",0,H682))</f>
        <v/>
      </c>
    </row>
    <row r="683">
      <c r="A683" t="n">
        <v>680</v>
      </c>
      <c r="B683" s="8" t="n"/>
      <c r="C683" s="4" t="n"/>
      <c r="D683" s="4" t="n"/>
      <c r="E683" s="4" t="n"/>
      <c r="F683" s="5" t="n"/>
      <c r="G683" s="9">
        <f>IF(E683="","",E683*F683)</f>
        <v/>
      </c>
      <c r="H683" s="5" t="n"/>
      <c r="I683" s="9">
        <f>IF(G683="","",G683-IF(H683="",0,H683))</f>
        <v/>
      </c>
    </row>
    <row r="684">
      <c r="A684" t="n">
        <v>681</v>
      </c>
      <c r="B684" s="8" t="n"/>
      <c r="C684" s="4" t="n"/>
      <c r="D684" s="4" t="n"/>
      <c r="E684" s="4" t="n"/>
      <c r="F684" s="5" t="n"/>
      <c r="G684" s="9">
        <f>IF(E684="","",E684*F684)</f>
        <v/>
      </c>
      <c r="H684" s="5" t="n"/>
      <c r="I684" s="9">
        <f>IF(G684="","",G684-IF(H684="",0,H684))</f>
        <v/>
      </c>
    </row>
    <row r="685">
      <c r="A685" t="n">
        <v>682</v>
      </c>
      <c r="B685" s="8" t="n"/>
      <c r="C685" s="4" t="n"/>
      <c r="D685" s="4" t="n"/>
      <c r="E685" s="4" t="n"/>
      <c r="F685" s="5" t="n"/>
      <c r="G685" s="9">
        <f>IF(E685="","",E685*F685)</f>
        <v/>
      </c>
      <c r="H685" s="5" t="n"/>
      <c r="I685" s="9">
        <f>IF(G685="","",G685-IF(H685="",0,H685))</f>
        <v/>
      </c>
    </row>
    <row r="686">
      <c r="A686" t="n">
        <v>683</v>
      </c>
      <c r="B686" s="8" t="n"/>
      <c r="C686" s="4" t="n"/>
      <c r="D686" s="4" t="n"/>
      <c r="E686" s="4" t="n"/>
      <c r="F686" s="5" t="n"/>
      <c r="G686" s="9">
        <f>IF(E686="","",E686*F686)</f>
        <v/>
      </c>
      <c r="H686" s="5" t="n"/>
      <c r="I686" s="9">
        <f>IF(G686="","",G686-IF(H686="",0,H686))</f>
        <v/>
      </c>
    </row>
    <row r="687">
      <c r="A687" t="n">
        <v>684</v>
      </c>
      <c r="B687" s="8" t="n"/>
      <c r="C687" s="4" t="n"/>
      <c r="D687" s="4" t="n"/>
      <c r="E687" s="4" t="n"/>
      <c r="F687" s="5" t="n"/>
      <c r="G687" s="9">
        <f>IF(E687="","",E687*F687)</f>
        <v/>
      </c>
      <c r="H687" s="5" t="n"/>
      <c r="I687" s="9">
        <f>IF(G687="","",G687-IF(H687="",0,H687))</f>
        <v/>
      </c>
    </row>
    <row r="688">
      <c r="A688" t="n">
        <v>685</v>
      </c>
      <c r="B688" s="8" t="n"/>
      <c r="C688" s="4" t="n"/>
      <c r="D688" s="4" t="n"/>
      <c r="E688" s="4" t="n"/>
      <c r="F688" s="5" t="n"/>
      <c r="G688" s="9">
        <f>IF(E688="","",E688*F688)</f>
        <v/>
      </c>
      <c r="H688" s="5" t="n"/>
      <c r="I688" s="9">
        <f>IF(G688="","",G688-IF(H688="",0,H688))</f>
        <v/>
      </c>
    </row>
    <row r="689">
      <c r="A689" t="n">
        <v>686</v>
      </c>
      <c r="B689" s="8" t="n"/>
      <c r="C689" s="4" t="n"/>
      <c r="D689" s="4" t="n"/>
      <c r="E689" s="4" t="n"/>
      <c r="F689" s="5" t="n"/>
      <c r="G689" s="9">
        <f>IF(E689="","",E689*F689)</f>
        <v/>
      </c>
      <c r="H689" s="5" t="n"/>
      <c r="I689" s="9">
        <f>IF(G689="","",G689-IF(H689="",0,H689))</f>
        <v/>
      </c>
    </row>
    <row r="690">
      <c r="A690" t="n">
        <v>687</v>
      </c>
      <c r="B690" s="8" t="n"/>
      <c r="C690" s="4" t="n"/>
      <c r="D690" s="4" t="n"/>
      <c r="E690" s="4" t="n"/>
      <c r="F690" s="5" t="n"/>
      <c r="G690" s="9">
        <f>IF(E690="","",E690*F690)</f>
        <v/>
      </c>
      <c r="H690" s="5" t="n"/>
      <c r="I690" s="9">
        <f>IF(G690="","",G690-IF(H690="",0,H690))</f>
        <v/>
      </c>
    </row>
    <row r="691">
      <c r="A691" t="n">
        <v>688</v>
      </c>
      <c r="B691" s="8" t="n"/>
      <c r="C691" s="4" t="n"/>
      <c r="D691" s="4" t="n"/>
      <c r="E691" s="4" t="n"/>
      <c r="F691" s="5" t="n"/>
      <c r="G691" s="9">
        <f>IF(E691="","",E691*F691)</f>
        <v/>
      </c>
      <c r="H691" s="5" t="n"/>
      <c r="I691" s="9">
        <f>IF(G691="","",G691-IF(H691="",0,H691))</f>
        <v/>
      </c>
    </row>
    <row r="692">
      <c r="A692" t="n">
        <v>689</v>
      </c>
      <c r="B692" s="8" t="n"/>
      <c r="C692" s="4" t="n"/>
      <c r="D692" s="4" t="n"/>
      <c r="E692" s="4" t="n"/>
      <c r="F692" s="5" t="n"/>
      <c r="G692" s="9">
        <f>IF(E692="","",E692*F692)</f>
        <v/>
      </c>
      <c r="H692" s="5" t="n"/>
      <c r="I692" s="9">
        <f>IF(G692="","",G692-IF(H692="",0,H692))</f>
        <v/>
      </c>
    </row>
    <row r="693">
      <c r="A693" t="n">
        <v>690</v>
      </c>
      <c r="B693" s="8" t="n"/>
      <c r="C693" s="4" t="n"/>
      <c r="D693" s="4" t="n"/>
      <c r="E693" s="4" t="n"/>
      <c r="F693" s="5" t="n"/>
      <c r="G693" s="9">
        <f>IF(E693="","",E693*F693)</f>
        <v/>
      </c>
      <c r="H693" s="5" t="n"/>
      <c r="I693" s="9">
        <f>IF(G693="","",G693-IF(H693="",0,H693))</f>
        <v/>
      </c>
    </row>
    <row r="694">
      <c r="A694" t="n">
        <v>691</v>
      </c>
      <c r="B694" s="8" t="n"/>
      <c r="C694" s="4" t="n"/>
      <c r="D694" s="4" t="n"/>
      <c r="E694" s="4" t="n"/>
      <c r="F694" s="5" t="n"/>
      <c r="G694" s="9">
        <f>IF(E694="","",E694*F694)</f>
        <v/>
      </c>
      <c r="H694" s="5" t="n"/>
      <c r="I694" s="9">
        <f>IF(G694="","",G694-IF(H694="",0,H694))</f>
        <v/>
      </c>
    </row>
    <row r="695">
      <c r="A695" t="n">
        <v>692</v>
      </c>
      <c r="B695" s="8" t="n"/>
      <c r="C695" s="4" t="n"/>
      <c r="D695" s="4" t="n"/>
      <c r="E695" s="4" t="n"/>
      <c r="F695" s="5" t="n"/>
      <c r="G695" s="9">
        <f>IF(E695="","",E695*F695)</f>
        <v/>
      </c>
      <c r="H695" s="5" t="n"/>
      <c r="I695" s="9">
        <f>IF(G695="","",G695-IF(H695="",0,H695))</f>
        <v/>
      </c>
    </row>
    <row r="696">
      <c r="A696" t="n">
        <v>693</v>
      </c>
      <c r="B696" s="8" t="n"/>
      <c r="C696" s="4" t="n"/>
      <c r="D696" s="4" t="n"/>
      <c r="E696" s="4" t="n"/>
      <c r="F696" s="5" t="n"/>
      <c r="G696" s="9">
        <f>IF(E696="","",E696*F696)</f>
        <v/>
      </c>
      <c r="H696" s="5" t="n"/>
      <c r="I696" s="9">
        <f>IF(G696="","",G696-IF(H696="",0,H696))</f>
        <v/>
      </c>
    </row>
    <row r="697">
      <c r="A697" t="n">
        <v>694</v>
      </c>
      <c r="B697" s="8" t="n"/>
      <c r="C697" s="4" t="n"/>
      <c r="D697" s="4" t="n"/>
      <c r="E697" s="4" t="n"/>
      <c r="F697" s="5" t="n"/>
      <c r="G697" s="9">
        <f>IF(E697="","",E697*F697)</f>
        <v/>
      </c>
      <c r="H697" s="5" t="n"/>
      <c r="I697" s="9">
        <f>IF(G697="","",G697-IF(H697="",0,H697))</f>
        <v/>
      </c>
    </row>
    <row r="698">
      <c r="A698" t="n">
        <v>695</v>
      </c>
      <c r="B698" s="8" t="n"/>
      <c r="C698" s="4" t="n"/>
      <c r="D698" s="4" t="n"/>
      <c r="E698" s="4" t="n"/>
      <c r="F698" s="5" t="n"/>
      <c r="G698" s="9">
        <f>IF(E698="","",E698*F698)</f>
        <v/>
      </c>
      <c r="H698" s="5" t="n"/>
      <c r="I698" s="9">
        <f>IF(G698="","",G698-IF(H698="",0,H698))</f>
        <v/>
      </c>
    </row>
    <row r="699">
      <c r="A699" t="n">
        <v>696</v>
      </c>
      <c r="B699" s="8" t="n"/>
      <c r="C699" s="4" t="n"/>
      <c r="D699" s="4" t="n"/>
      <c r="E699" s="4" t="n"/>
      <c r="F699" s="5" t="n"/>
      <c r="G699" s="9">
        <f>IF(E699="","",E699*F699)</f>
        <v/>
      </c>
      <c r="H699" s="5" t="n"/>
      <c r="I699" s="9">
        <f>IF(G699="","",G699-IF(H699="",0,H699))</f>
        <v/>
      </c>
    </row>
    <row r="700">
      <c r="A700" t="n">
        <v>697</v>
      </c>
      <c r="B700" s="8" t="n"/>
      <c r="C700" s="4" t="n"/>
      <c r="D700" s="4" t="n"/>
      <c r="E700" s="4" t="n"/>
      <c r="F700" s="5" t="n"/>
      <c r="G700" s="9">
        <f>IF(E700="","",E700*F700)</f>
        <v/>
      </c>
      <c r="H700" s="5" t="n"/>
      <c r="I700" s="9">
        <f>IF(G700="","",G700-IF(H700="",0,H700))</f>
        <v/>
      </c>
    </row>
    <row r="701">
      <c r="A701" t="n">
        <v>698</v>
      </c>
      <c r="B701" s="8" t="n"/>
      <c r="C701" s="4" t="n"/>
      <c r="D701" s="4" t="n"/>
      <c r="E701" s="4" t="n"/>
      <c r="F701" s="5" t="n"/>
      <c r="G701" s="9">
        <f>IF(E701="","",E701*F701)</f>
        <v/>
      </c>
      <c r="H701" s="5" t="n"/>
      <c r="I701" s="9">
        <f>IF(G701="","",G701-IF(H701="",0,H701))</f>
        <v/>
      </c>
    </row>
    <row r="702">
      <c r="A702" t="n">
        <v>699</v>
      </c>
      <c r="B702" s="8" t="n"/>
      <c r="C702" s="4" t="n"/>
      <c r="D702" s="4" t="n"/>
      <c r="E702" s="4" t="n"/>
      <c r="F702" s="5" t="n"/>
      <c r="G702" s="9">
        <f>IF(E702="","",E702*F702)</f>
        <v/>
      </c>
      <c r="H702" s="5" t="n"/>
      <c r="I702" s="9">
        <f>IF(G702="","",G702-IF(H702="",0,H702))</f>
        <v/>
      </c>
    </row>
    <row r="703">
      <c r="A703" t="n">
        <v>700</v>
      </c>
      <c r="B703" s="8" t="n"/>
      <c r="C703" s="4" t="n"/>
      <c r="D703" s="4" t="n"/>
      <c r="E703" s="4" t="n"/>
      <c r="F703" s="5" t="n"/>
      <c r="G703" s="9">
        <f>IF(E703="","",E703*F703)</f>
        <v/>
      </c>
      <c r="H703" s="5" t="n"/>
      <c r="I703" s="9">
        <f>IF(G703="","",G703-IF(H703="",0,H703))</f>
        <v/>
      </c>
    </row>
    <row r="704">
      <c r="A704" t="n">
        <v>701</v>
      </c>
      <c r="B704" s="8" t="n"/>
      <c r="C704" s="4" t="n"/>
      <c r="D704" s="4" t="n"/>
      <c r="E704" s="4" t="n"/>
      <c r="F704" s="5" t="n"/>
      <c r="G704" s="9">
        <f>IF(E704="","",E704*F704)</f>
        <v/>
      </c>
      <c r="H704" s="5" t="n"/>
      <c r="I704" s="9">
        <f>IF(G704="","",G704-IF(H704="",0,H704))</f>
        <v/>
      </c>
    </row>
    <row r="705">
      <c r="A705" t="n">
        <v>702</v>
      </c>
      <c r="B705" s="8" t="n"/>
      <c r="C705" s="4" t="n"/>
      <c r="D705" s="4" t="n"/>
      <c r="E705" s="4" t="n"/>
      <c r="F705" s="5" t="n"/>
      <c r="G705" s="9">
        <f>IF(E705="","",E705*F705)</f>
        <v/>
      </c>
      <c r="H705" s="5" t="n"/>
      <c r="I705" s="9">
        <f>IF(G705="","",G705-IF(H705="",0,H705))</f>
        <v/>
      </c>
    </row>
    <row r="706">
      <c r="A706" t="n">
        <v>703</v>
      </c>
      <c r="B706" s="8" t="n"/>
      <c r="C706" s="4" t="n"/>
      <c r="D706" s="4" t="n"/>
      <c r="E706" s="4" t="n"/>
      <c r="F706" s="5" t="n"/>
      <c r="G706" s="9">
        <f>IF(E706="","",E706*F706)</f>
        <v/>
      </c>
      <c r="H706" s="5" t="n"/>
      <c r="I706" s="9">
        <f>IF(G706="","",G706-IF(H706="",0,H706))</f>
        <v/>
      </c>
    </row>
    <row r="707">
      <c r="A707" t="n">
        <v>704</v>
      </c>
      <c r="B707" s="8" t="n"/>
      <c r="C707" s="4" t="n"/>
      <c r="D707" s="4" t="n"/>
      <c r="E707" s="4" t="n"/>
      <c r="F707" s="5" t="n"/>
      <c r="G707" s="9">
        <f>IF(E707="","",E707*F707)</f>
        <v/>
      </c>
      <c r="H707" s="5" t="n"/>
      <c r="I707" s="9">
        <f>IF(G707="","",G707-IF(H707="",0,H707))</f>
        <v/>
      </c>
    </row>
    <row r="708">
      <c r="A708" t="n">
        <v>705</v>
      </c>
      <c r="B708" s="8" t="n"/>
      <c r="C708" s="4" t="n"/>
      <c r="D708" s="4" t="n"/>
      <c r="E708" s="4" t="n"/>
      <c r="F708" s="5" t="n"/>
      <c r="G708" s="9">
        <f>IF(E708="","",E708*F708)</f>
        <v/>
      </c>
      <c r="H708" s="5" t="n"/>
      <c r="I708" s="9">
        <f>IF(G708="","",G708-IF(H708="",0,H708))</f>
        <v/>
      </c>
    </row>
    <row r="709">
      <c r="A709" t="n">
        <v>706</v>
      </c>
      <c r="B709" s="8" t="n"/>
      <c r="C709" s="4" t="n"/>
      <c r="D709" s="4" t="n"/>
      <c r="E709" s="4" t="n"/>
      <c r="F709" s="5" t="n"/>
      <c r="G709" s="9">
        <f>IF(E709="","",E709*F709)</f>
        <v/>
      </c>
      <c r="H709" s="5" t="n"/>
      <c r="I709" s="9">
        <f>IF(G709="","",G709-IF(H709="",0,H709))</f>
        <v/>
      </c>
    </row>
    <row r="710">
      <c r="A710" t="n">
        <v>707</v>
      </c>
      <c r="B710" s="8" t="n"/>
      <c r="C710" s="4" t="n"/>
      <c r="D710" s="4" t="n"/>
      <c r="E710" s="4" t="n"/>
      <c r="F710" s="5" t="n"/>
      <c r="G710" s="9">
        <f>IF(E710="","",E710*F710)</f>
        <v/>
      </c>
      <c r="H710" s="5" t="n"/>
      <c r="I710" s="9">
        <f>IF(G710="","",G710-IF(H710="",0,H710))</f>
        <v/>
      </c>
    </row>
    <row r="711">
      <c r="A711" t="n">
        <v>708</v>
      </c>
      <c r="B711" s="8" t="n"/>
      <c r="C711" s="4" t="n"/>
      <c r="D711" s="4" t="n"/>
      <c r="E711" s="4" t="n"/>
      <c r="F711" s="5" t="n"/>
      <c r="G711" s="9">
        <f>IF(E711="","",E711*F711)</f>
        <v/>
      </c>
      <c r="H711" s="5" t="n"/>
      <c r="I711" s="9">
        <f>IF(G711="","",G711-IF(H711="",0,H711))</f>
        <v/>
      </c>
    </row>
    <row r="712">
      <c r="A712" t="n">
        <v>709</v>
      </c>
      <c r="B712" s="8" t="n"/>
      <c r="C712" s="4" t="n"/>
      <c r="D712" s="4" t="n"/>
      <c r="E712" s="4" t="n"/>
      <c r="F712" s="5" t="n"/>
      <c r="G712" s="9">
        <f>IF(E712="","",E712*F712)</f>
        <v/>
      </c>
      <c r="H712" s="5" t="n"/>
      <c r="I712" s="9">
        <f>IF(G712="","",G712-IF(H712="",0,H712))</f>
        <v/>
      </c>
    </row>
    <row r="713">
      <c r="A713" t="n">
        <v>710</v>
      </c>
      <c r="B713" s="8" t="n"/>
      <c r="C713" s="4" t="n"/>
      <c r="D713" s="4" t="n"/>
      <c r="E713" s="4" t="n"/>
      <c r="F713" s="5" t="n"/>
      <c r="G713" s="9">
        <f>IF(E713="","",E713*F713)</f>
        <v/>
      </c>
      <c r="H713" s="5" t="n"/>
      <c r="I713" s="9">
        <f>IF(G713="","",G713-IF(H713="",0,H713))</f>
        <v/>
      </c>
    </row>
    <row r="714">
      <c r="A714" t="n">
        <v>711</v>
      </c>
      <c r="B714" s="8" t="n"/>
      <c r="C714" s="4" t="n"/>
      <c r="D714" s="4" t="n"/>
      <c r="E714" s="4" t="n"/>
      <c r="F714" s="5" t="n"/>
      <c r="G714" s="9">
        <f>IF(E714="","",E714*F714)</f>
        <v/>
      </c>
      <c r="H714" s="5" t="n"/>
      <c r="I714" s="9">
        <f>IF(G714="","",G714-IF(H714="",0,H714))</f>
        <v/>
      </c>
    </row>
    <row r="715">
      <c r="A715" t="n">
        <v>712</v>
      </c>
      <c r="B715" s="8" t="n"/>
      <c r="C715" s="4" t="n"/>
      <c r="D715" s="4" t="n"/>
      <c r="E715" s="4" t="n"/>
      <c r="F715" s="5" t="n"/>
      <c r="G715" s="9">
        <f>IF(E715="","",E715*F715)</f>
        <v/>
      </c>
      <c r="H715" s="5" t="n"/>
      <c r="I715" s="9">
        <f>IF(G715="","",G715-IF(H715="",0,H715))</f>
        <v/>
      </c>
    </row>
    <row r="716">
      <c r="A716" t="n">
        <v>713</v>
      </c>
      <c r="B716" s="8" t="n"/>
      <c r="C716" s="4" t="n"/>
      <c r="D716" s="4" t="n"/>
      <c r="E716" s="4" t="n"/>
      <c r="F716" s="5" t="n"/>
      <c r="G716" s="9">
        <f>IF(E716="","",E716*F716)</f>
        <v/>
      </c>
      <c r="H716" s="5" t="n"/>
      <c r="I716" s="9">
        <f>IF(G716="","",G716-IF(H716="",0,H716))</f>
        <v/>
      </c>
    </row>
    <row r="717">
      <c r="A717" t="n">
        <v>714</v>
      </c>
      <c r="B717" s="8" t="n"/>
      <c r="C717" s="4" t="n"/>
      <c r="D717" s="4" t="n"/>
      <c r="E717" s="4" t="n"/>
      <c r="F717" s="5" t="n"/>
      <c r="G717" s="9">
        <f>IF(E717="","",E717*F717)</f>
        <v/>
      </c>
      <c r="H717" s="5" t="n"/>
      <c r="I717" s="9">
        <f>IF(G717="","",G717-IF(H717="",0,H717))</f>
        <v/>
      </c>
    </row>
    <row r="718">
      <c r="A718" t="n">
        <v>715</v>
      </c>
      <c r="B718" s="8" t="n"/>
      <c r="C718" s="4" t="n"/>
      <c r="D718" s="4" t="n"/>
      <c r="E718" s="4" t="n"/>
      <c r="F718" s="5" t="n"/>
      <c r="G718" s="9">
        <f>IF(E718="","",E718*F718)</f>
        <v/>
      </c>
      <c r="H718" s="5" t="n"/>
      <c r="I718" s="9">
        <f>IF(G718="","",G718-IF(H718="",0,H718))</f>
        <v/>
      </c>
    </row>
    <row r="719">
      <c r="A719" t="n">
        <v>716</v>
      </c>
      <c r="B719" s="8" t="n"/>
      <c r="C719" s="4" t="n"/>
      <c r="D719" s="4" t="n"/>
      <c r="E719" s="4" t="n"/>
      <c r="F719" s="5" t="n"/>
      <c r="G719" s="9">
        <f>IF(E719="","",E719*F719)</f>
        <v/>
      </c>
      <c r="H719" s="5" t="n"/>
      <c r="I719" s="9">
        <f>IF(G719="","",G719-IF(H719="",0,H719))</f>
        <v/>
      </c>
    </row>
    <row r="720">
      <c r="A720" t="n">
        <v>717</v>
      </c>
      <c r="B720" s="8" t="n"/>
      <c r="C720" s="4" t="n"/>
      <c r="D720" s="4" t="n"/>
      <c r="E720" s="4" t="n"/>
      <c r="F720" s="5" t="n"/>
      <c r="G720" s="9">
        <f>IF(E720="","",E720*F720)</f>
        <v/>
      </c>
      <c r="H720" s="5" t="n"/>
      <c r="I720" s="9">
        <f>IF(G720="","",G720-IF(H720="",0,H720))</f>
        <v/>
      </c>
    </row>
    <row r="721">
      <c r="A721" t="n">
        <v>718</v>
      </c>
      <c r="B721" s="8" t="n"/>
      <c r="C721" s="4" t="n"/>
      <c r="D721" s="4" t="n"/>
      <c r="E721" s="4" t="n"/>
      <c r="F721" s="5" t="n"/>
      <c r="G721" s="9">
        <f>IF(E721="","",E721*F721)</f>
        <v/>
      </c>
      <c r="H721" s="5" t="n"/>
      <c r="I721" s="9">
        <f>IF(G721="","",G721-IF(H721="",0,H721))</f>
        <v/>
      </c>
    </row>
    <row r="722">
      <c r="A722" t="n">
        <v>719</v>
      </c>
      <c r="B722" s="8" t="n"/>
      <c r="C722" s="4" t="n"/>
      <c r="D722" s="4" t="n"/>
      <c r="E722" s="4" t="n"/>
      <c r="F722" s="5" t="n"/>
      <c r="G722" s="9">
        <f>IF(E722="","",E722*F722)</f>
        <v/>
      </c>
      <c r="H722" s="5" t="n"/>
      <c r="I722" s="9">
        <f>IF(G722="","",G722-IF(H722="",0,H722))</f>
        <v/>
      </c>
    </row>
    <row r="723">
      <c r="A723" t="n">
        <v>720</v>
      </c>
      <c r="B723" s="8" t="n"/>
      <c r="C723" s="4" t="n"/>
      <c r="D723" s="4" t="n"/>
      <c r="E723" s="4" t="n"/>
      <c r="F723" s="5" t="n"/>
      <c r="G723" s="9">
        <f>IF(E723="","",E723*F723)</f>
        <v/>
      </c>
      <c r="H723" s="5" t="n"/>
      <c r="I723" s="9">
        <f>IF(G723="","",G723-IF(H723="",0,H723))</f>
        <v/>
      </c>
    </row>
    <row r="724">
      <c r="A724" t="n">
        <v>721</v>
      </c>
      <c r="B724" s="8" t="n"/>
      <c r="C724" s="4" t="n"/>
      <c r="D724" s="4" t="n"/>
      <c r="E724" s="4" t="n"/>
      <c r="F724" s="5" t="n"/>
      <c r="G724" s="9">
        <f>IF(E724="","",E724*F724)</f>
        <v/>
      </c>
      <c r="H724" s="5" t="n"/>
      <c r="I724" s="9">
        <f>IF(G724="","",G724-IF(H724="",0,H724))</f>
        <v/>
      </c>
    </row>
    <row r="725">
      <c r="A725" t="n">
        <v>722</v>
      </c>
      <c r="B725" s="8" t="n"/>
      <c r="C725" s="4" t="n"/>
      <c r="D725" s="4" t="n"/>
      <c r="E725" s="4" t="n"/>
      <c r="F725" s="5" t="n"/>
      <c r="G725" s="9">
        <f>IF(E725="","",E725*F725)</f>
        <v/>
      </c>
      <c r="H725" s="5" t="n"/>
      <c r="I725" s="9">
        <f>IF(G725="","",G725-IF(H725="",0,H725))</f>
        <v/>
      </c>
    </row>
    <row r="726">
      <c r="A726" t="n">
        <v>723</v>
      </c>
      <c r="B726" s="8" t="n"/>
      <c r="C726" s="4" t="n"/>
      <c r="D726" s="4" t="n"/>
      <c r="E726" s="4" t="n"/>
      <c r="F726" s="5" t="n"/>
      <c r="G726" s="9">
        <f>IF(E726="","",E726*F726)</f>
        <v/>
      </c>
      <c r="H726" s="5" t="n"/>
      <c r="I726" s="9">
        <f>IF(G726="","",G726-IF(H726="",0,H726))</f>
        <v/>
      </c>
    </row>
    <row r="727">
      <c r="A727" t="n">
        <v>724</v>
      </c>
      <c r="B727" s="8" t="n"/>
      <c r="C727" s="4" t="n"/>
      <c r="D727" s="4" t="n"/>
      <c r="E727" s="4" t="n"/>
      <c r="F727" s="5" t="n"/>
      <c r="G727" s="9">
        <f>IF(E727="","",E727*F727)</f>
        <v/>
      </c>
      <c r="H727" s="5" t="n"/>
      <c r="I727" s="9">
        <f>IF(G727="","",G727-IF(H727="",0,H727))</f>
        <v/>
      </c>
    </row>
    <row r="728">
      <c r="A728" t="n">
        <v>725</v>
      </c>
      <c r="B728" s="8" t="n"/>
      <c r="C728" s="4" t="n"/>
      <c r="D728" s="4" t="n"/>
      <c r="E728" s="4" t="n"/>
      <c r="F728" s="5" t="n"/>
      <c r="G728" s="9">
        <f>IF(E728="","",E728*F728)</f>
        <v/>
      </c>
      <c r="H728" s="5" t="n"/>
      <c r="I728" s="9">
        <f>IF(G728="","",G728-IF(H728="",0,H728))</f>
        <v/>
      </c>
    </row>
    <row r="729">
      <c r="A729" t="n">
        <v>726</v>
      </c>
      <c r="B729" s="8" t="n"/>
      <c r="C729" s="4" t="n"/>
      <c r="D729" s="4" t="n"/>
      <c r="E729" s="4" t="n"/>
      <c r="F729" s="5" t="n"/>
      <c r="G729" s="9">
        <f>IF(E729="","",E729*F729)</f>
        <v/>
      </c>
      <c r="H729" s="5" t="n"/>
      <c r="I729" s="9">
        <f>IF(G729="","",G729-IF(H729="",0,H729))</f>
        <v/>
      </c>
    </row>
    <row r="730">
      <c r="A730" t="n">
        <v>727</v>
      </c>
      <c r="B730" s="8" t="n"/>
      <c r="C730" s="4" t="n"/>
      <c r="D730" s="4" t="n"/>
      <c r="E730" s="4" t="n"/>
      <c r="F730" s="5" t="n"/>
      <c r="G730" s="9">
        <f>IF(E730="","",E730*F730)</f>
        <v/>
      </c>
      <c r="H730" s="5" t="n"/>
      <c r="I730" s="9">
        <f>IF(G730="","",G730-IF(H730="",0,H730))</f>
        <v/>
      </c>
    </row>
    <row r="731">
      <c r="A731" t="n">
        <v>728</v>
      </c>
      <c r="B731" s="8" t="n"/>
      <c r="C731" s="4" t="n"/>
      <c r="D731" s="4" t="n"/>
      <c r="E731" s="4" t="n"/>
      <c r="F731" s="5" t="n"/>
      <c r="G731" s="9">
        <f>IF(E731="","",E731*F731)</f>
        <v/>
      </c>
      <c r="H731" s="5" t="n"/>
      <c r="I731" s="9">
        <f>IF(G731="","",G731-IF(H731="",0,H731))</f>
        <v/>
      </c>
    </row>
    <row r="732">
      <c r="A732" t="n">
        <v>729</v>
      </c>
      <c r="B732" s="8" t="n"/>
      <c r="C732" s="4" t="n"/>
      <c r="D732" s="4" t="n"/>
      <c r="E732" s="4" t="n"/>
      <c r="F732" s="5" t="n"/>
      <c r="G732" s="9">
        <f>IF(E732="","",E732*F732)</f>
        <v/>
      </c>
      <c r="H732" s="5" t="n"/>
      <c r="I732" s="9">
        <f>IF(G732="","",G732-IF(H732="",0,H732))</f>
        <v/>
      </c>
    </row>
    <row r="733">
      <c r="A733" t="n">
        <v>730</v>
      </c>
      <c r="B733" s="8" t="n"/>
      <c r="C733" s="4" t="n"/>
      <c r="D733" s="4" t="n"/>
      <c r="E733" s="4" t="n"/>
      <c r="F733" s="5" t="n"/>
      <c r="G733" s="9">
        <f>IF(E733="","",E733*F733)</f>
        <v/>
      </c>
      <c r="H733" s="5" t="n"/>
      <c r="I733" s="9">
        <f>IF(G733="","",G733-IF(H733="",0,H733))</f>
        <v/>
      </c>
    </row>
    <row r="734">
      <c r="A734" t="n">
        <v>731</v>
      </c>
      <c r="B734" s="8" t="n"/>
      <c r="C734" s="4" t="n"/>
      <c r="D734" s="4" t="n"/>
      <c r="E734" s="4" t="n"/>
      <c r="F734" s="5" t="n"/>
      <c r="G734" s="9">
        <f>IF(E734="","",E734*F734)</f>
        <v/>
      </c>
      <c r="H734" s="5" t="n"/>
      <c r="I734" s="9">
        <f>IF(G734="","",G734-IF(H734="",0,H734))</f>
        <v/>
      </c>
    </row>
    <row r="735">
      <c r="A735" t="n">
        <v>732</v>
      </c>
      <c r="B735" s="8" t="n"/>
      <c r="C735" s="4" t="n"/>
      <c r="D735" s="4" t="n"/>
      <c r="E735" s="4" t="n"/>
      <c r="F735" s="5" t="n"/>
      <c r="G735" s="9">
        <f>IF(E735="","",E735*F735)</f>
        <v/>
      </c>
      <c r="H735" s="5" t="n"/>
      <c r="I735" s="9">
        <f>IF(G735="","",G735-IF(H735="",0,H735))</f>
        <v/>
      </c>
    </row>
    <row r="736">
      <c r="A736" t="n">
        <v>733</v>
      </c>
      <c r="B736" s="8" t="n"/>
      <c r="C736" s="4" t="n"/>
      <c r="D736" s="4" t="n"/>
      <c r="E736" s="4" t="n"/>
      <c r="F736" s="5" t="n"/>
      <c r="G736" s="9">
        <f>IF(E736="","",E736*F736)</f>
        <v/>
      </c>
      <c r="H736" s="5" t="n"/>
      <c r="I736" s="9">
        <f>IF(G736="","",G736-IF(H736="",0,H736))</f>
        <v/>
      </c>
    </row>
    <row r="737">
      <c r="A737" t="n">
        <v>734</v>
      </c>
      <c r="B737" s="8" t="n"/>
      <c r="C737" s="4" t="n"/>
      <c r="D737" s="4" t="n"/>
      <c r="E737" s="4" t="n"/>
      <c r="F737" s="5" t="n"/>
      <c r="G737" s="9">
        <f>IF(E737="","",E737*F737)</f>
        <v/>
      </c>
      <c r="H737" s="5" t="n"/>
      <c r="I737" s="9">
        <f>IF(G737="","",G737-IF(H737="",0,H737))</f>
        <v/>
      </c>
    </row>
    <row r="738">
      <c r="A738" t="n">
        <v>735</v>
      </c>
      <c r="B738" s="8" t="n"/>
      <c r="C738" s="4" t="n"/>
      <c r="D738" s="4" t="n"/>
      <c r="E738" s="4" t="n"/>
      <c r="F738" s="5" t="n"/>
      <c r="G738" s="9">
        <f>IF(E738="","",E738*F738)</f>
        <v/>
      </c>
      <c r="H738" s="5" t="n"/>
      <c r="I738" s="9">
        <f>IF(G738="","",G738-IF(H738="",0,H738))</f>
        <v/>
      </c>
    </row>
    <row r="739">
      <c r="A739" t="n">
        <v>736</v>
      </c>
      <c r="B739" s="8" t="n"/>
      <c r="C739" s="4" t="n"/>
      <c r="D739" s="4" t="n"/>
      <c r="E739" s="4" t="n"/>
      <c r="F739" s="5" t="n"/>
      <c r="G739" s="9">
        <f>IF(E739="","",E739*F739)</f>
        <v/>
      </c>
      <c r="H739" s="5" t="n"/>
      <c r="I739" s="9">
        <f>IF(G739="","",G739-IF(H739="",0,H739))</f>
        <v/>
      </c>
    </row>
    <row r="740">
      <c r="A740" t="n">
        <v>737</v>
      </c>
      <c r="B740" s="8" t="n"/>
      <c r="C740" s="4" t="n"/>
      <c r="D740" s="4" t="n"/>
      <c r="E740" s="4" t="n"/>
      <c r="F740" s="5" t="n"/>
      <c r="G740" s="9">
        <f>IF(E740="","",E740*F740)</f>
        <v/>
      </c>
      <c r="H740" s="5" t="n"/>
      <c r="I740" s="9">
        <f>IF(G740="","",G740-IF(H740="",0,H740))</f>
        <v/>
      </c>
    </row>
    <row r="741">
      <c r="A741" t="n">
        <v>738</v>
      </c>
      <c r="B741" s="8" t="n"/>
      <c r="C741" s="4" t="n"/>
      <c r="D741" s="4" t="n"/>
      <c r="E741" s="4" t="n"/>
      <c r="F741" s="5" t="n"/>
      <c r="G741" s="9">
        <f>IF(E741="","",E741*F741)</f>
        <v/>
      </c>
      <c r="H741" s="5" t="n"/>
      <c r="I741" s="9">
        <f>IF(G741="","",G741-IF(H741="",0,H741))</f>
        <v/>
      </c>
    </row>
    <row r="742">
      <c r="A742" t="n">
        <v>739</v>
      </c>
      <c r="B742" s="8" t="n"/>
      <c r="C742" s="4" t="n"/>
      <c r="D742" s="4" t="n"/>
      <c r="E742" s="4" t="n"/>
      <c r="F742" s="5" t="n"/>
      <c r="G742" s="9">
        <f>IF(E742="","",E742*F742)</f>
        <v/>
      </c>
      <c r="H742" s="5" t="n"/>
      <c r="I742" s="9">
        <f>IF(G742="","",G742-IF(H742="",0,H742))</f>
        <v/>
      </c>
    </row>
    <row r="743">
      <c r="A743" t="n">
        <v>740</v>
      </c>
      <c r="B743" s="8" t="n"/>
      <c r="C743" s="4" t="n"/>
      <c r="D743" s="4" t="n"/>
      <c r="E743" s="4" t="n"/>
      <c r="F743" s="5" t="n"/>
      <c r="G743" s="9">
        <f>IF(E743="","",E743*F743)</f>
        <v/>
      </c>
      <c r="H743" s="5" t="n"/>
      <c r="I743" s="9">
        <f>IF(G743="","",G743-IF(H743="",0,H743))</f>
        <v/>
      </c>
    </row>
    <row r="744">
      <c r="A744" t="n">
        <v>741</v>
      </c>
      <c r="B744" s="8" t="n"/>
      <c r="C744" s="4" t="n"/>
      <c r="D744" s="4" t="n"/>
      <c r="E744" s="4" t="n"/>
      <c r="F744" s="5" t="n"/>
      <c r="G744" s="9">
        <f>IF(E744="","",E744*F744)</f>
        <v/>
      </c>
      <c r="H744" s="5" t="n"/>
      <c r="I744" s="9">
        <f>IF(G744="","",G744-IF(H744="",0,H744))</f>
        <v/>
      </c>
    </row>
    <row r="745">
      <c r="A745" t="n">
        <v>742</v>
      </c>
      <c r="B745" s="8" t="n"/>
      <c r="C745" s="4" t="n"/>
      <c r="D745" s="4" t="n"/>
      <c r="E745" s="4" t="n"/>
      <c r="F745" s="5" t="n"/>
      <c r="G745" s="9">
        <f>IF(E745="","",E745*F745)</f>
        <v/>
      </c>
      <c r="H745" s="5" t="n"/>
      <c r="I745" s="9">
        <f>IF(G745="","",G745-IF(H745="",0,H745))</f>
        <v/>
      </c>
    </row>
    <row r="746">
      <c r="A746" t="n">
        <v>743</v>
      </c>
      <c r="B746" s="8" t="n"/>
      <c r="C746" s="4" t="n"/>
      <c r="D746" s="4" t="n"/>
      <c r="E746" s="4" t="n"/>
      <c r="F746" s="5" t="n"/>
      <c r="G746" s="9">
        <f>IF(E746="","",E746*F746)</f>
        <v/>
      </c>
      <c r="H746" s="5" t="n"/>
      <c r="I746" s="9">
        <f>IF(G746="","",G746-IF(H746="",0,H746))</f>
        <v/>
      </c>
    </row>
    <row r="747">
      <c r="A747" t="n">
        <v>744</v>
      </c>
      <c r="B747" s="8" t="n"/>
      <c r="C747" s="4" t="n"/>
      <c r="D747" s="4" t="n"/>
      <c r="E747" s="4" t="n"/>
      <c r="F747" s="5" t="n"/>
      <c r="G747" s="9">
        <f>IF(E747="","",E747*F747)</f>
        <v/>
      </c>
      <c r="H747" s="5" t="n"/>
      <c r="I747" s="9">
        <f>IF(G747="","",G747-IF(H747="",0,H747))</f>
        <v/>
      </c>
    </row>
    <row r="748">
      <c r="A748" t="n">
        <v>745</v>
      </c>
      <c r="B748" s="8" t="n"/>
      <c r="C748" s="4" t="n"/>
      <c r="D748" s="4" t="n"/>
      <c r="E748" s="4" t="n"/>
      <c r="F748" s="5" t="n"/>
      <c r="G748" s="9">
        <f>IF(E748="","",E748*F748)</f>
        <v/>
      </c>
      <c r="H748" s="5" t="n"/>
      <c r="I748" s="9">
        <f>IF(G748="","",G748-IF(H748="",0,H748))</f>
        <v/>
      </c>
    </row>
    <row r="749">
      <c r="A749" t="n">
        <v>746</v>
      </c>
      <c r="B749" s="8" t="n"/>
      <c r="C749" s="4" t="n"/>
      <c r="D749" s="4" t="n"/>
      <c r="E749" s="4" t="n"/>
      <c r="F749" s="5" t="n"/>
      <c r="G749" s="9">
        <f>IF(E749="","",E749*F749)</f>
        <v/>
      </c>
      <c r="H749" s="5" t="n"/>
      <c r="I749" s="9">
        <f>IF(G749="","",G749-IF(H749="",0,H749))</f>
        <v/>
      </c>
    </row>
    <row r="750">
      <c r="A750" t="n">
        <v>747</v>
      </c>
      <c r="B750" s="8" t="n"/>
      <c r="C750" s="4" t="n"/>
      <c r="D750" s="4" t="n"/>
      <c r="E750" s="4" t="n"/>
      <c r="F750" s="5" t="n"/>
      <c r="G750" s="9">
        <f>IF(E750="","",E750*F750)</f>
        <v/>
      </c>
      <c r="H750" s="5" t="n"/>
      <c r="I750" s="9">
        <f>IF(G750="","",G750-IF(H750="",0,H750))</f>
        <v/>
      </c>
    </row>
    <row r="751">
      <c r="A751" t="n">
        <v>748</v>
      </c>
      <c r="B751" s="8" t="n"/>
      <c r="C751" s="4" t="n"/>
      <c r="D751" s="4" t="n"/>
      <c r="E751" s="4" t="n"/>
      <c r="F751" s="5" t="n"/>
      <c r="G751" s="9">
        <f>IF(E751="","",E751*F751)</f>
        <v/>
      </c>
      <c r="H751" s="5" t="n"/>
      <c r="I751" s="9">
        <f>IF(G751="","",G751-IF(H751="",0,H751))</f>
        <v/>
      </c>
    </row>
    <row r="752">
      <c r="A752" t="n">
        <v>749</v>
      </c>
      <c r="B752" s="8" t="n"/>
      <c r="C752" s="4" t="n"/>
      <c r="D752" s="4" t="n"/>
      <c r="E752" s="4" t="n"/>
      <c r="F752" s="5" t="n"/>
      <c r="G752" s="9">
        <f>IF(E752="","",E752*F752)</f>
        <v/>
      </c>
      <c r="H752" s="5" t="n"/>
      <c r="I752" s="9">
        <f>IF(G752="","",G752-IF(H752="",0,H752))</f>
        <v/>
      </c>
    </row>
    <row r="753">
      <c r="A753" t="n">
        <v>750</v>
      </c>
      <c r="B753" s="8" t="n"/>
      <c r="C753" s="4" t="n"/>
      <c r="D753" s="4" t="n"/>
      <c r="E753" s="4" t="n"/>
      <c r="F753" s="5" t="n"/>
      <c r="G753" s="9">
        <f>IF(E753="","",E753*F753)</f>
        <v/>
      </c>
      <c r="H753" s="5" t="n"/>
      <c r="I753" s="9">
        <f>IF(G753="","",G753-IF(H753="",0,H753))</f>
        <v/>
      </c>
    </row>
    <row r="754">
      <c r="A754" t="n">
        <v>751</v>
      </c>
      <c r="B754" s="8" t="n"/>
      <c r="C754" s="4" t="n"/>
      <c r="D754" s="4" t="n"/>
      <c r="E754" s="4" t="n"/>
      <c r="F754" s="5" t="n"/>
      <c r="G754" s="9">
        <f>IF(E754="","",E754*F754)</f>
        <v/>
      </c>
      <c r="H754" s="5" t="n"/>
      <c r="I754" s="9">
        <f>IF(G754="","",G754-IF(H754="",0,H754))</f>
        <v/>
      </c>
    </row>
    <row r="755">
      <c r="A755" t="n">
        <v>752</v>
      </c>
      <c r="B755" s="8" t="n"/>
      <c r="C755" s="4" t="n"/>
      <c r="D755" s="4" t="n"/>
      <c r="E755" s="4" t="n"/>
      <c r="F755" s="5" t="n"/>
      <c r="G755" s="9">
        <f>IF(E755="","",E755*F755)</f>
        <v/>
      </c>
      <c r="H755" s="5" t="n"/>
      <c r="I755" s="9">
        <f>IF(G755="","",G755-IF(H755="",0,H755))</f>
        <v/>
      </c>
    </row>
    <row r="756">
      <c r="A756" t="n">
        <v>753</v>
      </c>
      <c r="B756" s="8" t="n"/>
      <c r="C756" s="4" t="n"/>
      <c r="D756" s="4" t="n"/>
      <c r="E756" s="4" t="n"/>
      <c r="F756" s="5" t="n"/>
      <c r="G756" s="9">
        <f>IF(E756="","",E756*F756)</f>
        <v/>
      </c>
      <c r="H756" s="5" t="n"/>
      <c r="I756" s="9">
        <f>IF(G756="","",G756-IF(H756="",0,H756))</f>
        <v/>
      </c>
    </row>
    <row r="757">
      <c r="A757" t="n">
        <v>754</v>
      </c>
      <c r="B757" s="8" t="n"/>
      <c r="C757" s="4" t="n"/>
      <c r="D757" s="4" t="n"/>
      <c r="E757" s="4" t="n"/>
      <c r="F757" s="5" t="n"/>
      <c r="G757" s="9">
        <f>IF(E757="","",E757*F757)</f>
        <v/>
      </c>
      <c r="H757" s="5" t="n"/>
      <c r="I757" s="9">
        <f>IF(G757="","",G757-IF(H757="",0,H757))</f>
        <v/>
      </c>
    </row>
    <row r="758">
      <c r="A758" t="n">
        <v>755</v>
      </c>
      <c r="B758" s="8" t="n"/>
      <c r="C758" s="4" t="n"/>
      <c r="D758" s="4" t="n"/>
      <c r="E758" s="4" t="n"/>
      <c r="F758" s="5" t="n"/>
      <c r="G758" s="9">
        <f>IF(E758="","",E758*F758)</f>
        <v/>
      </c>
      <c r="H758" s="5" t="n"/>
      <c r="I758" s="9">
        <f>IF(G758="","",G758-IF(H758="",0,H758))</f>
        <v/>
      </c>
    </row>
    <row r="759">
      <c r="A759" t="n">
        <v>756</v>
      </c>
      <c r="B759" s="8" t="n"/>
      <c r="C759" s="4" t="n"/>
      <c r="D759" s="4" t="n"/>
      <c r="E759" s="4" t="n"/>
      <c r="F759" s="5" t="n"/>
      <c r="G759" s="9">
        <f>IF(E759="","",E759*F759)</f>
        <v/>
      </c>
      <c r="H759" s="5" t="n"/>
      <c r="I759" s="9">
        <f>IF(G759="","",G759-IF(H759="",0,H759))</f>
        <v/>
      </c>
    </row>
    <row r="760">
      <c r="A760" t="n">
        <v>757</v>
      </c>
      <c r="B760" s="8" t="n"/>
      <c r="C760" s="4" t="n"/>
      <c r="D760" s="4" t="n"/>
      <c r="E760" s="4" t="n"/>
      <c r="F760" s="5" t="n"/>
      <c r="G760" s="9">
        <f>IF(E760="","",E760*F760)</f>
        <v/>
      </c>
      <c r="H760" s="5" t="n"/>
      <c r="I760" s="9">
        <f>IF(G760="","",G760-IF(H760="",0,H760))</f>
        <v/>
      </c>
    </row>
    <row r="761">
      <c r="A761" t="n">
        <v>758</v>
      </c>
      <c r="B761" s="8" t="n"/>
      <c r="C761" s="4" t="n"/>
      <c r="D761" s="4" t="n"/>
      <c r="E761" s="4" t="n"/>
      <c r="F761" s="5" t="n"/>
      <c r="G761" s="9">
        <f>IF(E761="","",E761*F761)</f>
        <v/>
      </c>
      <c r="H761" s="5" t="n"/>
      <c r="I761" s="9">
        <f>IF(G761="","",G761-IF(H761="",0,H761))</f>
        <v/>
      </c>
    </row>
    <row r="762">
      <c r="A762" t="n">
        <v>759</v>
      </c>
      <c r="B762" s="8" t="n"/>
      <c r="C762" s="4" t="n"/>
      <c r="D762" s="4" t="n"/>
      <c r="E762" s="4" t="n"/>
      <c r="F762" s="5" t="n"/>
      <c r="G762" s="9">
        <f>IF(E762="","",E762*F762)</f>
        <v/>
      </c>
      <c r="H762" s="5" t="n"/>
      <c r="I762" s="9">
        <f>IF(G762="","",G762-IF(H762="",0,H762))</f>
        <v/>
      </c>
    </row>
    <row r="763">
      <c r="A763" t="n">
        <v>760</v>
      </c>
      <c r="B763" s="8" t="n"/>
      <c r="C763" s="4" t="n"/>
      <c r="D763" s="4" t="n"/>
      <c r="E763" s="4" t="n"/>
      <c r="F763" s="5" t="n"/>
      <c r="G763" s="9">
        <f>IF(E763="","",E763*F763)</f>
        <v/>
      </c>
      <c r="H763" s="5" t="n"/>
      <c r="I763" s="9">
        <f>IF(G763="","",G763-IF(H763="",0,H763))</f>
        <v/>
      </c>
    </row>
    <row r="764">
      <c r="A764" t="n">
        <v>761</v>
      </c>
      <c r="B764" s="8" t="n"/>
      <c r="C764" s="4" t="n"/>
      <c r="D764" s="4" t="n"/>
      <c r="E764" s="4" t="n"/>
      <c r="F764" s="5" t="n"/>
      <c r="G764" s="9">
        <f>IF(E764="","",E764*F764)</f>
        <v/>
      </c>
      <c r="H764" s="5" t="n"/>
      <c r="I764" s="9">
        <f>IF(G764="","",G764-IF(H764="",0,H764))</f>
        <v/>
      </c>
    </row>
    <row r="765">
      <c r="A765" t="n">
        <v>762</v>
      </c>
      <c r="B765" s="8" t="n"/>
      <c r="C765" s="4" t="n"/>
      <c r="D765" s="4" t="n"/>
      <c r="E765" s="4" t="n"/>
      <c r="F765" s="5" t="n"/>
      <c r="G765" s="9">
        <f>IF(E765="","",E765*F765)</f>
        <v/>
      </c>
      <c r="H765" s="5" t="n"/>
      <c r="I765" s="9">
        <f>IF(G765="","",G765-IF(H765="",0,H765))</f>
        <v/>
      </c>
    </row>
    <row r="766">
      <c r="A766" t="n">
        <v>763</v>
      </c>
      <c r="B766" s="8" t="n"/>
      <c r="C766" s="4" t="n"/>
      <c r="D766" s="4" t="n"/>
      <c r="E766" s="4" t="n"/>
      <c r="F766" s="5" t="n"/>
      <c r="G766" s="9">
        <f>IF(E766="","",E766*F766)</f>
        <v/>
      </c>
      <c r="H766" s="5" t="n"/>
      <c r="I766" s="9">
        <f>IF(G766="","",G766-IF(H766="",0,H766))</f>
        <v/>
      </c>
    </row>
    <row r="767">
      <c r="A767" t="n">
        <v>764</v>
      </c>
      <c r="B767" s="8" t="n"/>
      <c r="C767" s="4" t="n"/>
      <c r="D767" s="4" t="n"/>
      <c r="E767" s="4" t="n"/>
      <c r="F767" s="5" t="n"/>
      <c r="G767" s="9">
        <f>IF(E767="","",E767*F767)</f>
        <v/>
      </c>
      <c r="H767" s="5" t="n"/>
      <c r="I767" s="9">
        <f>IF(G767="","",G767-IF(H767="",0,H767))</f>
        <v/>
      </c>
    </row>
    <row r="768">
      <c r="A768" t="n">
        <v>765</v>
      </c>
      <c r="B768" s="8" t="n"/>
      <c r="C768" s="4" t="n"/>
      <c r="D768" s="4" t="n"/>
      <c r="E768" s="4" t="n"/>
      <c r="F768" s="5" t="n"/>
      <c r="G768" s="9">
        <f>IF(E768="","",E768*F768)</f>
        <v/>
      </c>
      <c r="H768" s="5" t="n"/>
      <c r="I768" s="9">
        <f>IF(G768="","",G768-IF(H768="",0,H768))</f>
        <v/>
      </c>
    </row>
    <row r="769">
      <c r="A769" t="n">
        <v>766</v>
      </c>
      <c r="B769" s="8" t="n"/>
      <c r="C769" s="4" t="n"/>
      <c r="D769" s="4" t="n"/>
      <c r="E769" s="4" t="n"/>
      <c r="F769" s="5" t="n"/>
      <c r="G769" s="9">
        <f>IF(E769="","",E769*F769)</f>
        <v/>
      </c>
      <c r="H769" s="5" t="n"/>
      <c r="I769" s="9">
        <f>IF(G769="","",G769-IF(H769="",0,H769))</f>
        <v/>
      </c>
    </row>
    <row r="770">
      <c r="A770" t="n">
        <v>767</v>
      </c>
      <c r="B770" s="8" t="n"/>
      <c r="C770" s="4" t="n"/>
      <c r="D770" s="4" t="n"/>
      <c r="E770" s="4" t="n"/>
      <c r="F770" s="5" t="n"/>
      <c r="G770" s="9">
        <f>IF(E770="","",E770*F770)</f>
        <v/>
      </c>
      <c r="H770" s="5" t="n"/>
      <c r="I770" s="9">
        <f>IF(G770="","",G770-IF(H770="",0,H770))</f>
        <v/>
      </c>
    </row>
    <row r="771">
      <c r="A771" t="n">
        <v>768</v>
      </c>
      <c r="B771" s="8" t="n"/>
      <c r="C771" s="4" t="n"/>
      <c r="D771" s="4" t="n"/>
      <c r="E771" s="4" t="n"/>
      <c r="F771" s="5" t="n"/>
      <c r="G771" s="9">
        <f>IF(E771="","",E771*F771)</f>
        <v/>
      </c>
      <c r="H771" s="5" t="n"/>
      <c r="I771" s="9">
        <f>IF(G771="","",G771-IF(H771="",0,H771))</f>
        <v/>
      </c>
    </row>
    <row r="772">
      <c r="A772" t="n">
        <v>769</v>
      </c>
      <c r="B772" s="8" t="n"/>
      <c r="C772" s="4" t="n"/>
      <c r="D772" s="4" t="n"/>
      <c r="E772" s="4" t="n"/>
      <c r="F772" s="5" t="n"/>
      <c r="G772" s="9">
        <f>IF(E772="","",E772*F772)</f>
        <v/>
      </c>
      <c r="H772" s="5" t="n"/>
      <c r="I772" s="9">
        <f>IF(G772="","",G772-IF(H772="",0,H772))</f>
        <v/>
      </c>
    </row>
    <row r="773">
      <c r="A773" t="n">
        <v>770</v>
      </c>
      <c r="B773" s="8" t="n"/>
      <c r="C773" s="4" t="n"/>
      <c r="D773" s="4" t="n"/>
      <c r="E773" s="4" t="n"/>
      <c r="F773" s="5" t="n"/>
      <c r="G773" s="9">
        <f>IF(E773="","",E773*F773)</f>
        <v/>
      </c>
      <c r="H773" s="5" t="n"/>
      <c r="I773" s="9">
        <f>IF(G773="","",G773-IF(H773="",0,H773))</f>
        <v/>
      </c>
    </row>
    <row r="774">
      <c r="A774" t="n">
        <v>771</v>
      </c>
      <c r="B774" s="8" t="n"/>
      <c r="C774" s="4" t="n"/>
      <c r="D774" s="4" t="n"/>
      <c r="E774" s="4" t="n"/>
      <c r="F774" s="5" t="n"/>
      <c r="G774" s="9">
        <f>IF(E774="","",E774*F774)</f>
        <v/>
      </c>
      <c r="H774" s="5" t="n"/>
      <c r="I774" s="9">
        <f>IF(G774="","",G774-IF(H774="",0,H774))</f>
        <v/>
      </c>
    </row>
    <row r="775">
      <c r="A775" t="n">
        <v>772</v>
      </c>
      <c r="B775" s="8" t="n"/>
      <c r="C775" s="4" t="n"/>
      <c r="D775" s="4" t="n"/>
      <c r="E775" s="4" t="n"/>
      <c r="F775" s="5" t="n"/>
      <c r="G775" s="9">
        <f>IF(E775="","",E775*F775)</f>
        <v/>
      </c>
      <c r="H775" s="5" t="n"/>
      <c r="I775" s="9">
        <f>IF(G775="","",G775-IF(H775="",0,H775))</f>
        <v/>
      </c>
    </row>
    <row r="776">
      <c r="A776" t="n">
        <v>773</v>
      </c>
      <c r="B776" s="8" t="n"/>
      <c r="C776" s="4" t="n"/>
      <c r="D776" s="4" t="n"/>
      <c r="E776" s="4" t="n"/>
      <c r="F776" s="5" t="n"/>
      <c r="G776" s="9">
        <f>IF(E776="","",E776*F776)</f>
        <v/>
      </c>
      <c r="H776" s="5" t="n"/>
      <c r="I776" s="9">
        <f>IF(G776="","",G776-IF(H776="",0,H776))</f>
        <v/>
      </c>
    </row>
    <row r="777">
      <c r="A777" t="n">
        <v>774</v>
      </c>
      <c r="B777" s="8" t="n"/>
      <c r="C777" s="4" t="n"/>
      <c r="D777" s="4" t="n"/>
      <c r="E777" s="4" t="n"/>
      <c r="F777" s="5" t="n"/>
      <c r="G777" s="9">
        <f>IF(E777="","",E777*F777)</f>
        <v/>
      </c>
      <c r="H777" s="5" t="n"/>
      <c r="I777" s="9">
        <f>IF(G777="","",G777-IF(H777="",0,H777))</f>
        <v/>
      </c>
    </row>
    <row r="778">
      <c r="A778" t="n">
        <v>775</v>
      </c>
      <c r="B778" s="8" t="n"/>
      <c r="C778" s="4" t="n"/>
      <c r="D778" s="4" t="n"/>
      <c r="E778" s="4" t="n"/>
      <c r="F778" s="5" t="n"/>
      <c r="G778" s="9">
        <f>IF(E778="","",E778*F778)</f>
        <v/>
      </c>
      <c r="H778" s="5" t="n"/>
      <c r="I778" s="9">
        <f>IF(G778="","",G778-IF(H778="",0,H778))</f>
        <v/>
      </c>
    </row>
    <row r="779">
      <c r="A779" t="n">
        <v>776</v>
      </c>
      <c r="B779" s="8" t="n"/>
      <c r="C779" s="4" t="n"/>
      <c r="D779" s="4" t="n"/>
      <c r="E779" s="4" t="n"/>
      <c r="F779" s="5" t="n"/>
      <c r="G779" s="9">
        <f>IF(E779="","",E779*F779)</f>
        <v/>
      </c>
      <c r="H779" s="5" t="n"/>
      <c r="I779" s="9">
        <f>IF(G779="","",G779-IF(H779="",0,H779))</f>
        <v/>
      </c>
    </row>
    <row r="780">
      <c r="A780" t="n">
        <v>777</v>
      </c>
      <c r="B780" s="8" t="n"/>
      <c r="C780" s="4" t="n"/>
      <c r="D780" s="4" t="n"/>
      <c r="E780" s="4" t="n"/>
      <c r="F780" s="5" t="n"/>
      <c r="G780" s="9">
        <f>IF(E780="","",E780*F780)</f>
        <v/>
      </c>
      <c r="H780" s="5" t="n"/>
      <c r="I780" s="9">
        <f>IF(G780="","",G780-IF(H780="",0,H780))</f>
        <v/>
      </c>
    </row>
    <row r="781">
      <c r="A781" t="n">
        <v>778</v>
      </c>
      <c r="B781" s="8" t="n"/>
      <c r="C781" s="4" t="n"/>
      <c r="D781" s="4" t="n"/>
      <c r="E781" s="4" t="n"/>
      <c r="F781" s="5" t="n"/>
      <c r="G781" s="9">
        <f>IF(E781="","",E781*F781)</f>
        <v/>
      </c>
      <c r="H781" s="5" t="n"/>
      <c r="I781" s="9">
        <f>IF(G781="","",G781-IF(H781="",0,H781))</f>
        <v/>
      </c>
    </row>
    <row r="782">
      <c r="A782" t="n">
        <v>779</v>
      </c>
      <c r="B782" s="8" t="n"/>
      <c r="C782" s="4" t="n"/>
      <c r="D782" s="4" t="n"/>
      <c r="E782" s="4" t="n"/>
      <c r="F782" s="5" t="n"/>
      <c r="G782" s="9">
        <f>IF(E782="","",E782*F782)</f>
        <v/>
      </c>
      <c r="H782" s="5" t="n"/>
      <c r="I782" s="9">
        <f>IF(G782="","",G782-IF(H782="",0,H782))</f>
        <v/>
      </c>
    </row>
    <row r="783">
      <c r="A783" t="n">
        <v>780</v>
      </c>
      <c r="B783" s="8" t="n"/>
      <c r="C783" s="4" t="n"/>
      <c r="D783" s="4" t="n"/>
      <c r="E783" s="4" t="n"/>
      <c r="F783" s="5" t="n"/>
      <c r="G783" s="9">
        <f>IF(E783="","",E783*F783)</f>
        <v/>
      </c>
      <c r="H783" s="5" t="n"/>
      <c r="I783" s="9">
        <f>IF(G783="","",G783-IF(H783="",0,H783))</f>
        <v/>
      </c>
    </row>
    <row r="784">
      <c r="A784" t="n">
        <v>781</v>
      </c>
      <c r="B784" s="8" t="n"/>
      <c r="C784" s="4" t="n"/>
      <c r="D784" s="4" t="n"/>
      <c r="E784" s="4" t="n"/>
      <c r="F784" s="5" t="n"/>
      <c r="G784" s="9">
        <f>IF(E784="","",E784*F784)</f>
        <v/>
      </c>
      <c r="H784" s="5" t="n"/>
      <c r="I784" s="9">
        <f>IF(G784="","",G784-IF(H784="",0,H784))</f>
        <v/>
      </c>
    </row>
    <row r="785">
      <c r="A785" t="n">
        <v>782</v>
      </c>
      <c r="B785" s="8" t="n"/>
      <c r="C785" s="4" t="n"/>
      <c r="D785" s="4" t="n"/>
      <c r="E785" s="4" t="n"/>
      <c r="F785" s="5" t="n"/>
      <c r="G785" s="9">
        <f>IF(E785="","",E785*F785)</f>
        <v/>
      </c>
      <c r="H785" s="5" t="n"/>
      <c r="I785" s="9">
        <f>IF(G785="","",G785-IF(H785="",0,H785))</f>
        <v/>
      </c>
    </row>
    <row r="786">
      <c r="A786" t="n">
        <v>783</v>
      </c>
      <c r="B786" s="8" t="n"/>
      <c r="C786" s="4" t="n"/>
      <c r="D786" s="4" t="n"/>
      <c r="E786" s="4" t="n"/>
      <c r="F786" s="5" t="n"/>
      <c r="G786" s="9">
        <f>IF(E786="","",E786*F786)</f>
        <v/>
      </c>
      <c r="H786" s="5" t="n"/>
      <c r="I786" s="9">
        <f>IF(G786="","",G786-IF(H786="",0,H786))</f>
        <v/>
      </c>
    </row>
    <row r="787">
      <c r="A787" t="n">
        <v>784</v>
      </c>
      <c r="B787" s="8" t="n"/>
      <c r="C787" s="4" t="n"/>
      <c r="D787" s="4" t="n"/>
      <c r="E787" s="4" t="n"/>
      <c r="F787" s="5" t="n"/>
      <c r="G787" s="9">
        <f>IF(E787="","",E787*F787)</f>
        <v/>
      </c>
      <c r="H787" s="5" t="n"/>
      <c r="I787" s="9">
        <f>IF(G787="","",G787-IF(H787="",0,H787))</f>
        <v/>
      </c>
    </row>
    <row r="788">
      <c r="A788" t="n">
        <v>785</v>
      </c>
      <c r="B788" s="8" t="n"/>
      <c r="C788" s="4" t="n"/>
      <c r="D788" s="4" t="n"/>
      <c r="E788" s="4" t="n"/>
      <c r="F788" s="5" t="n"/>
      <c r="G788" s="9">
        <f>IF(E788="","",E788*F788)</f>
        <v/>
      </c>
      <c r="H788" s="5" t="n"/>
      <c r="I788" s="9">
        <f>IF(G788="","",G788-IF(H788="",0,H788))</f>
        <v/>
      </c>
    </row>
    <row r="789">
      <c r="A789" t="n">
        <v>786</v>
      </c>
      <c r="B789" s="8" t="n"/>
      <c r="C789" s="4" t="n"/>
      <c r="D789" s="4" t="n"/>
      <c r="E789" s="4" t="n"/>
      <c r="F789" s="5" t="n"/>
      <c r="G789" s="9">
        <f>IF(E789="","",E789*F789)</f>
        <v/>
      </c>
      <c r="H789" s="5" t="n"/>
      <c r="I789" s="9">
        <f>IF(G789="","",G789-IF(H789="",0,H789))</f>
        <v/>
      </c>
    </row>
    <row r="790">
      <c r="A790" t="n">
        <v>787</v>
      </c>
      <c r="B790" s="8" t="n"/>
      <c r="C790" s="4" t="n"/>
      <c r="D790" s="4" t="n"/>
      <c r="E790" s="4" t="n"/>
      <c r="F790" s="5" t="n"/>
      <c r="G790" s="9">
        <f>IF(E790="","",E790*F790)</f>
        <v/>
      </c>
      <c r="H790" s="5" t="n"/>
      <c r="I790" s="9">
        <f>IF(G790="","",G790-IF(H790="",0,H790))</f>
        <v/>
      </c>
    </row>
    <row r="791">
      <c r="A791" t="n">
        <v>788</v>
      </c>
      <c r="B791" s="8" t="n"/>
      <c r="C791" s="4" t="n"/>
      <c r="D791" s="4" t="n"/>
      <c r="E791" s="4" t="n"/>
      <c r="F791" s="5" t="n"/>
      <c r="G791" s="9">
        <f>IF(E791="","",E791*F791)</f>
        <v/>
      </c>
      <c r="H791" s="5" t="n"/>
      <c r="I791" s="9">
        <f>IF(G791="","",G791-IF(H791="",0,H791))</f>
        <v/>
      </c>
    </row>
    <row r="792">
      <c r="A792" t="n">
        <v>789</v>
      </c>
      <c r="B792" s="8" t="n"/>
      <c r="C792" s="4" t="n"/>
      <c r="D792" s="4" t="n"/>
      <c r="E792" s="4" t="n"/>
      <c r="F792" s="5" t="n"/>
      <c r="G792" s="9">
        <f>IF(E792="","",E792*F792)</f>
        <v/>
      </c>
      <c r="H792" s="5" t="n"/>
      <c r="I792" s="9">
        <f>IF(G792="","",G792-IF(H792="",0,H792))</f>
        <v/>
      </c>
    </row>
    <row r="793">
      <c r="A793" t="n">
        <v>790</v>
      </c>
      <c r="B793" s="8" t="n"/>
      <c r="C793" s="4" t="n"/>
      <c r="D793" s="4" t="n"/>
      <c r="E793" s="4" t="n"/>
      <c r="F793" s="5" t="n"/>
      <c r="G793" s="9">
        <f>IF(E793="","",E793*F793)</f>
        <v/>
      </c>
      <c r="H793" s="5" t="n"/>
      <c r="I793" s="9">
        <f>IF(G793="","",G793-IF(H793="",0,H793))</f>
        <v/>
      </c>
    </row>
    <row r="794">
      <c r="A794" t="n">
        <v>791</v>
      </c>
      <c r="B794" s="8" t="n"/>
      <c r="C794" s="4" t="n"/>
      <c r="D794" s="4" t="n"/>
      <c r="E794" s="4" t="n"/>
      <c r="F794" s="5" t="n"/>
      <c r="G794" s="9">
        <f>IF(E794="","",E794*F794)</f>
        <v/>
      </c>
      <c r="H794" s="5" t="n"/>
      <c r="I794" s="9">
        <f>IF(G794="","",G794-IF(H794="",0,H794))</f>
        <v/>
      </c>
    </row>
    <row r="795">
      <c r="A795" t="n">
        <v>792</v>
      </c>
      <c r="B795" s="8" t="n"/>
      <c r="C795" s="4" t="n"/>
      <c r="D795" s="4" t="n"/>
      <c r="E795" s="4" t="n"/>
      <c r="F795" s="5" t="n"/>
      <c r="G795" s="9">
        <f>IF(E795="","",E795*F795)</f>
        <v/>
      </c>
      <c r="H795" s="5" t="n"/>
      <c r="I795" s="9">
        <f>IF(G795="","",G795-IF(H795="",0,H795))</f>
        <v/>
      </c>
    </row>
    <row r="796">
      <c r="A796" t="n">
        <v>793</v>
      </c>
      <c r="B796" s="8" t="n"/>
      <c r="C796" s="4" t="n"/>
      <c r="D796" s="4" t="n"/>
      <c r="E796" s="4" t="n"/>
      <c r="F796" s="5" t="n"/>
      <c r="G796" s="9">
        <f>IF(E796="","",E796*F796)</f>
        <v/>
      </c>
      <c r="H796" s="5" t="n"/>
      <c r="I796" s="9">
        <f>IF(G796="","",G796-IF(H796="",0,H796))</f>
        <v/>
      </c>
    </row>
    <row r="797">
      <c r="A797" t="n">
        <v>794</v>
      </c>
      <c r="B797" s="8" t="n"/>
      <c r="C797" s="4" t="n"/>
      <c r="D797" s="4" t="n"/>
      <c r="E797" s="4" t="n"/>
      <c r="F797" s="5" t="n"/>
      <c r="G797" s="9">
        <f>IF(E797="","",E797*F797)</f>
        <v/>
      </c>
      <c r="H797" s="5" t="n"/>
      <c r="I797" s="9">
        <f>IF(G797="","",G797-IF(H797="",0,H797))</f>
        <v/>
      </c>
    </row>
    <row r="798">
      <c r="A798" t="n">
        <v>795</v>
      </c>
      <c r="B798" s="8" t="n"/>
      <c r="C798" s="4" t="n"/>
      <c r="D798" s="4" t="n"/>
      <c r="E798" s="4" t="n"/>
      <c r="F798" s="5" t="n"/>
      <c r="G798" s="9">
        <f>IF(E798="","",E798*F798)</f>
        <v/>
      </c>
      <c r="H798" s="5" t="n"/>
      <c r="I798" s="9">
        <f>IF(G798="","",G798-IF(H798="",0,H798))</f>
        <v/>
      </c>
    </row>
    <row r="799">
      <c r="A799" t="n">
        <v>796</v>
      </c>
      <c r="B799" s="8" t="n"/>
      <c r="C799" s="4" t="n"/>
      <c r="D799" s="4" t="n"/>
      <c r="E799" s="4" t="n"/>
      <c r="F799" s="5" t="n"/>
      <c r="G799" s="9">
        <f>IF(E799="","",E799*F799)</f>
        <v/>
      </c>
      <c r="H799" s="5" t="n"/>
      <c r="I799" s="9">
        <f>IF(G799="","",G799-IF(H799="",0,H799))</f>
        <v/>
      </c>
    </row>
    <row r="800">
      <c r="A800" t="n">
        <v>797</v>
      </c>
      <c r="B800" s="8" t="n"/>
      <c r="C800" s="4" t="n"/>
      <c r="D800" s="4" t="n"/>
      <c r="E800" s="4" t="n"/>
      <c r="F800" s="5" t="n"/>
      <c r="G800" s="9">
        <f>IF(E800="","",E800*F800)</f>
        <v/>
      </c>
      <c r="H800" s="5" t="n"/>
      <c r="I800" s="9">
        <f>IF(G800="","",G800-IF(H800="",0,H800))</f>
        <v/>
      </c>
    </row>
    <row r="801">
      <c r="A801" t="n">
        <v>798</v>
      </c>
      <c r="B801" s="8" t="n"/>
      <c r="C801" s="4" t="n"/>
      <c r="D801" s="4" t="n"/>
      <c r="E801" s="4" t="n"/>
      <c r="F801" s="5" t="n"/>
      <c r="G801" s="9">
        <f>IF(E801="","",E801*F801)</f>
        <v/>
      </c>
      <c r="H801" s="5" t="n"/>
      <c r="I801" s="9">
        <f>IF(G801="","",G801-IF(H801="",0,H801))</f>
        <v/>
      </c>
    </row>
    <row r="802">
      <c r="A802" t="n">
        <v>799</v>
      </c>
      <c r="B802" s="8" t="n"/>
      <c r="C802" s="4" t="n"/>
      <c r="D802" s="4" t="n"/>
      <c r="E802" s="4" t="n"/>
      <c r="F802" s="5" t="n"/>
      <c r="G802" s="9">
        <f>IF(E802="","",E802*F802)</f>
        <v/>
      </c>
      <c r="H802" s="5" t="n"/>
      <c r="I802" s="9">
        <f>IF(G802="","",G802-IF(H802="",0,H802))</f>
        <v/>
      </c>
    </row>
    <row r="803">
      <c r="A803" t="n">
        <v>800</v>
      </c>
      <c r="B803" s="8" t="n"/>
      <c r="C803" s="4" t="n"/>
      <c r="D803" s="4" t="n"/>
      <c r="E803" s="4" t="n"/>
      <c r="F803" s="5" t="n"/>
      <c r="G803" s="9">
        <f>IF(E803="","",E803*F803)</f>
        <v/>
      </c>
      <c r="H803" s="5" t="n"/>
      <c r="I803" s="9">
        <f>IF(G803="","",G803-IF(H803="",0,H803))</f>
        <v/>
      </c>
    </row>
    <row r="804">
      <c r="A804" t="n">
        <v>801</v>
      </c>
      <c r="B804" s="8" t="n"/>
      <c r="C804" s="4" t="n"/>
      <c r="D804" s="4" t="n"/>
      <c r="E804" s="4" t="n"/>
      <c r="F804" s="5" t="n"/>
      <c r="G804" s="9">
        <f>IF(E804="","",E804*F804)</f>
        <v/>
      </c>
      <c r="H804" s="5" t="n"/>
      <c r="I804" s="9">
        <f>IF(G804="","",G804-IF(H804="",0,H804))</f>
        <v/>
      </c>
    </row>
    <row r="805">
      <c r="A805" t="n">
        <v>802</v>
      </c>
      <c r="B805" s="8" t="n"/>
      <c r="C805" s="4" t="n"/>
      <c r="D805" s="4" t="n"/>
      <c r="E805" s="4" t="n"/>
      <c r="F805" s="5" t="n"/>
      <c r="G805" s="9">
        <f>IF(E805="","",E805*F805)</f>
        <v/>
      </c>
      <c r="H805" s="5" t="n"/>
      <c r="I805" s="9">
        <f>IF(G805="","",G805-IF(H805="",0,H805))</f>
        <v/>
      </c>
    </row>
    <row r="806">
      <c r="A806" t="n">
        <v>803</v>
      </c>
      <c r="B806" s="8" t="n"/>
      <c r="C806" s="4" t="n"/>
      <c r="D806" s="4" t="n"/>
      <c r="E806" s="4" t="n"/>
      <c r="F806" s="5" t="n"/>
      <c r="G806" s="9">
        <f>IF(E806="","",E806*F806)</f>
        <v/>
      </c>
      <c r="H806" s="5" t="n"/>
      <c r="I806" s="9">
        <f>IF(G806="","",G806-IF(H806="",0,H806))</f>
        <v/>
      </c>
    </row>
    <row r="807">
      <c r="A807" t="n">
        <v>804</v>
      </c>
      <c r="B807" s="8" t="n"/>
      <c r="C807" s="4" t="n"/>
      <c r="D807" s="4" t="n"/>
      <c r="E807" s="4" t="n"/>
      <c r="F807" s="5" t="n"/>
      <c r="G807" s="9">
        <f>IF(E807="","",E807*F807)</f>
        <v/>
      </c>
      <c r="H807" s="5" t="n"/>
      <c r="I807" s="9">
        <f>IF(G807="","",G807-IF(H807="",0,H807))</f>
        <v/>
      </c>
    </row>
    <row r="808">
      <c r="A808" t="n">
        <v>805</v>
      </c>
      <c r="B808" s="8" t="n"/>
      <c r="C808" s="4" t="n"/>
      <c r="D808" s="4" t="n"/>
      <c r="E808" s="4" t="n"/>
      <c r="F808" s="5" t="n"/>
      <c r="G808" s="9">
        <f>IF(E808="","",E808*F808)</f>
        <v/>
      </c>
      <c r="H808" s="5" t="n"/>
      <c r="I808" s="9">
        <f>IF(G808="","",G808-IF(H808="",0,H808))</f>
        <v/>
      </c>
    </row>
    <row r="809">
      <c r="A809" t="n">
        <v>806</v>
      </c>
      <c r="B809" s="8" t="n"/>
      <c r="C809" s="4" t="n"/>
      <c r="D809" s="4" t="n"/>
      <c r="E809" s="4" t="n"/>
      <c r="F809" s="5" t="n"/>
      <c r="G809" s="9">
        <f>IF(E809="","",E809*F809)</f>
        <v/>
      </c>
      <c r="H809" s="5" t="n"/>
      <c r="I809" s="9">
        <f>IF(G809="","",G809-IF(H809="",0,H809))</f>
        <v/>
      </c>
    </row>
    <row r="810">
      <c r="A810" t="n">
        <v>807</v>
      </c>
      <c r="B810" s="8" t="n"/>
      <c r="C810" s="4" t="n"/>
      <c r="D810" s="4" t="n"/>
      <c r="E810" s="4" t="n"/>
      <c r="F810" s="5" t="n"/>
      <c r="G810" s="9">
        <f>IF(E810="","",E810*F810)</f>
        <v/>
      </c>
      <c r="H810" s="5" t="n"/>
      <c r="I810" s="9">
        <f>IF(G810="","",G810-IF(H810="",0,H810))</f>
        <v/>
      </c>
    </row>
    <row r="811">
      <c r="A811" t="n">
        <v>808</v>
      </c>
      <c r="B811" s="8" t="n"/>
      <c r="C811" s="4" t="n"/>
      <c r="D811" s="4" t="n"/>
      <c r="E811" s="4" t="n"/>
      <c r="F811" s="5" t="n"/>
      <c r="G811" s="9">
        <f>IF(E811="","",E811*F811)</f>
        <v/>
      </c>
      <c r="H811" s="5" t="n"/>
      <c r="I811" s="9">
        <f>IF(G811="","",G811-IF(H811="",0,H811))</f>
        <v/>
      </c>
    </row>
    <row r="812">
      <c r="A812" t="n">
        <v>809</v>
      </c>
      <c r="B812" s="8" t="n"/>
      <c r="C812" s="4" t="n"/>
      <c r="D812" s="4" t="n"/>
      <c r="E812" s="4" t="n"/>
      <c r="F812" s="5" t="n"/>
      <c r="G812" s="9">
        <f>IF(E812="","",E812*F812)</f>
        <v/>
      </c>
      <c r="H812" s="5" t="n"/>
      <c r="I812" s="9">
        <f>IF(G812="","",G812-IF(H812="",0,H812))</f>
        <v/>
      </c>
    </row>
    <row r="813">
      <c r="A813" t="n">
        <v>810</v>
      </c>
      <c r="B813" s="8" t="n"/>
      <c r="C813" s="4" t="n"/>
      <c r="D813" s="4" t="n"/>
      <c r="E813" s="4" t="n"/>
      <c r="F813" s="5" t="n"/>
      <c r="G813" s="9">
        <f>IF(E813="","",E813*F813)</f>
        <v/>
      </c>
      <c r="H813" s="5" t="n"/>
      <c r="I813" s="9">
        <f>IF(G813="","",G813-IF(H813="",0,H813))</f>
        <v/>
      </c>
    </row>
    <row r="814">
      <c r="A814" t="n">
        <v>811</v>
      </c>
      <c r="B814" s="8" t="n"/>
      <c r="C814" s="4" t="n"/>
      <c r="D814" s="4" t="n"/>
      <c r="E814" s="4" t="n"/>
      <c r="F814" s="5" t="n"/>
      <c r="G814" s="9">
        <f>IF(E814="","",E814*F814)</f>
        <v/>
      </c>
      <c r="H814" s="5" t="n"/>
      <c r="I814" s="9">
        <f>IF(G814="","",G814-IF(H814="",0,H814))</f>
        <v/>
      </c>
    </row>
    <row r="815">
      <c r="A815" t="n">
        <v>812</v>
      </c>
      <c r="B815" s="8" t="n"/>
      <c r="C815" s="4" t="n"/>
      <c r="D815" s="4" t="n"/>
      <c r="E815" s="4" t="n"/>
      <c r="F815" s="5" t="n"/>
      <c r="G815" s="9">
        <f>IF(E815="","",E815*F815)</f>
        <v/>
      </c>
      <c r="H815" s="5" t="n"/>
      <c r="I815" s="9">
        <f>IF(G815="","",G815-IF(H815="",0,H815))</f>
        <v/>
      </c>
    </row>
    <row r="816">
      <c r="A816" t="n">
        <v>813</v>
      </c>
      <c r="B816" s="8" t="n"/>
      <c r="C816" s="4" t="n"/>
      <c r="D816" s="4" t="n"/>
      <c r="E816" s="4" t="n"/>
      <c r="F816" s="5" t="n"/>
      <c r="G816" s="9">
        <f>IF(E816="","",E816*F816)</f>
        <v/>
      </c>
      <c r="H816" s="5" t="n"/>
      <c r="I816" s="9">
        <f>IF(G816="","",G816-IF(H816="",0,H816))</f>
        <v/>
      </c>
    </row>
    <row r="817">
      <c r="A817" t="n">
        <v>814</v>
      </c>
      <c r="B817" s="8" t="n"/>
      <c r="C817" s="4" t="n"/>
      <c r="D817" s="4" t="n"/>
      <c r="E817" s="4" t="n"/>
      <c r="F817" s="5" t="n"/>
      <c r="G817" s="9">
        <f>IF(E817="","",E817*F817)</f>
        <v/>
      </c>
      <c r="H817" s="5" t="n"/>
      <c r="I817" s="9">
        <f>IF(G817="","",G817-IF(H817="",0,H817))</f>
        <v/>
      </c>
    </row>
    <row r="818">
      <c r="A818" t="n">
        <v>815</v>
      </c>
      <c r="B818" s="8" t="n"/>
      <c r="C818" s="4" t="n"/>
      <c r="D818" s="4" t="n"/>
      <c r="E818" s="4" t="n"/>
      <c r="F818" s="5" t="n"/>
      <c r="G818" s="9">
        <f>IF(E818="","",E818*F818)</f>
        <v/>
      </c>
      <c r="H818" s="5" t="n"/>
      <c r="I818" s="9">
        <f>IF(G818="","",G818-IF(H818="",0,H818))</f>
        <v/>
      </c>
    </row>
    <row r="819">
      <c r="A819" t="n">
        <v>816</v>
      </c>
      <c r="B819" s="8" t="n"/>
      <c r="C819" s="4" t="n"/>
      <c r="D819" s="4" t="n"/>
      <c r="E819" s="4" t="n"/>
      <c r="F819" s="5" t="n"/>
      <c r="G819" s="9">
        <f>IF(E819="","",E819*F819)</f>
        <v/>
      </c>
      <c r="H819" s="5" t="n"/>
      <c r="I819" s="9">
        <f>IF(G819="","",G819-IF(H819="",0,H819))</f>
        <v/>
      </c>
    </row>
    <row r="820">
      <c r="A820" t="n">
        <v>817</v>
      </c>
      <c r="B820" s="8" t="n"/>
      <c r="C820" s="4" t="n"/>
      <c r="D820" s="4" t="n"/>
      <c r="E820" s="4" t="n"/>
      <c r="F820" s="5" t="n"/>
      <c r="G820" s="9">
        <f>IF(E820="","",E820*F820)</f>
        <v/>
      </c>
      <c r="H820" s="5" t="n"/>
      <c r="I820" s="9">
        <f>IF(G820="","",G820-IF(H820="",0,H820))</f>
        <v/>
      </c>
    </row>
    <row r="821">
      <c r="A821" t="n">
        <v>818</v>
      </c>
      <c r="B821" s="8" t="n"/>
      <c r="C821" s="4" t="n"/>
      <c r="D821" s="4" t="n"/>
      <c r="E821" s="4" t="n"/>
      <c r="F821" s="5" t="n"/>
      <c r="G821" s="9">
        <f>IF(E821="","",E821*F821)</f>
        <v/>
      </c>
      <c r="H821" s="5" t="n"/>
      <c r="I821" s="9">
        <f>IF(G821="","",G821-IF(H821="",0,H821))</f>
        <v/>
      </c>
    </row>
    <row r="822">
      <c r="A822" t="n">
        <v>819</v>
      </c>
      <c r="B822" s="8" t="n"/>
      <c r="C822" s="4" t="n"/>
      <c r="D822" s="4" t="n"/>
      <c r="E822" s="4" t="n"/>
      <c r="F822" s="5" t="n"/>
      <c r="G822" s="9">
        <f>IF(E822="","",E822*F822)</f>
        <v/>
      </c>
      <c r="H822" s="5" t="n"/>
      <c r="I822" s="9">
        <f>IF(G822="","",G822-IF(H822="",0,H822))</f>
        <v/>
      </c>
    </row>
    <row r="823">
      <c r="A823" t="n">
        <v>820</v>
      </c>
      <c r="B823" s="8" t="n"/>
      <c r="C823" s="4" t="n"/>
      <c r="D823" s="4" t="n"/>
      <c r="E823" s="4" t="n"/>
      <c r="F823" s="5" t="n"/>
      <c r="G823" s="9">
        <f>IF(E823="","",E823*F823)</f>
        <v/>
      </c>
      <c r="H823" s="5" t="n"/>
      <c r="I823" s="9">
        <f>IF(G823="","",G823-IF(H823="",0,H823))</f>
        <v/>
      </c>
    </row>
    <row r="824">
      <c r="A824" t="n">
        <v>821</v>
      </c>
      <c r="B824" s="8" t="n"/>
      <c r="C824" s="4" t="n"/>
      <c r="D824" s="4" t="n"/>
      <c r="E824" s="4" t="n"/>
      <c r="F824" s="5" t="n"/>
      <c r="G824" s="9">
        <f>IF(E824="","",E824*F824)</f>
        <v/>
      </c>
      <c r="H824" s="5" t="n"/>
      <c r="I824" s="9">
        <f>IF(G824="","",G824-IF(H824="",0,H824))</f>
        <v/>
      </c>
    </row>
    <row r="825">
      <c r="A825" t="n">
        <v>822</v>
      </c>
      <c r="B825" s="8" t="n"/>
      <c r="C825" s="4" t="n"/>
      <c r="D825" s="4" t="n"/>
      <c r="E825" s="4" t="n"/>
      <c r="F825" s="5" t="n"/>
      <c r="G825" s="9">
        <f>IF(E825="","",E825*F825)</f>
        <v/>
      </c>
      <c r="H825" s="5" t="n"/>
      <c r="I825" s="9">
        <f>IF(G825="","",G825-IF(H825="",0,H825))</f>
        <v/>
      </c>
    </row>
    <row r="826">
      <c r="A826" t="n">
        <v>823</v>
      </c>
      <c r="B826" s="8" t="n"/>
      <c r="C826" s="4" t="n"/>
      <c r="D826" s="4" t="n"/>
      <c r="E826" s="4" t="n"/>
      <c r="F826" s="5" t="n"/>
      <c r="G826" s="9">
        <f>IF(E826="","",E826*F826)</f>
        <v/>
      </c>
      <c r="H826" s="5" t="n"/>
      <c r="I826" s="9">
        <f>IF(G826="","",G826-IF(H826="",0,H826))</f>
        <v/>
      </c>
    </row>
    <row r="827">
      <c r="A827" t="n">
        <v>824</v>
      </c>
      <c r="B827" s="8" t="n"/>
      <c r="C827" s="4" t="n"/>
      <c r="D827" s="4" t="n"/>
      <c r="E827" s="4" t="n"/>
      <c r="F827" s="5" t="n"/>
      <c r="G827" s="9">
        <f>IF(E827="","",E827*F827)</f>
        <v/>
      </c>
      <c r="H827" s="5" t="n"/>
      <c r="I827" s="9">
        <f>IF(G827="","",G827-IF(H827="",0,H827))</f>
        <v/>
      </c>
    </row>
    <row r="828">
      <c r="A828" t="n">
        <v>825</v>
      </c>
      <c r="B828" s="8" t="n"/>
      <c r="C828" s="4" t="n"/>
      <c r="D828" s="4" t="n"/>
      <c r="E828" s="4" t="n"/>
      <c r="F828" s="5" t="n"/>
      <c r="G828" s="9">
        <f>IF(E828="","",E828*F828)</f>
        <v/>
      </c>
      <c r="H828" s="5" t="n"/>
      <c r="I828" s="9">
        <f>IF(G828="","",G828-IF(H828="",0,H828))</f>
        <v/>
      </c>
    </row>
    <row r="829">
      <c r="A829" t="n">
        <v>826</v>
      </c>
      <c r="B829" s="8" t="n"/>
      <c r="C829" s="4" t="n"/>
      <c r="D829" s="4" t="n"/>
      <c r="E829" s="4" t="n"/>
      <c r="F829" s="5" t="n"/>
      <c r="G829" s="9">
        <f>IF(E829="","",E829*F829)</f>
        <v/>
      </c>
      <c r="H829" s="5" t="n"/>
      <c r="I829" s="9">
        <f>IF(G829="","",G829-IF(H829="",0,H829))</f>
        <v/>
      </c>
    </row>
    <row r="830">
      <c r="A830" t="n">
        <v>827</v>
      </c>
      <c r="B830" s="8" t="n"/>
      <c r="C830" s="4" t="n"/>
      <c r="D830" s="4" t="n"/>
      <c r="E830" s="4" t="n"/>
      <c r="F830" s="5" t="n"/>
      <c r="G830" s="9">
        <f>IF(E830="","",E830*F830)</f>
        <v/>
      </c>
      <c r="H830" s="5" t="n"/>
      <c r="I830" s="9">
        <f>IF(G830="","",G830-IF(H830="",0,H830))</f>
        <v/>
      </c>
    </row>
    <row r="831">
      <c r="A831" t="n">
        <v>828</v>
      </c>
      <c r="B831" s="8" t="n"/>
      <c r="C831" s="4" t="n"/>
      <c r="D831" s="4" t="n"/>
      <c r="E831" s="4" t="n"/>
      <c r="F831" s="5" t="n"/>
      <c r="G831" s="9">
        <f>IF(E831="","",E831*F831)</f>
        <v/>
      </c>
      <c r="H831" s="5" t="n"/>
      <c r="I831" s="9">
        <f>IF(G831="","",G831-IF(H831="",0,H831))</f>
        <v/>
      </c>
    </row>
    <row r="832">
      <c r="A832" t="n">
        <v>829</v>
      </c>
      <c r="B832" s="8" t="n"/>
      <c r="C832" s="4" t="n"/>
      <c r="D832" s="4" t="n"/>
      <c r="E832" s="4" t="n"/>
      <c r="F832" s="5" t="n"/>
      <c r="G832" s="9">
        <f>IF(E832="","",E832*F832)</f>
        <v/>
      </c>
      <c r="H832" s="5" t="n"/>
      <c r="I832" s="9">
        <f>IF(G832="","",G832-IF(H832="",0,H832))</f>
        <v/>
      </c>
    </row>
    <row r="833">
      <c r="A833" t="n">
        <v>830</v>
      </c>
      <c r="B833" s="8" t="n"/>
      <c r="C833" s="4" t="n"/>
      <c r="D833" s="4" t="n"/>
      <c r="E833" s="4" t="n"/>
      <c r="F833" s="5" t="n"/>
      <c r="G833" s="9">
        <f>IF(E833="","",E833*F833)</f>
        <v/>
      </c>
      <c r="H833" s="5" t="n"/>
      <c r="I833" s="9">
        <f>IF(G833="","",G833-IF(H833="",0,H833))</f>
        <v/>
      </c>
    </row>
    <row r="834">
      <c r="A834" t="n">
        <v>831</v>
      </c>
      <c r="B834" s="8" t="n"/>
      <c r="C834" s="4" t="n"/>
      <c r="D834" s="4" t="n"/>
      <c r="E834" s="4" t="n"/>
      <c r="F834" s="5" t="n"/>
      <c r="G834" s="9">
        <f>IF(E834="","",E834*F834)</f>
        <v/>
      </c>
      <c r="H834" s="5" t="n"/>
      <c r="I834" s="9">
        <f>IF(G834="","",G834-IF(H834="",0,H834))</f>
        <v/>
      </c>
    </row>
    <row r="835">
      <c r="A835" t="n">
        <v>832</v>
      </c>
      <c r="B835" s="8" t="n"/>
      <c r="C835" s="4" t="n"/>
      <c r="D835" s="4" t="n"/>
      <c r="E835" s="4" t="n"/>
      <c r="F835" s="5" t="n"/>
      <c r="G835" s="9">
        <f>IF(E835="","",E835*F835)</f>
        <v/>
      </c>
      <c r="H835" s="5" t="n"/>
      <c r="I835" s="9">
        <f>IF(G835="","",G835-IF(H835="",0,H835))</f>
        <v/>
      </c>
    </row>
    <row r="836">
      <c r="A836" t="n">
        <v>833</v>
      </c>
      <c r="B836" s="8" t="n"/>
      <c r="C836" s="4" t="n"/>
      <c r="D836" s="4" t="n"/>
      <c r="E836" s="4" t="n"/>
      <c r="F836" s="5" t="n"/>
      <c r="G836" s="9">
        <f>IF(E836="","",E836*F836)</f>
        <v/>
      </c>
      <c r="H836" s="5" t="n"/>
      <c r="I836" s="9">
        <f>IF(G836="","",G836-IF(H836="",0,H836))</f>
        <v/>
      </c>
    </row>
    <row r="837">
      <c r="A837" t="n">
        <v>834</v>
      </c>
      <c r="B837" s="8" t="n"/>
      <c r="C837" s="4" t="n"/>
      <c r="D837" s="4" t="n"/>
      <c r="E837" s="4" t="n"/>
      <c r="F837" s="5" t="n"/>
      <c r="G837" s="9">
        <f>IF(E837="","",E837*F837)</f>
        <v/>
      </c>
      <c r="H837" s="5" t="n"/>
      <c r="I837" s="9">
        <f>IF(G837="","",G837-IF(H837="",0,H837))</f>
        <v/>
      </c>
    </row>
    <row r="838">
      <c r="A838" t="n">
        <v>835</v>
      </c>
      <c r="B838" s="8" t="n"/>
      <c r="C838" s="4" t="n"/>
      <c r="D838" s="4" t="n"/>
      <c r="E838" s="4" t="n"/>
      <c r="F838" s="5" t="n"/>
      <c r="G838" s="9">
        <f>IF(E838="","",E838*F838)</f>
        <v/>
      </c>
      <c r="H838" s="5" t="n"/>
      <c r="I838" s="9">
        <f>IF(G838="","",G838-IF(H838="",0,H838))</f>
        <v/>
      </c>
    </row>
    <row r="839">
      <c r="A839" t="n">
        <v>836</v>
      </c>
      <c r="B839" s="8" t="n"/>
      <c r="C839" s="4" t="n"/>
      <c r="D839" s="4" t="n"/>
      <c r="E839" s="4" t="n"/>
      <c r="F839" s="5" t="n"/>
      <c r="G839" s="9">
        <f>IF(E839="","",E839*F839)</f>
        <v/>
      </c>
      <c r="H839" s="5" t="n"/>
      <c r="I839" s="9">
        <f>IF(G839="","",G839-IF(H839="",0,H839))</f>
        <v/>
      </c>
    </row>
    <row r="840">
      <c r="A840" t="n">
        <v>837</v>
      </c>
      <c r="B840" s="8" t="n"/>
      <c r="C840" s="4" t="n"/>
      <c r="D840" s="4" t="n"/>
      <c r="E840" s="4" t="n"/>
      <c r="F840" s="5" t="n"/>
      <c r="G840" s="9">
        <f>IF(E840="","",E840*F840)</f>
        <v/>
      </c>
      <c r="H840" s="5" t="n"/>
      <c r="I840" s="9">
        <f>IF(G840="","",G840-IF(H840="",0,H840))</f>
        <v/>
      </c>
    </row>
    <row r="841">
      <c r="A841" t="n">
        <v>838</v>
      </c>
      <c r="B841" s="8" t="n"/>
      <c r="C841" s="4" t="n"/>
      <c r="D841" s="4" t="n"/>
      <c r="E841" s="4" t="n"/>
      <c r="F841" s="5" t="n"/>
      <c r="G841" s="9">
        <f>IF(E841="","",E841*F841)</f>
        <v/>
      </c>
      <c r="H841" s="5" t="n"/>
      <c r="I841" s="9">
        <f>IF(G841="","",G841-IF(H841="",0,H841))</f>
        <v/>
      </c>
    </row>
    <row r="842">
      <c r="A842" t="n">
        <v>839</v>
      </c>
      <c r="B842" s="8" t="n"/>
      <c r="C842" s="4" t="n"/>
      <c r="D842" s="4" t="n"/>
      <c r="E842" s="4" t="n"/>
      <c r="F842" s="5" t="n"/>
      <c r="G842" s="9">
        <f>IF(E842="","",E842*F842)</f>
        <v/>
      </c>
      <c r="H842" s="5" t="n"/>
      <c r="I842" s="9">
        <f>IF(G842="","",G842-IF(H842="",0,H842))</f>
        <v/>
      </c>
    </row>
    <row r="843">
      <c r="A843" t="n">
        <v>840</v>
      </c>
      <c r="B843" s="8" t="n"/>
      <c r="C843" s="4" t="n"/>
      <c r="D843" s="4" t="n"/>
      <c r="E843" s="4" t="n"/>
      <c r="F843" s="5" t="n"/>
      <c r="G843" s="9">
        <f>IF(E843="","",E843*F843)</f>
        <v/>
      </c>
      <c r="H843" s="5" t="n"/>
      <c r="I843" s="9">
        <f>IF(G843="","",G843-IF(H843="",0,H843))</f>
        <v/>
      </c>
    </row>
    <row r="844">
      <c r="A844" t="n">
        <v>841</v>
      </c>
      <c r="B844" s="8" t="n"/>
      <c r="C844" s="4" t="n"/>
      <c r="D844" s="4" t="n"/>
      <c r="E844" s="4" t="n"/>
      <c r="F844" s="5" t="n"/>
      <c r="G844" s="9">
        <f>IF(E844="","",E844*F844)</f>
        <v/>
      </c>
      <c r="H844" s="5" t="n"/>
      <c r="I844" s="9">
        <f>IF(G844="","",G844-IF(H844="",0,H844))</f>
        <v/>
      </c>
    </row>
    <row r="845">
      <c r="A845" t="n">
        <v>842</v>
      </c>
      <c r="B845" s="8" t="n"/>
      <c r="C845" s="4" t="n"/>
      <c r="D845" s="4" t="n"/>
      <c r="E845" s="4" t="n"/>
      <c r="F845" s="5" t="n"/>
      <c r="G845" s="9">
        <f>IF(E845="","",E845*F845)</f>
        <v/>
      </c>
      <c r="H845" s="5" t="n"/>
      <c r="I845" s="9">
        <f>IF(G845="","",G845-IF(H845="",0,H845))</f>
        <v/>
      </c>
    </row>
    <row r="846">
      <c r="A846" t="n">
        <v>843</v>
      </c>
      <c r="B846" s="8" t="n"/>
      <c r="C846" s="4" t="n"/>
      <c r="D846" s="4" t="n"/>
      <c r="E846" s="4" t="n"/>
      <c r="F846" s="5" t="n"/>
      <c r="G846" s="9">
        <f>IF(E846="","",E846*F846)</f>
        <v/>
      </c>
      <c r="H846" s="5" t="n"/>
      <c r="I846" s="9">
        <f>IF(G846="","",G846-IF(H846="",0,H846))</f>
        <v/>
      </c>
    </row>
    <row r="847">
      <c r="A847" t="n">
        <v>844</v>
      </c>
      <c r="B847" s="8" t="n"/>
      <c r="C847" s="4" t="n"/>
      <c r="D847" s="4" t="n"/>
      <c r="E847" s="4" t="n"/>
      <c r="F847" s="5" t="n"/>
      <c r="G847" s="9">
        <f>IF(E847="","",E847*F847)</f>
        <v/>
      </c>
      <c r="H847" s="5" t="n"/>
      <c r="I847" s="9">
        <f>IF(G847="","",G847-IF(H847="",0,H847))</f>
        <v/>
      </c>
    </row>
    <row r="848">
      <c r="A848" t="n">
        <v>845</v>
      </c>
      <c r="B848" s="8" t="n"/>
      <c r="C848" s="4" t="n"/>
      <c r="D848" s="4" t="n"/>
      <c r="E848" s="4" t="n"/>
      <c r="F848" s="5" t="n"/>
      <c r="G848" s="9">
        <f>IF(E848="","",E848*F848)</f>
        <v/>
      </c>
      <c r="H848" s="5" t="n"/>
      <c r="I848" s="9">
        <f>IF(G848="","",G848-IF(H848="",0,H848))</f>
        <v/>
      </c>
    </row>
    <row r="849">
      <c r="A849" t="n">
        <v>846</v>
      </c>
      <c r="B849" s="8" t="n"/>
      <c r="C849" s="4" t="n"/>
      <c r="D849" s="4" t="n"/>
      <c r="E849" s="4" t="n"/>
      <c r="F849" s="5" t="n"/>
      <c r="G849" s="9">
        <f>IF(E849="","",E849*F849)</f>
        <v/>
      </c>
      <c r="H849" s="5" t="n"/>
      <c r="I849" s="9">
        <f>IF(G849="","",G849-IF(H849="",0,H849))</f>
        <v/>
      </c>
    </row>
    <row r="850">
      <c r="A850" t="n">
        <v>847</v>
      </c>
      <c r="B850" s="8" t="n"/>
      <c r="C850" s="4" t="n"/>
      <c r="D850" s="4" t="n"/>
      <c r="E850" s="4" t="n"/>
      <c r="F850" s="5" t="n"/>
      <c r="G850" s="9">
        <f>IF(E850="","",E850*F850)</f>
        <v/>
      </c>
      <c r="H850" s="5" t="n"/>
      <c r="I850" s="9">
        <f>IF(G850="","",G850-IF(H850="",0,H850))</f>
        <v/>
      </c>
    </row>
    <row r="851">
      <c r="A851" t="n">
        <v>848</v>
      </c>
      <c r="B851" s="8" t="n"/>
      <c r="C851" s="4" t="n"/>
      <c r="D851" s="4" t="n"/>
      <c r="E851" s="4" t="n"/>
      <c r="F851" s="5" t="n"/>
      <c r="G851" s="9">
        <f>IF(E851="","",E851*F851)</f>
        <v/>
      </c>
      <c r="H851" s="5" t="n"/>
      <c r="I851" s="9">
        <f>IF(G851="","",G851-IF(H851="",0,H851))</f>
        <v/>
      </c>
    </row>
    <row r="852">
      <c r="A852" t="n">
        <v>849</v>
      </c>
      <c r="B852" s="8" t="n"/>
      <c r="C852" s="4" t="n"/>
      <c r="D852" s="4" t="n"/>
      <c r="E852" s="4" t="n"/>
      <c r="F852" s="5" t="n"/>
      <c r="G852" s="9">
        <f>IF(E852="","",E852*F852)</f>
        <v/>
      </c>
      <c r="H852" s="5" t="n"/>
      <c r="I852" s="9">
        <f>IF(G852="","",G852-IF(H852="",0,H852))</f>
        <v/>
      </c>
    </row>
    <row r="853">
      <c r="A853" t="n">
        <v>850</v>
      </c>
      <c r="B853" s="8" t="n"/>
      <c r="C853" s="4" t="n"/>
      <c r="D853" s="4" t="n"/>
      <c r="E853" s="4" t="n"/>
      <c r="F853" s="5" t="n"/>
      <c r="G853" s="9">
        <f>IF(E853="","",E853*F853)</f>
        <v/>
      </c>
      <c r="H853" s="5" t="n"/>
      <c r="I853" s="9">
        <f>IF(G853="","",G853-IF(H853="",0,H853))</f>
        <v/>
      </c>
    </row>
    <row r="854">
      <c r="A854" t="n">
        <v>851</v>
      </c>
      <c r="B854" s="8" t="n"/>
      <c r="C854" s="4" t="n"/>
      <c r="D854" s="4" t="n"/>
      <c r="E854" s="4" t="n"/>
      <c r="F854" s="5" t="n"/>
      <c r="G854" s="9">
        <f>IF(E854="","",E854*F854)</f>
        <v/>
      </c>
      <c r="H854" s="5" t="n"/>
      <c r="I854" s="9">
        <f>IF(G854="","",G854-IF(H854="",0,H854))</f>
        <v/>
      </c>
    </row>
    <row r="855">
      <c r="A855" t="n">
        <v>852</v>
      </c>
      <c r="B855" s="8" t="n"/>
      <c r="C855" s="4" t="n"/>
      <c r="D855" s="4" t="n"/>
      <c r="E855" s="4" t="n"/>
      <c r="F855" s="5" t="n"/>
      <c r="G855" s="9">
        <f>IF(E855="","",E855*F855)</f>
        <v/>
      </c>
      <c r="H855" s="5" t="n"/>
      <c r="I855" s="9">
        <f>IF(G855="","",G855-IF(H855="",0,H855))</f>
        <v/>
      </c>
    </row>
    <row r="856">
      <c r="A856" t="n">
        <v>853</v>
      </c>
      <c r="B856" s="8" t="n"/>
      <c r="C856" s="4" t="n"/>
      <c r="D856" s="4" t="n"/>
      <c r="E856" s="4" t="n"/>
      <c r="F856" s="5" t="n"/>
      <c r="G856" s="9">
        <f>IF(E856="","",E856*F856)</f>
        <v/>
      </c>
      <c r="H856" s="5" t="n"/>
      <c r="I856" s="9">
        <f>IF(G856="","",G856-IF(H856="",0,H856))</f>
        <v/>
      </c>
    </row>
    <row r="857">
      <c r="A857" t="n">
        <v>854</v>
      </c>
      <c r="B857" s="8" t="n"/>
      <c r="C857" s="4" t="n"/>
      <c r="D857" s="4" t="n"/>
      <c r="E857" s="4" t="n"/>
      <c r="F857" s="5" t="n"/>
      <c r="G857" s="9">
        <f>IF(E857="","",E857*F857)</f>
        <v/>
      </c>
      <c r="H857" s="5" t="n"/>
      <c r="I857" s="9">
        <f>IF(G857="","",G857-IF(H857="",0,H857))</f>
        <v/>
      </c>
    </row>
    <row r="858">
      <c r="A858" t="n">
        <v>855</v>
      </c>
      <c r="B858" s="8" t="n"/>
      <c r="C858" s="4" t="n"/>
      <c r="D858" s="4" t="n"/>
      <c r="E858" s="4" t="n"/>
      <c r="F858" s="5" t="n"/>
      <c r="G858" s="9">
        <f>IF(E858="","",E858*F858)</f>
        <v/>
      </c>
      <c r="H858" s="5" t="n"/>
      <c r="I858" s="9">
        <f>IF(G858="","",G858-IF(H858="",0,H858))</f>
        <v/>
      </c>
    </row>
    <row r="859">
      <c r="A859" t="n">
        <v>856</v>
      </c>
      <c r="B859" s="8" t="n"/>
      <c r="C859" s="4" t="n"/>
      <c r="D859" s="4" t="n"/>
      <c r="E859" s="4" t="n"/>
      <c r="F859" s="5" t="n"/>
      <c r="G859" s="9">
        <f>IF(E859="","",E859*F859)</f>
        <v/>
      </c>
      <c r="H859" s="5" t="n"/>
      <c r="I859" s="9">
        <f>IF(G859="","",G859-IF(H859="",0,H859))</f>
        <v/>
      </c>
    </row>
    <row r="860">
      <c r="A860" t="n">
        <v>857</v>
      </c>
      <c r="B860" s="8" t="n"/>
      <c r="C860" s="4" t="n"/>
      <c r="D860" s="4" t="n"/>
      <c r="E860" s="4" t="n"/>
      <c r="F860" s="5" t="n"/>
      <c r="G860" s="9">
        <f>IF(E860="","",E860*F860)</f>
        <v/>
      </c>
      <c r="H860" s="5" t="n"/>
      <c r="I860" s="9">
        <f>IF(G860="","",G860-IF(H860="",0,H860))</f>
        <v/>
      </c>
    </row>
    <row r="861">
      <c r="A861" t="n">
        <v>858</v>
      </c>
      <c r="B861" s="8" t="n"/>
      <c r="C861" s="4" t="n"/>
      <c r="D861" s="4" t="n"/>
      <c r="E861" s="4" t="n"/>
      <c r="F861" s="5" t="n"/>
      <c r="G861" s="9">
        <f>IF(E861="","",E861*F861)</f>
        <v/>
      </c>
      <c r="H861" s="5" t="n"/>
      <c r="I861" s="9">
        <f>IF(G861="","",G861-IF(H861="",0,H861))</f>
        <v/>
      </c>
    </row>
    <row r="862">
      <c r="A862" t="n">
        <v>859</v>
      </c>
      <c r="B862" s="8" t="n"/>
      <c r="C862" s="4" t="n"/>
      <c r="D862" s="4" t="n"/>
      <c r="E862" s="4" t="n"/>
      <c r="F862" s="5" t="n"/>
      <c r="G862" s="9">
        <f>IF(E862="","",E862*F862)</f>
        <v/>
      </c>
      <c r="H862" s="5" t="n"/>
      <c r="I862" s="9">
        <f>IF(G862="","",G862-IF(H862="",0,H862))</f>
        <v/>
      </c>
    </row>
    <row r="863">
      <c r="A863" t="n">
        <v>860</v>
      </c>
      <c r="B863" s="8" t="n"/>
      <c r="C863" s="4" t="n"/>
      <c r="D863" s="4" t="n"/>
      <c r="E863" s="4" t="n"/>
      <c r="F863" s="5" t="n"/>
      <c r="G863" s="9">
        <f>IF(E863="","",E863*F863)</f>
        <v/>
      </c>
      <c r="H863" s="5" t="n"/>
      <c r="I863" s="9">
        <f>IF(G863="","",G863-IF(H863="",0,H863))</f>
        <v/>
      </c>
    </row>
    <row r="864">
      <c r="A864" t="n">
        <v>861</v>
      </c>
      <c r="B864" s="8" t="n"/>
      <c r="C864" s="4" t="n"/>
      <c r="D864" s="4" t="n"/>
      <c r="E864" s="4" t="n"/>
      <c r="F864" s="5" t="n"/>
      <c r="G864" s="9">
        <f>IF(E864="","",E864*F864)</f>
        <v/>
      </c>
      <c r="H864" s="5" t="n"/>
      <c r="I864" s="9">
        <f>IF(G864="","",G864-IF(H864="",0,H864))</f>
        <v/>
      </c>
    </row>
    <row r="865">
      <c r="A865" t="n">
        <v>862</v>
      </c>
      <c r="B865" s="8" t="n"/>
      <c r="C865" s="4" t="n"/>
      <c r="D865" s="4" t="n"/>
      <c r="E865" s="4" t="n"/>
      <c r="F865" s="5" t="n"/>
      <c r="G865" s="9">
        <f>IF(E865="","",E865*F865)</f>
        <v/>
      </c>
      <c r="H865" s="5" t="n"/>
      <c r="I865" s="9">
        <f>IF(G865="","",G865-IF(H865="",0,H865))</f>
        <v/>
      </c>
    </row>
    <row r="866">
      <c r="A866" t="n">
        <v>863</v>
      </c>
      <c r="B866" s="8" t="n"/>
      <c r="C866" s="4" t="n"/>
      <c r="D866" s="4" t="n"/>
      <c r="E866" s="4" t="n"/>
      <c r="F866" s="5" t="n"/>
      <c r="G866" s="9">
        <f>IF(E866="","",E866*F866)</f>
        <v/>
      </c>
      <c r="H866" s="5" t="n"/>
      <c r="I866" s="9">
        <f>IF(G866="","",G866-IF(H866="",0,H866))</f>
        <v/>
      </c>
    </row>
    <row r="867">
      <c r="A867" t="n">
        <v>864</v>
      </c>
      <c r="B867" s="8" t="n"/>
      <c r="C867" s="4" t="n"/>
      <c r="D867" s="4" t="n"/>
      <c r="E867" s="4" t="n"/>
      <c r="F867" s="5" t="n"/>
      <c r="G867" s="9">
        <f>IF(E867="","",E867*F867)</f>
        <v/>
      </c>
      <c r="H867" s="5" t="n"/>
      <c r="I867" s="9">
        <f>IF(G867="","",G867-IF(H867="",0,H867))</f>
        <v/>
      </c>
    </row>
    <row r="868">
      <c r="A868" t="n">
        <v>865</v>
      </c>
      <c r="B868" s="8" t="n"/>
      <c r="C868" s="4" t="n"/>
      <c r="D868" s="4" t="n"/>
      <c r="E868" s="4" t="n"/>
      <c r="F868" s="5" t="n"/>
      <c r="G868" s="9">
        <f>IF(E868="","",E868*F868)</f>
        <v/>
      </c>
      <c r="H868" s="5" t="n"/>
      <c r="I868" s="9">
        <f>IF(G868="","",G868-IF(H868="",0,H868))</f>
        <v/>
      </c>
    </row>
    <row r="869">
      <c r="A869" t="n">
        <v>866</v>
      </c>
      <c r="B869" s="8" t="n"/>
      <c r="C869" s="4" t="n"/>
      <c r="D869" s="4" t="n"/>
      <c r="E869" s="4" t="n"/>
      <c r="F869" s="5" t="n"/>
      <c r="G869" s="9">
        <f>IF(E869="","",E869*F869)</f>
        <v/>
      </c>
      <c r="H869" s="5" t="n"/>
      <c r="I869" s="9">
        <f>IF(G869="","",G869-IF(H869="",0,H869))</f>
        <v/>
      </c>
    </row>
    <row r="870">
      <c r="A870" t="n">
        <v>867</v>
      </c>
      <c r="B870" s="8" t="n"/>
      <c r="C870" s="4" t="n"/>
      <c r="D870" s="4" t="n"/>
      <c r="E870" s="4" t="n"/>
      <c r="F870" s="5" t="n"/>
      <c r="G870" s="9">
        <f>IF(E870="","",E870*F870)</f>
        <v/>
      </c>
      <c r="H870" s="5" t="n"/>
      <c r="I870" s="9">
        <f>IF(G870="","",G870-IF(H870="",0,H870))</f>
        <v/>
      </c>
    </row>
    <row r="871">
      <c r="A871" t="n">
        <v>868</v>
      </c>
      <c r="B871" s="8" t="n"/>
      <c r="C871" s="4" t="n"/>
      <c r="D871" s="4" t="n"/>
      <c r="E871" s="4" t="n"/>
      <c r="F871" s="5" t="n"/>
      <c r="G871" s="9">
        <f>IF(E871="","",E871*F871)</f>
        <v/>
      </c>
      <c r="H871" s="5" t="n"/>
      <c r="I871" s="9">
        <f>IF(G871="","",G871-IF(H871="",0,H871))</f>
        <v/>
      </c>
    </row>
    <row r="872">
      <c r="A872" t="n">
        <v>869</v>
      </c>
      <c r="B872" s="8" t="n"/>
      <c r="C872" s="4" t="n"/>
      <c r="D872" s="4" t="n"/>
      <c r="E872" s="4" t="n"/>
      <c r="F872" s="5" t="n"/>
      <c r="G872" s="9">
        <f>IF(E872="","",E872*F872)</f>
        <v/>
      </c>
      <c r="H872" s="5" t="n"/>
      <c r="I872" s="9">
        <f>IF(G872="","",G872-IF(H872="",0,H872))</f>
        <v/>
      </c>
    </row>
    <row r="873">
      <c r="A873" t="n">
        <v>870</v>
      </c>
      <c r="B873" s="8" t="n"/>
      <c r="C873" s="4" t="n"/>
      <c r="D873" s="4" t="n"/>
      <c r="E873" s="4" t="n"/>
      <c r="F873" s="5" t="n"/>
      <c r="G873" s="9">
        <f>IF(E873="","",E873*F873)</f>
        <v/>
      </c>
      <c r="H873" s="5" t="n"/>
      <c r="I873" s="9">
        <f>IF(G873="","",G873-IF(H873="",0,H873))</f>
        <v/>
      </c>
    </row>
    <row r="874">
      <c r="A874" t="n">
        <v>871</v>
      </c>
      <c r="B874" s="8" t="n"/>
      <c r="C874" s="4" t="n"/>
      <c r="D874" s="4" t="n"/>
      <c r="E874" s="4" t="n"/>
      <c r="F874" s="5" t="n"/>
      <c r="G874" s="9">
        <f>IF(E874="","",E874*F874)</f>
        <v/>
      </c>
      <c r="H874" s="5" t="n"/>
      <c r="I874" s="9">
        <f>IF(G874="","",G874-IF(H874="",0,H874))</f>
        <v/>
      </c>
    </row>
    <row r="875">
      <c r="A875" t="n">
        <v>872</v>
      </c>
      <c r="B875" s="8" t="n"/>
      <c r="C875" s="4" t="n"/>
      <c r="D875" s="4" t="n"/>
      <c r="E875" s="4" t="n"/>
      <c r="F875" s="5" t="n"/>
      <c r="G875" s="9">
        <f>IF(E875="","",E875*F875)</f>
        <v/>
      </c>
      <c r="H875" s="5" t="n"/>
      <c r="I875" s="9">
        <f>IF(G875="","",G875-IF(H875="",0,H875))</f>
        <v/>
      </c>
    </row>
    <row r="876">
      <c r="A876" t="n">
        <v>873</v>
      </c>
      <c r="B876" s="8" t="n"/>
      <c r="C876" s="4" t="n"/>
      <c r="D876" s="4" t="n"/>
      <c r="E876" s="4" t="n"/>
      <c r="F876" s="5" t="n"/>
      <c r="G876" s="9">
        <f>IF(E876="","",E876*F876)</f>
        <v/>
      </c>
      <c r="H876" s="5" t="n"/>
      <c r="I876" s="9">
        <f>IF(G876="","",G876-IF(H876="",0,H876))</f>
        <v/>
      </c>
    </row>
    <row r="877">
      <c r="A877" t="n">
        <v>874</v>
      </c>
      <c r="B877" s="8" t="n"/>
      <c r="C877" s="4" t="n"/>
      <c r="D877" s="4" t="n"/>
      <c r="E877" s="4" t="n"/>
      <c r="F877" s="5" t="n"/>
      <c r="G877" s="9">
        <f>IF(E877="","",E877*F877)</f>
        <v/>
      </c>
      <c r="H877" s="5" t="n"/>
      <c r="I877" s="9">
        <f>IF(G877="","",G877-IF(H877="",0,H877))</f>
        <v/>
      </c>
    </row>
    <row r="878">
      <c r="A878" t="n">
        <v>875</v>
      </c>
      <c r="B878" s="8" t="n"/>
      <c r="C878" s="4" t="n"/>
      <c r="D878" s="4" t="n"/>
      <c r="E878" s="4" t="n"/>
      <c r="F878" s="5" t="n"/>
      <c r="G878" s="9">
        <f>IF(E878="","",E878*F878)</f>
        <v/>
      </c>
      <c r="H878" s="5" t="n"/>
      <c r="I878" s="9">
        <f>IF(G878="","",G878-IF(H878="",0,H878))</f>
        <v/>
      </c>
    </row>
    <row r="879">
      <c r="A879" t="n">
        <v>876</v>
      </c>
      <c r="B879" s="8" t="n"/>
      <c r="C879" s="4" t="n"/>
      <c r="D879" s="4" t="n"/>
      <c r="E879" s="4" t="n"/>
      <c r="F879" s="5" t="n"/>
      <c r="G879" s="9">
        <f>IF(E879="","",E879*F879)</f>
        <v/>
      </c>
      <c r="H879" s="5" t="n"/>
      <c r="I879" s="9">
        <f>IF(G879="","",G879-IF(H879="",0,H879))</f>
        <v/>
      </c>
    </row>
    <row r="880">
      <c r="A880" t="n">
        <v>877</v>
      </c>
      <c r="B880" s="8" t="n"/>
      <c r="C880" s="4" t="n"/>
      <c r="D880" s="4" t="n"/>
      <c r="E880" s="4" t="n"/>
      <c r="F880" s="5" t="n"/>
      <c r="G880" s="9">
        <f>IF(E880="","",E880*F880)</f>
        <v/>
      </c>
      <c r="H880" s="5" t="n"/>
      <c r="I880" s="9">
        <f>IF(G880="","",G880-IF(H880="",0,H880))</f>
        <v/>
      </c>
    </row>
    <row r="881">
      <c r="A881" t="n">
        <v>878</v>
      </c>
      <c r="B881" s="8" t="n"/>
      <c r="C881" s="4" t="n"/>
      <c r="D881" s="4" t="n"/>
      <c r="E881" s="4" t="n"/>
      <c r="F881" s="5" t="n"/>
      <c r="G881" s="9">
        <f>IF(E881="","",E881*F881)</f>
        <v/>
      </c>
      <c r="H881" s="5" t="n"/>
      <c r="I881" s="9">
        <f>IF(G881="","",G881-IF(H881="",0,H881))</f>
        <v/>
      </c>
    </row>
    <row r="882">
      <c r="A882" t="n">
        <v>879</v>
      </c>
      <c r="B882" s="8" t="n"/>
      <c r="C882" s="4" t="n"/>
      <c r="D882" s="4" t="n"/>
      <c r="E882" s="4" t="n"/>
      <c r="F882" s="5" t="n"/>
      <c r="G882" s="9">
        <f>IF(E882="","",E882*F882)</f>
        <v/>
      </c>
      <c r="H882" s="5" t="n"/>
      <c r="I882" s="9">
        <f>IF(G882="","",G882-IF(H882="",0,H882))</f>
        <v/>
      </c>
    </row>
    <row r="883">
      <c r="A883" t="n">
        <v>880</v>
      </c>
      <c r="B883" s="8" t="n"/>
      <c r="C883" s="4" t="n"/>
      <c r="D883" s="4" t="n"/>
      <c r="E883" s="4" t="n"/>
      <c r="F883" s="5" t="n"/>
      <c r="G883" s="9">
        <f>IF(E883="","",E883*F883)</f>
        <v/>
      </c>
      <c r="H883" s="5" t="n"/>
      <c r="I883" s="9">
        <f>IF(G883="","",G883-IF(H883="",0,H883))</f>
        <v/>
      </c>
    </row>
    <row r="884">
      <c r="A884" t="n">
        <v>881</v>
      </c>
      <c r="B884" s="8" t="n"/>
      <c r="C884" s="4" t="n"/>
      <c r="D884" s="4" t="n"/>
      <c r="E884" s="4" t="n"/>
      <c r="F884" s="5" t="n"/>
      <c r="G884" s="9">
        <f>IF(E884="","",E884*F884)</f>
        <v/>
      </c>
      <c r="H884" s="5" t="n"/>
      <c r="I884" s="9">
        <f>IF(G884="","",G884-IF(H884="",0,H884))</f>
        <v/>
      </c>
    </row>
    <row r="885">
      <c r="A885" t="n">
        <v>882</v>
      </c>
      <c r="B885" s="8" t="n"/>
      <c r="C885" s="4" t="n"/>
      <c r="D885" s="4" t="n"/>
      <c r="E885" s="4" t="n"/>
      <c r="F885" s="5" t="n"/>
      <c r="G885" s="9">
        <f>IF(E885="","",E885*F885)</f>
        <v/>
      </c>
      <c r="H885" s="5" t="n"/>
      <c r="I885" s="9">
        <f>IF(G885="","",G885-IF(H885="",0,H885))</f>
        <v/>
      </c>
    </row>
    <row r="886">
      <c r="A886" t="n">
        <v>883</v>
      </c>
      <c r="B886" s="8" t="n"/>
      <c r="C886" s="4" t="n"/>
      <c r="D886" s="4" t="n"/>
      <c r="E886" s="4" t="n"/>
      <c r="F886" s="5" t="n"/>
      <c r="G886" s="9">
        <f>IF(E886="","",E886*F886)</f>
        <v/>
      </c>
      <c r="H886" s="5" t="n"/>
      <c r="I886" s="9">
        <f>IF(G886="","",G886-IF(H886="",0,H886))</f>
        <v/>
      </c>
    </row>
    <row r="887">
      <c r="A887" t="n">
        <v>884</v>
      </c>
      <c r="B887" s="8" t="n"/>
      <c r="C887" s="4" t="n"/>
      <c r="D887" s="4" t="n"/>
      <c r="E887" s="4" t="n"/>
      <c r="F887" s="5" t="n"/>
      <c r="G887" s="9">
        <f>IF(E887="","",E887*F887)</f>
        <v/>
      </c>
      <c r="H887" s="5" t="n"/>
      <c r="I887" s="9">
        <f>IF(G887="","",G887-IF(H887="",0,H887))</f>
        <v/>
      </c>
    </row>
    <row r="888">
      <c r="A888" t="n">
        <v>885</v>
      </c>
      <c r="B888" s="8" t="n"/>
      <c r="C888" s="4" t="n"/>
      <c r="D888" s="4" t="n"/>
      <c r="E888" s="4" t="n"/>
      <c r="F888" s="5" t="n"/>
      <c r="G888" s="9">
        <f>IF(E888="","",E888*F888)</f>
        <v/>
      </c>
      <c r="H888" s="5" t="n"/>
      <c r="I888" s="9">
        <f>IF(G888="","",G888-IF(H888="",0,H888))</f>
        <v/>
      </c>
    </row>
    <row r="889">
      <c r="A889" t="n">
        <v>886</v>
      </c>
      <c r="B889" s="8" t="n"/>
      <c r="C889" s="4" t="n"/>
      <c r="D889" s="4" t="n"/>
      <c r="E889" s="4" t="n"/>
      <c r="F889" s="5" t="n"/>
      <c r="G889" s="9">
        <f>IF(E889="","",E889*F889)</f>
        <v/>
      </c>
      <c r="H889" s="5" t="n"/>
      <c r="I889" s="9">
        <f>IF(G889="","",G889-IF(H889="",0,H889))</f>
        <v/>
      </c>
    </row>
    <row r="890">
      <c r="A890" t="n">
        <v>887</v>
      </c>
      <c r="B890" s="8" t="n"/>
      <c r="C890" s="4" t="n"/>
      <c r="D890" s="4" t="n"/>
      <c r="E890" s="4" t="n"/>
      <c r="F890" s="5" t="n"/>
      <c r="G890" s="9">
        <f>IF(E890="","",E890*F890)</f>
        <v/>
      </c>
      <c r="H890" s="5" t="n"/>
      <c r="I890" s="9">
        <f>IF(G890="","",G890-IF(H890="",0,H890))</f>
        <v/>
      </c>
    </row>
    <row r="891">
      <c r="A891" t="n">
        <v>888</v>
      </c>
      <c r="B891" s="8" t="n"/>
      <c r="C891" s="4" t="n"/>
      <c r="D891" s="4" t="n"/>
      <c r="E891" s="4" t="n"/>
      <c r="F891" s="5" t="n"/>
      <c r="G891" s="9">
        <f>IF(E891="","",E891*F891)</f>
        <v/>
      </c>
      <c r="H891" s="5" t="n"/>
      <c r="I891" s="9">
        <f>IF(G891="","",G891-IF(H891="",0,H891))</f>
        <v/>
      </c>
    </row>
    <row r="892">
      <c r="A892" t="n">
        <v>889</v>
      </c>
      <c r="B892" s="8" t="n"/>
      <c r="C892" s="4" t="n"/>
      <c r="D892" s="4" t="n"/>
      <c r="E892" s="4" t="n"/>
      <c r="F892" s="5" t="n"/>
      <c r="G892" s="9">
        <f>IF(E892="","",E892*F892)</f>
        <v/>
      </c>
      <c r="H892" s="5" t="n"/>
      <c r="I892" s="9">
        <f>IF(G892="","",G892-IF(H892="",0,H892))</f>
        <v/>
      </c>
    </row>
    <row r="893">
      <c r="A893" t="n">
        <v>890</v>
      </c>
      <c r="B893" s="8" t="n"/>
      <c r="C893" s="4" t="n"/>
      <c r="D893" s="4" t="n"/>
      <c r="E893" s="4" t="n"/>
      <c r="F893" s="5" t="n"/>
      <c r="G893" s="9">
        <f>IF(E893="","",E893*F893)</f>
        <v/>
      </c>
      <c r="H893" s="5" t="n"/>
      <c r="I893" s="9">
        <f>IF(G893="","",G893-IF(H893="",0,H893))</f>
        <v/>
      </c>
    </row>
    <row r="894">
      <c r="A894" t="n">
        <v>891</v>
      </c>
      <c r="B894" s="8" t="n"/>
      <c r="C894" s="4" t="n"/>
      <c r="D894" s="4" t="n"/>
      <c r="E894" s="4" t="n"/>
      <c r="F894" s="5" t="n"/>
      <c r="G894" s="9">
        <f>IF(E894="","",E894*F894)</f>
        <v/>
      </c>
      <c r="H894" s="5" t="n"/>
      <c r="I894" s="9">
        <f>IF(G894="","",G894-IF(H894="",0,H894))</f>
        <v/>
      </c>
    </row>
    <row r="895">
      <c r="A895" t="n">
        <v>892</v>
      </c>
      <c r="B895" s="8" t="n"/>
      <c r="C895" s="4" t="n"/>
      <c r="D895" s="4" t="n"/>
      <c r="E895" s="4" t="n"/>
      <c r="F895" s="5" t="n"/>
      <c r="G895" s="9">
        <f>IF(E895="","",E895*F895)</f>
        <v/>
      </c>
      <c r="H895" s="5" t="n"/>
      <c r="I895" s="9">
        <f>IF(G895="","",G895-IF(H895="",0,H895))</f>
        <v/>
      </c>
    </row>
    <row r="896">
      <c r="A896" t="n">
        <v>893</v>
      </c>
      <c r="B896" s="8" t="n"/>
      <c r="C896" s="4" t="n"/>
      <c r="D896" s="4" t="n"/>
      <c r="E896" s="4" t="n"/>
      <c r="F896" s="5" t="n"/>
      <c r="G896" s="9">
        <f>IF(E896="","",E896*F896)</f>
        <v/>
      </c>
      <c r="H896" s="5" t="n"/>
      <c r="I896" s="9">
        <f>IF(G896="","",G896-IF(H896="",0,H896))</f>
        <v/>
      </c>
    </row>
    <row r="897">
      <c r="A897" t="n">
        <v>894</v>
      </c>
      <c r="B897" s="8" t="n"/>
      <c r="C897" s="4" t="n"/>
      <c r="D897" s="4" t="n"/>
      <c r="E897" s="4" t="n"/>
      <c r="F897" s="5" t="n"/>
      <c r="G897" s="9">
        <f>IF(E897="","",E897*F897)</f>
        <v/>
      </c>
      <c r="H897" s="5" t="n"/>
      <c r="I897" s="9">
        <f>IF(G897="","",G897-IF(H897="",0,H897))</f>
        <v/>
      </c>
    </row>
    <row r="898">
      <c r="A898" t="n">
        <v>895</v>
      </c>
      <c r="B898" s="8" t="n"/>
      <c r="C898" s="4" t="n"/>
      <c r="D898" s="4" t="n"/>
      <c r="E898" s="4" t="n"/>
      <c r="F898" s="5" t="n"/>
      <c r="G898" s="9">
        <f>IF(E898="","",E898*F898)</f>
        <v/>
      </c>
      <c r="H898" s="5" t="n"/>
      <c r="I898" s="9">
        <f>IF(G898="","",G898-IF(H898="",0,H898))</f>
        <v/>
      </c>
    </row>
    <row r="899">
      <c r="A899" t="n">
        <v>896</v>
      </c>
      <c r="B899" s="8" t="n"/>
      <c r="C899" s="4" t="n"/>
      <c r="D899" s="4" t="n"/>
      <c r="E899" s="4" t="n"/>
      <c r="F899" s="5" t="n"/>
      <c r="G899" s="9">
        <f>IF(E899="","",E899*F899)</f>
        <v/>
      </c>
      <c r="H899" s="5" t="n"/>
      <c r="I899" s="9">
        <f>IF(G899="","",G899-IF(H899="",0,H899))</f>
        <v/>
      </c>
    </row>
    <row r="900">
      <c r="A900" t="n">
        <v>897</v>
      </c>
      <c r="B900" s="8" t="n"/>
      <c r="C900" s="4" t="n"/>
      <c r="D900" s="4" t="n"/>
      <c r="E900" s="4" t="n"/>
      <c r="F900" s="5" t="n"/>
      <c r="G900" s="9">
        <f>IF(E900="","",E900*F900)</f>
        <v/>
      </c>
      <c r="H900" s="5" t="n"/>
      <c r="I900" s="9">
        <f>IF(G900="","",G900-IF(H900="",0,H900))</f>
        <v/>
      </c>
    </row>
    <row r="901">
      <c r="A901" t="n">
        <v>898</v>
      </c>
      <c r="B901" s="8" t="n"/>
      <c r="C901" s="4" t="n"/>
      <c r="D901" s="4" t="n"/>
      <c r="E901" s="4" t="n"/>
      <c r="F901" s="5" t="n"/>
      <c r="G901" s="9">
        <f>IF(E901="","",E901*F901)</f>
        <v/>
      </c>
      <c r="H901" s="5" t="n"/>
      <c r="I901" s="9">
        <f>IF(G901="","",G901-IF(H901="",0,H901))</f>
        <v/>
      </c>
    </row>
    <row r="902">
      <c r="A902" t="n">
        <v>899</v>
      </c>
      <c r="B902" s="8" t="n"/>
      <c r="C902" s="4" t="n"/>
      <c r="D902" s="4" t="n"/>
      <c r="E902" s="4" t="n"/>
      <c r="F902" s="5" t="n"/>
      <c r="G902" s="9">
        <f>IF(E902="","",E902*F902)</f>
        <v/>
      </c>
      <c r="H902" s="5" t="n"/>
      <c r="I902" s="9">
        <f>IF(G902="","",G902-IF(H902="",0,H902))</f>
        <v/>
      </c>
    </row>
    <row r="903">
      <c r="A903" t="n">
        <v>900</v>
      </c>
      <c r="B903" s="8" t="n"/>
      <c r="C903" s="4" t="n"/>
      <c r="D903" s="4" t="n"/>
      <c r="E903" s="4" t="n"/>
      <c r="F903" s="5" t="n"/>
      <c r="G903" s="9">
        <f>IF(E903="","",E903*F903)</f>
        <v/>
      </c>
      <c r="H903" s="5" t="n"/>
      <c r="I903" s="9">
        <f>IF(G903="","",G903-IF(H903="",0,H903))</f>
        <v/>
      </c>
    </row>
    <row r="904">
      <c r="A904" t="n">
        <v>901</v>
      </c>
      <c r="B904" s="8" t="n"/>
      <c r="C904" s="4" t="n"/>
      <c r="D904" s="4" t="n"/>
      <c r="E904" s="4" t="n"/>
      <c r="F904" s="5" t="n"/>
      <c r="G904" s="9">
        <f>IF(E904="","",E904*F904)</f>
        <v/>
      </c>
      <c r="H904" s="5" t="n"/>
      <c r="I904" s="9">
        <f>IF(G904="","",G904-IF(H904="",0,H904))</f>
        <v/>
      </c>
    </row>
    <row r="905">
      <c r="A905" t="n">
        <v>902</v>
      </c>
      <c r="B905" s="8" t="n"/>
      <c r="C905" s="4" t="n"/>
      <c r="D905" s="4" t="n"/>
      <c r="E905" s="4" t="n"/>
      <c r="F905" s="5" t="n"/>
      <c r="G905" s="9">
        <f>IF(E905="","",E905*F905)</f>
        <v/>
      </c>
      <c r="H905" s="5" t="n"/>
      <c r="I905" s="9">
        <f>IF(G905="","",G905-IF(H905="",0,H905))</f>
        <v/>
      </c>
    </row>
    <row r="906">
      <c r="A906" t="n">
        <v>903</v>
      </c>
      <c r="B906" s="8" t="n"/>
      <c r="C906" s="4" t="n"/>
      <c r="D906" s="4" t="n"/>
      <c r="E906" s="4" t="n"/>
      <c r="F906" s="5" t="n"/>
      <c r="G906" s="9">
        <f>IF(E906="","",E906*F906)</f>
        <v/>
      </c>
      <c r="H906" s="5" t="n"/>
      <c r="I906" s="9">
        <f>IF(G906="","",G906-IF(H906="",0,H906))</f>
        <v/>
      </c>
    </row>
    <row r="907">
      <c r="A907" t="n">
        <v>904</v>
      </c>
      <c r="B907" s="8" t="n"/>
      <c r="C907" s="4" t="n"/>
      <c r="D907" s="4" t="n"/>
      <c r="E907" s="4" t="n"/>
      <c r="F907" s="5" t="n"/>
      <c r="G907" s="9">
        <f>IF(E907="","",E907*F907)</f>
        <v/>
      </c>
      <c r="H907" s="5" t="n"/>
      <c r="I907" s="9">
        <f>IF(G907="","",G907-IF(H907="",0,H907))</f>
        <v/>
      </c>
    </row>
    <row r="908">
      <c r="A908" t="n">
        <v>905</v>
      </c>
      <c r="B908" s="8" t="n"/>
      <c r="C908" s="4" t="n"/>
      <c r="D908" s="4" t="n"/>
      <c r="E908" s="4" t="n"/>
      <c r="F908" s="5" t="n"/>
      <c r="G908" s="9">
        <f>IF(E908="","",E908*F908)</f>
        <v/>
      </c>
      <c r="H908" s="5" t="n"/>
      <c r="I908" s="9">
        <f>IF(G908="","",G908-IF(H908="",0,H908))</f>
        <v/>
      </c>
    </row>
    <row r="909">
      <c r="A909" t="n">
        <v>906</v>
      </c>
      <c r="B909" s="8" t="n"/>
      <c r="C909" s="4" t="n"/>
      <c r="D909" s="4" t="n"/>
      <c r="E909" s="4" t="n"/>
      <c r="F909" s="5" t="n"/>
      <c r="G909" s="9">
        <f>IF(E909="","",E909*F909)</f>
        <v/>
      </c>
      <c r="H909" s="5" t="n"/>
      <c r="I909" s="9">
        <f>IF(G909="","",G909-IF(H909="",0,H909))</f>
        <v/>
      </c>
    </row>
    <row r="910">
      <c r="A910" t="n">
        <v>907</v>
      </c>
      <c r="B910" s="8" t="n"/>
      <c r="C910" s="4" t="n"/>
      <c r="D910" s="4" t="n"/>
      <c r="E910" s="4" t="n"/>
      <c r="F910" s="5" t="n"/>
      <c r="G910" s="9">
        <f>IF(E910="","",E910*F910)</f>
        <v/>
      </c>
      <c r="H910" s="5" t="n"/>
      <c r="I910" s="9">
        <f>IF(G910="","",G910-IF(H910="",0,H910))</f>
        <v/>
      </c>
    </row>
    <row r="911">
      <c r="A911" t="n">
        <v>908</v>
      </c>
      <c r="B911" s="8" t="n"/>
      <c r="C911" s="4" t="n"/>
      <c r="D911" s="4" t="n"/>
      <c r="E911" s="4" t="n"/>
      <c r="F911" s="5" t="n"/>
      <c r="G911" s="9">
        <f>IF(E911="","",E911*F911)</f>
        <v/>
      </c>
      <c r="H911" s="5" t="n"/>
      <c r="I911" s="9">
        <f>IF(G911="","",G911-IF(H911="",0,H911))</f>
        <v/>
      </c>
    </row>
    <row r="912">
      <c r="A912" t="n">
        <v>909</v>
      </c>
      <c r="B912" s="8" t="n"/>
      <c r="C912" s="4" t="n"/>
      <c r="D912" s="4" t="n"/>
      <c r="E912" s="4" t="n"/>
      <c r="F912" s="5" t="n"/>
      <c r="G912" s="9">
        <f>IF(E912="","",E912*F912)</f>
        <v/>
      </c>
      <c r="H912" s="5" t="n"/>
      <c r="I912" s="9">
        <f>IF(G912="","",G912-IF(H912="",0,H912))</f>
        <v/>
      </c>
    </row>
    <row r="913">
      <c r="A913" t="n">
        <v>910</v>
      </c>
      <c r="B913" s="8" t="n"/>
      <c r="C913" s="4" t="n"/>
      <c r="D913" s="4" t="n"/>
      <c r="E913" s="4" t="n"/>
      <c r="F913" s="5" t="n"/>
      <c r="G913" s="9">
        <f>IF(E913="","",E913*F913)</f>
        <v/>
      </c>
      <c r="H913" s="5" t="n"/>
      <c r="I913" s="9">
        <f>IF(G913="","",G913-IF(H913="",0,H913))</f>
        <v/>
      </c>
    </row>
    <row r="914">
      <c r="A914" t="n">
        <v>911</v>
      </c>
      <c r="B914" s="8" t="n"/>
      <c r="C914" s="4" t="n"/>
      <c r="D914" s="4" t="n"/>
      <c r="E914" s="4" t="n"/>
      <c r="F914" s="5" t="n"/>
      <c r="G914" s="9">
        <f>IF(E914="","",E914*F914)</f>
        <v/>
      </c>
      <c r="H914" s="5" t="n"/>
      <c r="I914" s="9">
        <f>IF(G914="","",G914-IF(H914="",0,H914))</f>
        <v/>
      </c>
    </row>
    <row r="915">
      <c r="A915" t="n">
        <v>912</v>
      </c>
      <c r="B915" s="8" t="n"/>
      <c r="C915" s="4" t="n"/>
      <c r="D915" s="4" t="n"/>
      <c r="E915" s="4" t="n"/>
      <c r="F915" s="5" t="n"/>
      <c r="G915" s="9">
        <f>IF(E915="","",E915*F915)</f>
        <v/>
      </c>
      <c r="H915" s="5" t="n"/>
      <c r="I915" s="9">
        <f>IF(G915="","",G915-IF(H915="",0,H915))</f>
        <v/>
      </c>
    </row>
    <row r="916">
      <c r="A916" t="n">
        <v>913</v>
      </c>
      <c r="B916" s="8" t="n"/>
      <c r="C916" s="4" t="n"/>
      <c r="D916" s="4" t="n"/>
      <c r="E916" s="4" t="n"/>
      <c r="F916" s="5" t="n"/>
      <c r="G916" s="9">
        <f>IF(E916="","",E916*F916)</f>
        <v/>
      </c>
      <c r="H916" s="5" t="n"/>
      <c r="I916" s="9">
        <f>IF(G916="","",G916-IF(H916="",0,H916))</f>
        <v/>
      </c>
    </row>
    <row r="917">
      <c r="A917" t="n">
        <v>914</v>
      </c>
      <c r="B917" s="8" t="n"/>
      <c r="C917" s="4" t="n"/>
      <c r="D917" s="4" t="n"/>
      <c r="E917" s="4" t="n"/>
      <c r="F917" s="5" t="n"/>
      <c r="G917" s="9">
        <f>IF(E917="","",E917*F917)</f>
        <v/>
      </c>
      <c r="H917" s="5" t="n"/>
      <c r="I917" s="9">
        <f>IF(G917="","",G917-IF(H917="",0,H917))</f>
        <v/>
      </c>
    </row>
    <row r="918">
      <c r="A918" t="n">
        <v>915</v>
      </c>
      <c r="B918" s="8" t="n"/>
      <c r="C918" s="4" t="n"/>
      <c r="D918" s="4" t="n"/>
      <c r="E918" s="4" t="n"/>
      <c r="F918" s="5" t="n"/>
      <c r="G918" s="9">
        <f>IF(E918="","",E918*F918)</f>
        <v/>
      </c>
      <c r="H918" s="5" t="n"/>
      <c r="I918" s="9">
        <f>IF(G918="","",G918-IF(H918="",0,H918))</f>
        <v/>
      </c>
    </row>
    <row r="919">
      <c r="A919" t="n">
        <v>916</v>
      </c>
      <c r="B919" s="8" t="n"/>
      <c r="C919" s="4" t="n"/>
      <c r="D919" s="4" t="n"/>
      <c r="E919" s="4" t="n"/>
      <c r="F919" s="5" t="n"/>
      <c r="G919" s="9">
        <f>IF(E919="","",E919*F919)</f>
        <v/>
      </c>
      <c r="H919" s="5" t="n"/>
      <c r="I919" s="9">
        <f>IF(G919="","",G919-IF(H919="",0,H919))</f>
        <v/>
      </c>
    </row>
    <row r="920">
      <c r="A920" t="n">
        <v>917</v>
      </c>
      <c r="B920" s="8" t="n"/>
      <c r="C920" s="4" t="n"/>
      <c r="D920" s="4" t="n"/>
      <c r="E920" s="4" t="n"/>
      <c r="F920" s="5" t="n"/>
      <c r="G920" s="9">
        <f>IF(E920="","",E920*F920)</f>
        <v/>
      </c>
      <c r="H920" s="5" t="n"/>
      <c r="I920" s="9">
        <f>IF(G920="","",G920-IF(H920="",0,H920))</f>
        <v/>
      </c>
    </row>
    <row r="921">
      <c r="A921" t="n">
        <v>918</v>
      </c>
      <c r="B921" s="8" t="n"/>
      <c r="C921" s="4" t="n"/>
      <c r="D921" s="4" t="n"/>
      <c r="E921" s="4" t="n"/>
      <c r="F921" s="5" t="n"/>
      <c r="G921" s="9">
        <f>IF(E921="","",E921*F921)</f>
        <v/>
      </c>
      <c r="H921" s="5" t="n"/>
      <c r="I921" s="9">
        <f>IF(G921="","",G921-IF(H921="",0,H921))</f>
        <v/>
      </c>
    </row>
    <row r="922">
      <c r="A922" t="n">
        <v>919</v>
      </c>
      <c r="B922" s="8" t="n"/>
      <c r="C922" s="4" t="n"/>
      <c r="D922" s="4" t="n"/>
      <c r="E922" s="4" t="n"/>
      <c r="F922" s="5" t="n"/>
      <c r="G922" s="9">
        <f>IF(E922="","",E922*F922)</f>
        <v/>
      </c>
      <c r="H922" s="5" t="n"/>
      <c r="I922" s="9">
        <f>IF(G922="","",G922-IF(H922="",0,H922))</f>
        <v/>
      </c>
    </row>
    <row r="923">
      <c r="A923" t="n">
        <v>920</v>
      </c>
      <c r="B923" s="8" t="n"/>
      <c r="C923" s="4" t="n"/>
      <c r="D923" s="4" t="n"/>
      <c r="E923" s="4" t="n"/>
      <c r="F923" s="5" t="n"/>
      <c r="G923" s="9">
        <f>IF(E923="","",E923*F923)</f>
        <v/>
      </c>
      <c r="H923" s="5" t="n"/>
      <c r="I923" s="9">
        <f>IF(G923="","",G923-IF(H923="",0,H923))</f>
        <v/>
      </c>
    </row>
    <row r="924">
      <c r="A924" t="n">
        <v>921</v>
      </c>
      <c r="B924" s="8" t="n"/>
      <c r="C924" s="4" t="n"/>
      <c r="D924" s="4" t="n"/>
      <c r="E924" s="4" t="n"/>
      <c r="F924" s="5" t="n"/>
      <c r="G924" s="9">
        <f>IF(E924="","",E924*F924)</f>
        <v/>
      </c>
      <c r="H924" s="5" t="n"/>
      <c r="I924" s="9">
        <f>IF(G924="","",G924-IF(H924="",0,H924))</f>
        <v/>
      </c>
    </row>
    <row r="925">
      <c r="A925" t="n">
        <v>922</v>
      </c>
      <c r="B925" s="8" t="n"/>
      <c r="C925" s="4" t="n"/>
      <c r="D925" s="4" t="n"/>
      <c r="E925" s="4" t="n"/>
      <c r="F925" s="5" t="n"/>
      <c r="G925" s="9">
        <f>IF(E925="","",E925*F925)</f>
        <v/>
      </c>
      <c r="H925" s="5" t="n"/>
      <c r="I925" s="9">
        <f>IF(G925="","",G925-IF(H925="",0,H925))</f>
        <v/>
      </c>
    </row>
    <row r="926">
      <c r="A926" t="n">
        <v>923</v>
      </c>
      <c r="B926" s="8" t="n"/>
      <c r="C926" s="4" t="n"/>
      <c r="D926" s="4" t="n"/>
      <c r="E926" s="4" t="n"/>
      <c r="F926" s="5" t="n"/>
      <c r="G926" s="9">
        <f>IF(E926="","",E926*F926)</f>
        <v/>
      </c>
      <c r="H926" s="5" t="n"/>
      <c r="I926" s="9">
        <f>IF(G926="","",G926-IF(H926="",0,H926))</f>
        <v/>
      </c>
    </row>
    <row r="927">
      <c r="A927" t="n">
        <v>924</v>
      </c>
      <c r="B927" s="8" t="n"/>
      <c r="C927" s="4" t="n"/>
      <c r="D927" s="4" t="n"/>
      <c r="E927" s="4" t="n"/>
      <c r="F927" s="5" t="n"/>
      <c r="G927" s="9">
        <f>IF(E927="","",E927*F927)</f>
        <v/>
      </c>
      <c r="H927" s="5" t="n"/>
      <c r="I927" s="9">
        <f>IF(G927="","",G927-IF(H927="",0,H927))</f>
        <v/>
      </c>
    </row>
    <row r="928">
      <c r="A928" t="n">
        <v>925</v>
      </c>
      <c r="B928" s="8" t="n"/>
      <c r="C928" s="4" t="n"/>
      <c r="D928" s="4" t="n"/>
      <c r="E928" s="4" t="n"/>
      <c r="F928" s="5" t="n"/>
      <c r="G928" s="9">
        <f>IF(E928="","",E928*F928)</f>
        <v/>
      </c>
      <c r="H928" s="5" t="n"/>
      <c r="I928" s="9">
        <f>IF(G928="","",G928-IF(H928="",0,H928))</f>
        <v/>
      </c>
    </row>
    <row r="929">
      <c r="A929" t="n">
        <v>926</v>
      </c>
      <c r="B929" s="8" t="n"/>
      <c r="C929" s="4" t="n"/>
      <c r="D929" s="4" t="n"/>
      <c r="E929" s="4" t="n"/>
      <c r="F929" s="5" t="n"/>
      <c r="G929" s="9">
        <f>IF(E929="","",E929*F929)</f>
        <v/>
      </c>
      <c r="H929" s="5" t="n"/>
      <c r="I929" s="9">
        <f>IF(G929="","",G929-IF(H929="",0,H929))</f>
        <v/>
      </c>
    </row>
    <row r="930">
      <c r="A930" t="n">
        <v>927</v>
      </c>
      <c r="B930" s="8" t="n"/>
      <c r="C930" s="4" t="n"/>
      <c r="D930" s="4" t="n"/>
      <c r="E930" s="4" t="n"/>
      <c r="F930" s="5" t="n"/>
      <c r="G930" s="9">
        <f>IF(E930="","",E930*F930)</f>
        <v/>
      </c>
      <c r="H930" s="5" t="n"/>
      <c r="I930" s="9">
        <f>IF(G930="","",G930-IF(H930="",0,H930))</f>
        <v/>
      </c>
    </row>
    <row r="931">
      <c r="A931" t="n">
        <v>928</v>
      </c>
      <c r="B931" s="8" t="n"/>
      <c r="C931" s="4" t="n"/>
      <c r="D931" s="4" t="n"/>
      <c r="E931" s="4" t="n"/>
      <c r="F931" s="5" t="n"/>
      <c r="G931" s="9">
        <f>IF(E931="","",E931*F931)</f>
        <v/>
      </c>
      <c r="H931" s="5" t="n"/>
      <c r="I931" s="9">
        <f>IF(G931="","",G931-IF(H931="",0,H931))</f>
        <v/>
      </c>
    </row>
    <row r="932">
      <c r="A932" t="n">
        <v>929</v>
      </c>
      <c r="B932" s="8" t="n"/>
      <c r="C932" s="4" t="n"/>
      <c r="D932" s="4" t="n"/>
      <c r="E932" s="4" t="n"/>
      <c r="F932" s="5" t="n"/>
      <c r="G932" s="9">
        <f>IF(E932="","",E932*F932)</f>
        <v/>
      </c>
      <c r="H932" s="5" t="n"/>
      <c r="I932" s="9">
        <f>IF(G932="","",G932-IF(H932="",0,H932))</f>
        <v/>
      </c>
    </row>
    <row r="933">
      <c r="A933" t="n">
        <v>930</v>
      </c>
      <c r="B933" s="8" t="n"/>
      <c r="C933" s="4" t="n"/>
      <c r="D933" s="4" t="n"/>
      <c r="E933" s="4" t="n"/>
      <c r="F933" s="5" t="n"/>
      <c r="G933" s="9">
        <f>IF(E933="","",E933*F933)</f>
        <v/>
      </c>
      <c r="H933" s="5" t="n"/>
      <c r="I933" s="9">
        <f>IF(G933="","",G933-IF(H933="",0,H933))</f>
        <v/>
      </c>
    </row>
    <row r="934">
      <c r="A934" t="n">
        <v>931</v>
      </c>
      <c r="B934" s="8" t="n"/>
      <c r="C934" s="4" t="n"/>
      <c r="D934" s="4" t="n"/>
      <c r="E934" s="4" t="n"/>
      <c r="F934" s="5" t="n"/>
      <c r="G934" s="9">
        <f>IF(E934="","",E934*F934)</f>
        <v/>
      </c>
      <c r="H934" s="5" t="n"/>
      <c r="I934" s="9">
        <f>IF(G934="","",G934-IF(H934="",0,H934))</f>
        <v/>
      </c>
    </row>
    <row r="935">
      <c r="A935" t="n">
        <v>932</v>
      </c>
      <c r="B935" s="8" t="n"/>
      <c r="C935" s="4" t="n"/>
      <c r="D935" s="4" t="n"/>
      <c r="E935" s="4" t="n"/>
      <c r="F935" s="5" t="n"/>
      <c r="G935" s="9">
        <f>IF(E935="","",E935*F935)</f>
        <v/>
      </c>
      <c r="H935" s="5" t="n"/>
      <c r="I935" s="9">
        <f>IF(G935="","",G935-IF(H935="",0,H935))</f>
        <v/>
      </c>
    </row>
    <row r="936">
      <c r="A936" t="n">
        <v>933</v>
      </c>
      <c r="B936" s="8" t="n"/>
      <c r="C936" s="4" t="n"/>
      <c r="D936" s="4" t="n"/>
      <c r="E936" s="4" t="n"/>
      <c r="F936" s="5" t="n"/>
      <c r="G936" s="9">
        <f>IF(E936="","",E936*F936)</f>
        <v/>
      </c>
      <c r="H936" s="5" t="n"/>
      <c r="I936" s="9">
        <f>IF(G936="","",G936-IF(H936="",0,H936))</f>
        <v/>
      </c>
    </row>
    <row r="937">
      <c r="A937" t="n">
        <v>934</v>
      </c>
      <c r="B937" s="8" t="n"/>
      <c r="C937" s="4" t="n"/>
      <c r="D937" s="4" t="n"/>
      <c r="E937" s="4" t="n"/>
      <c r="F937" s="5" t="n"/>
      <c r="G937" s="9">
        <f>IF(E937="","",E937*F937)</f>
        <v/>
      </c>
      <c r="H937" s="5" t="n"/>
      <c r="I937" s="9">
        <f>IF(G937="","",G937-IF(H937="",0,H937))</f>
        <v/>
      </c>
    </row>
    <row r="938">
      <c r="A938" t="n">
        <v>935</v>
      </c>
      <c r="B938" s="8" t="n"/>
      <c r="C938" s="4" t="n"/>
      <c r="D938" s="4" t="n"/>
      <c r="E938" s="4" t="n"/>
      <c r="F938" s="5" t="n"/>
      <c r="G938" s="9">
        <f>IF(E938="","",E938*F938)</f>
        <v/>
      </c>
      <c r="H938" s="5" t="n"/>
      <c r="I938" s="9">
        <f>IF(G938="","",G938-IF(H938="",0,H938))</f>
        <v/>
      </c>
    </row>
    <row r="939">
      <c r="A939" t="n">
        <v>936</v>
      </c>
      <c r="B939" s="8" t="n"/>
      <c r="C939" s="4" t="n"/>
      <c r="D939" s="4" t="n"/>
      <c r="E939" s="4" t="n"/>
      <c r="F939" s="5" t="n"/>
      <c r="G939" s="9">
        <f>IF(E939="","",E939*F939)</f>
        <v/>
      </c>
      <c r="H939" s="5" t="n"/>
      <c r="I939" s="9">
        <f>IF(G939="","",G939-IF(H939="",0,H939))</f>
        <v/>
      </c>
    </row>
    <row r="940">
      <c r="A940" t="n">
        <v>937</v>
      </c>
      <c r="B940" s="8" t="n"/>
      <c r="C940" s="4" t="n"/>
      <c r="D940" s="4" t="n"/>
      <c r="E940" s="4" t="n"/>
      <c r="F940" s="5" t="n"/>
      <c r="G940" s="9">
        <f>IF(E940="","",E940*F940)</f>
        <v/>
      </c>
      <c r="H940" s="5" t="n"/>
      <c r="I940" s="9">
        <f>IF(G940="","",G940-IF(H940="",0,H940))</f>
        <v/>
      </c>
    </row>
    <row r="941">
      <c r="A941" t="n">
        <v>938</v>
      </c>
      <c r="B941" s="8" t="n"/>
      <c r="C941" s="4" t="n"/>
      <c r="D941" s="4" t="n"/>
      <c r="E941" s="4" t="n"/>
      <c r="F941" s="5" t="n"/>
      <c r="G941" s="9">
        <f>IF(E941="","",E941*F941)</f>
        <v/>
      </c>
      <c r="H941" s="5" t="n"/>
      <c r="I941" s="9">
        <f>IF(G941="","",G941-IF(H941="",0,H941))</f>
        <v/>
      </c>
    </row>
    <row r="942">
      <c r="A942" t="n">
        <v>939</v>
      </c>
      <c r="B942" s="8" t="n"/>
      <c r="C942" s="4" t="n"/>
      <c r="D942" s="4" t="n"/>
      <c r="E942" s="4" t="n"/>
      <c r="F942" s="5" t="n"/>
      <c r="G942" s="9">
        <f>IF(E942="","",E942*F942)</f>
        <v/>
      </c>
      <c r="H942" s="5" t="n"/>
      <c r="I942" s="9">
        <f>IF(G942="","",G942-IF(H942="",0,H942))</f>
        <v/>
      </c>
    </row>
    <row r="943">
      <c r="A943" t="n">
        <v>940</v>
      </c>
      <c r="B943" s="8" t="n"/>
      <c r="C943" s="4" t="n"/>
      <c r="D943" s="4" t="n"/>
      <c r="E943" s="4" t="n"/>
      <c r="F943" s="5" t="n"/>
      <c r="G943" s="9">
        <f>IF(E943="","",E943*F943)</f>
        <v/>
      </c>
      <c r="H943" s="5" t="n"/>
      <c r="I943" s="9">
        <f>IF(G943="","",G943-IF(H943="",0,H943))</f>
        <v/>
      </c>
    </row>
    <row r="944">
      <c r="A944" t="n">
        <v>941</v>
      </c>
      <c r="B944" s="8" t="n"/>
      <c r="C944" s="4" t="n"/>
      <c r="D944" s="4" t="n"/>
      <c r="E944" s="4" t="n"/>
      <c r="F944" s="5" t="n"/>
      <c r="G944" s="9">
        <f>IF(E944="","",E944*F944)</f>
        <v/>
      </c>
      <c r="H944" s="5" t="n"/>
      <c r="I944" s="9">
        <f>IF(G944="","",G944-IF(H944="",0,H944))</f>
        <v/>
      </c>
    </row>
    <row r="945">
      <c r="A945" t="n">
        <v>942</v>
      </c>
      <c r="B945" s="8" t="n"/>
      <c r="C945" s="4" t="n"/>
      <c r="D945" s="4" t="n"/>
      <c r="E945" s="4" t="n"/>
      <c r="F945" s="5" t="n"/>
      <c r="G945" s="9">
        <f>IF(E945="","",E945*F945)</f>
        <v/>
      </c>
      <c r="H945" s="5" t="n"/>
      <c r="I945" s="9">
        <f>IF(G945="","",G945-IF(H945="",0,H945))</f>
        <v/>
      </c>
    </row>
    <row r="946">
      <c r="A946" t="n">
        <v>943</v>
      </c>
      <c r="B946" s="8" t="n"/>
      <c r="C946" s="4" t="n"/>
      <c r="D946" s="4" t="n"/>
      <c r="E946" s="4" t="n"/>
      <c r="F946" s="5" t="n"/>
      <c r="G946" s="9">
        <f>IF(E946="","",E946*F946)</f>
        <v/>
      </c>
      <c r="H946" s="5" t="n"/>
      <c r="I946" s="9">
        <f>IF(G946="","",G946-IF(H946="",0,H946))</f>
        <v/>
      </c>
    </row>
    <row r="947">
      <c r="A947" t="n">
        <v>944</v>
      </c>
      <c r="B947" s="8" t="n"/>
      <c r="C947" s="4" t="n"/>
      <c r="D947" s="4" t="n"/>
      <c r="E947" s="4" t="n"/>
      <c r="F947" s="5" t="n"/>
      <c r="G947" s="9">
        <f>IF(E947="","",E947*F947)</f>
        <v/>
      </c>
      <c r="H947" s="5" t="n"/>
      <c r="I947" s="9">
        <f>IF(G947="","",G947-IF(H947="",0,H947))</f>
        <v/>
      </c>
    </row>
    <row r="948">
      <c r="A948" t="n">
        <v>945</v>
      </c>
      <c r="B948" s="8" t="n"/>
      <c r="C948" s="4" t="n"/>
      <c r="D948" s="4" t="n"/>
      <c r="E948" s="4" t="n"/>
      <c r="F948" s="5" t="n"/>
      <c r="G948" s="9">
        <f>IF(E948="","",E948*F948)</f>
        <v/>
      </c>
      <c r="H948" s="5" t="n"/>
      <c r="I948" s="9">
        <f>IF(G948="","",G948-IF(H948="",0,H948))</f>
        <v/>
      </c>
    </row>
    <row r="949">
      <c r="A949" t="n">
        <v>946</v>
      </c>
      <c r="B949" s="8" t="n"/>
      <c r="C949" s="4" t="n"/>
      <c r="D949" s="4" t="n"/>
      <c r="E949" s="4" t="n"/>
      <c r="F949" s="5" t="n"/>
      <c r="G949" s="9">
        <f>IF(E949="","",E949*F949)</f>
        <v/>
      </c>
      <c r="H949" s="5" t="n"/>
      <c r="I949" s="9">
        <f>IF(G949="","",G949-IF(H949="",0,H949))</f>
        <v/>
      </c>
    </row>
    <row r="950">
      <c r="A950" t="n">
        <v>947</v>
      </c>
      <c r="B950" s="8" t="n"/>
      <c r="C950" s="4" t="n"/>
      <c r="D950" s="4" t="n"/>
      <c r="E950" s="4" t="n"/>
      <c r="F950" s="5" t="n"/>
      <c r="G950" s="9">
        <f>IF(E950="","",E950*F950)</f>
        <v/>
      </c>
      <c r="H950" s="5" t="n"/>
      <c r="I950" s="9">
        <f>IF(G950="","",G950-IF(H950="",0,H950))</f>
        <v/>
      </c>
    </row>
    <row r="951">
      <c r="A951" t="n">
        <v>948</v>
      </c>
      <c r="B951" s="8" t="n"/>
      <c r="C951" s="4" t="n"/>
      <c r="D951" s="4" t="n"/>
      <c r="E951" s="4" t="n"/>
      <c r="F951" s="5" t="n"/>
      <c r="G951" s="9">
        <f>IF(E951="","",E951*F951)</f>
        <v/>
      </c>
      <c r="H951" s="5" t="n"/>
      <c r="I951" s="9">
        <f>IF(G951="","",G951-IF(H951="",0,H951))</f>
        <v/>
      </c>
    </row>
    <row r="952">
      <c r="A952" t="n">
        <v>949</v>
      </c>
      <c r="B952" s="8" t="n"/>
      <c r="C952" s="4" t="n"/>
      <c r="D952" s="4" t="n"/>
      <c r="E952" s="4" t="n"/>
      <c r="F952" s="5" t="n"/>
      <c r="G952" s="9">
        <f>IF(E952="","",E952*F952)</f>
        <v/>
      </c>
      <c r="H952" s="5" t="n"/>
      <c r="I952" s="9">
        <f>IF(G952="","",G952-IF(H952="",0,H952))</f>
        <v/>
      </c>
    </row>
    <row r="953">
      <c r="A953" t="n">
        <v>950</v>
      </c>
      <c r="B953" s="8" t="n"/>
      <c r="C953" s="4" t="n"/>
      <c r="D953" s="4" t="n"/>
      <c r="E953" s="4" t="n"/>
      <c r="F953" s="5" t="n"/>
      <c r="G953" s="9">
        <f>IF(E953="","",E953*F953)</f>
        <v/>
      </c>
      <c r="H953" s="5" t="n"/>
      <c r="I953" s="9">
        <f>IF(G953="","",G953-IF(H953="",0,H953))</f>
        <v/>
      </c>
    </row>
    <row r="954">
      <c r="A954" t="n">
        <v>951</v>
      </c>
      <c r="B954" s="8" t="n"/>
      <c r="C954" s="4" t="n"/>
      <c r="D954" s="4" t="n"/>
      <c r="E954" s="4" t="n"/>
      <c r="F954" s="5" t="n"/>
      <c r="G954" s="9">
        <f>IF(E954="","",E954*F954)</f>
        <v/>
      </c>
      <c r="H954" s="5" t="n"/>
      <c r="I954" s="9">
        <f>IF(G954="","",G954-IF(H954="",0,H954))</f>
        <v/>
      </c>
    </row>
    <row r="955">
      <c r="A955" t="n">
        <v>952</v>
      </c>
      <c r="B955" s="8" t="n"/>
      <c r="C955" s="4" t="n"/>
      <c r="D955" s="4" t="n"/>
      <c r="E955" s="4" t="n"/>
      <c r="F955" s="5" t="n"/>
      <c r="G955" s="9">
        <f>IF(E955="","",E955*F955)</f>
        <v/>
      </c>
      <c r="H955" s="5" t="n"/>
      <c r="I955" s="9">
        <f>IF(G955="","",G955-IF(H955="",0,H955))</f>
        <v/>
      </c>
    </row>
    <row r="956">
      <c r="A956" t="n">
        <v>953</v>
      </c>
      <c r="B956" s="8" t="n"/>
      <c r="C956" s="4" t="n"/>
      <c r="D956" s="4" t="n"/>
      <c r="E956" s="4" t="n"/>
      <c r="F956" s="5" t="n"/>
      <c r="G956" s="9">
        <f>IF(E956="","",E956*F956)</f>
        <v/>
      </c>
      <c r="H956" s="5" t="n"/>
      <c r="I956" s="9">
        <f>IF(G956="","",G956-IF(H956="",0,H956))</f>
        <v/>
      </c>
    </row>
    <row r="957">
      <c r="A957" t="n">
        <v>954</v>
      </c>
      <c r="B957" s="8" t="n"/>
      <c r="C957" s="4" t="n"/>
      <c r="D957" s="4" t="n"/>
      <c r="E957" s="4" t="n"/>
      <c r="F957" s="5" t="n"/>
      <c r="G957" s="9">
        <f>IF(E957="","",E957*F957)</f>
        <v/>
      </c>
      <c r="H957" s="5" t="n"/>
      <c r="I957" s="9">
        <f>IF(G957="","",G957-IF(H957="",0,H957))</f>
        <v/>
      </c>
    </row>
    <row r="958">
      <c r="A958" t="n">
        <v>955</v>
      </c>
      <c r="B958" s="8" t="n"/>
      <c r="C958" s="4" t="n"/>
      <c r="D958" s="4" t="n"/>
      <c r="E958" s="4" t="n"/>
      <c r="F958" s="5" t="n"/>
      <c r="G958" s="9">
        <f>IF(E958="","",E958*F958)</f>
        <v/>
      </c>
      <c r="H958" s="5" t="n"/>
      <c r="I958" s="9">
        <f>IF(G958="","",G958-IF(H958="",0,H958))</f>
        <v/>
      </c>
    </row>
    <row r="959">
      <c r="A959" t="n">
        <v>956</v>
      </c>
      <c r="B959" s="8" t="n"/>
      <c r="C959" s="4" t="n"/>
      <c r="D959" s="4" t="n"/>
      <c r="E959" s="4" t="n"/>
      <c r="F959" s="5" t="n"/>
      <c r="G959" s="9">
        <f>IF(E959="","",E959*F959)</f>
        <v/>
      </c>
      <c r="H959" s="5" t="n"/>
      <c r="I959" s="9">
        <f>IF(G959="","",G959-IF(H959="",0,H959))</f>
        <v/>
      </c>
    </row>
    <row r="960">
      <c r="A960" t="n">
        <v>957</v>
      </c>
      <c r="B960" s="8" t="n"/>
      <c r="C960" s="4" t="n"/>
      <c r="D960" s="4" t="n"/>
      <c r="E960" s="4" t="n"/>
      <c r="F960" s="5" t="n"/>
      <c r="G960" s="9">
        <f>IF(E960="","",E960*F960)</f>
        <v/>
      </c>
      <c r="H960" s="5" t="n"/>
      <c r="I960" s="9">
        <f>IF(G960="","",G960-IF(H960="",0,H960))</f>
        <v/>
      </c>
    </row>
    <row r="961">
      <c r="A961" t="n">
        <v>958</v>
      </c>
      <c r="B961" s="8" t="n"/>
      <c r="C961" s="4" t="n"/>
      <c r="D961" s="4" t="n"/>
      <c r="E961" s="4" t="n"/>
      <c r="F961" s="5" t="n"/>
      <c r="G961" s="9">
        <f>IF(E961="","",E961*F961)</f>
        <v/>
      </c>
      <c r="H961" s="5" t="n"/>
      <c r="I961" s="9">
        <f>IF(G961="","",G961-IF(H961="",0,H961))</f>
        <v/>
      </c>
    </row>
    <row r="962">
      <c r="A962" t="n">
        <v>959</v>
      </c>
      <c r="B962" s="8" t="n"/>
      <c r="C962" s="4" t="n"/>
      <c r="D962" s="4" t="n"/>
      <c r="E962" s="4" t="n"/>
      <c r="F962" s="5" t="n"/>
      <c r="G962" s="9">
        <f>IF(E962="","",E962*F962)</f>
        <v/>
      </c>
      <c r="H962" s="5" t="n"/>
      <c r="I962" s="9">
        <f>IF(G962="","",G962-IF(H962="",0,H962))</f>
        <v/>
      </c>
    </row>
    <row r="963">
      <c r="A963" t="n">
        <v>960</v>
      </c>
      <c r="B963" s="8" t="n"/>
      <c r="C963" s="4" t="n"/>
      <c r="D963" s="4" t="n"/>
      <c r="E963" s="4" t="n"/>
      <c r="F963" s="5" t="n"/>
      <c r="G963" s="9">
        <f>IF(E963="","",E963*F963)</f>
        <v/>
      </c>
      <c r="H963" s="5" t="n"/>
      <c r="I963" s="9">
        <f>IF(G963="","",G963-IF(H963="",0,H963))</f>
        <v/>
      </c>
    </row>
    <row r="964">
      <c r="A964" t="n">
        <v>961</v>
      </c>
      <c r="B964" s="8" t="n"/>
      <c r="C964" s="4" t="n"/>
      <c r="D964" s="4" t="n"/>
      <c r="E964" s="4" t="n"/>
      <c r="F964" s="5" t="n"/>
      <c r="G964" s="9">
        <f>IF(E964="","",E964*F964)</f>
        <v/>
      </c>
      <c r="H964" s="5" t="n"/>
      <c r="I964" s="9">
        <f>IF(G964="","",G964-IF(H964="",0,H964))</f>
        <v/>
      </c>
    </row>
    <row r="965">
      <c r="A965" t="n">
        <v>962</v>
      </c>
      <c r="B965" s="8" t="n"/>
      <c r="C965" s="4" t="n"/>
      <c r="D965" s="4" t="n"/>
      <c r="E965" s="4" t="n"/>
      <c r="F965" s="5" t="n"/>
      <c r="G965" s="9">
        <f>IF(E965="","",E965*F965)</f>
        <v/>
      </c>
      <c r="H965" s="5" t="n"/>
      <c r="I965" s="9">
        <f>IF(G965="","",G965-IF(H965="",0,H965))</f>
        <v/>
      </c>
    </row>
    <row r="966">
      <c r="A966" t="n">
        <v>963</v>
      </c>
      <c r="B966" s="8" t="n"/>
      <c r="C966" s="4" t="n"/>
      <c r="D966" s="4" t="n"/>
      <c r="E966" s="4" t="n"/>
      <c r="F966" s="5" t="n"/>
      <c r="G966" s="9">
        <f>IF(E966="","",E966*F966)</f>
        <v/>
      </c>
      <c r="H966" s="5" t="n"/>
      <c r="I966" s="9">
        <f>IF(G966="","",G966-IF(H966="",0,H966))</f>
        <v/>
      </c>
    </row>
    <row r="967">
      <c r="A967" t="n">
        <v>964</v>
      </c>
      <c r="B967" s="8" t="n"/>
      <c r="C967" s="4" t="n"/>
      <c r="D967" s="4" t="n"/>
      <c r="E967" s="4" t="n"/>
      <c r="F967" s="5" t="n"/>
      <c r="G967" s="9">
        <f>IF(E967="","",E967*F967)</f>
        <v/>
      </c>
      <c r="H967" s="5" t="n"/>
      <c r="I967" s="9">
        <f>IF(G967="","",G967-IF(H967="",0,H967))</f>
        <v/>
      </c>
    </row>
    <row r="968">
      <c r="A968" t="n">
        <v>965</v>
      </c>
      <c r="B968" s="8" t="n"/>
      <c r="C968" s="4" t="n"/>
      <c r="D968" s="4" t="n"/>
      <c r="E968" s="4" t="n"/>
      <c r="F968" s="5" t="n"/>
      <c r="G968" s="9">
        <f>IF(E968="","",E968*F968)</f>
        <v/>
      </c>
      <c r="H968" s="5" t="n"/>
      <c r="I968" s="9">
        <f>IF(G968="","",G968-IF(H968="",0,H968))</f>
        <v/>
      </c>
    </row>
    <row r="969">
      <c r="A969" t="n">
        <v>966</v>
      </c>
      <c r="B969" s="8" t="n"/>
      <c r="C969" s="4" t="n"/>
      <c r="D969" s="4" t="n"/>
      <c r="E969" s="4" t="n"/>
      <c r="F969" s="5" t="n"/>
      <c r="G969" s="9">
        <f>IF(E969="","",E969*F969)</f>
        <v/>
      </c>
      <c r="H969" s="5" t="n"/>
      <c r="I969" s="9">
        <f>IF(G969="","",G969-IF(H969="",0,H969))</f>
        <v/>
      </c>
    </row>
    <row r="970">
      <c r="A970" t="n">
        <v>967</v>
      </c>
      <c r="B970" s="8" t="n"/>
      <c r="C970" s="4" t="n"/>
      <c r="D970" s="4" t="n"/>
      <c r="E970" s="4" t="n"/>
      <c r="F970" s="5" t="n"/>
      <c r="G970" s="9">
        <f>IF(E970="","",E970*F970)</f>
        <v/>
      </c>
      <c r="H970" s="5" t="n"/>
      <c r="I970" s="9">
        <f>IF(G970="","",G970-IF(H970="",0,H970))</f>
        <v/>
      </c>
    </row>
    <row r="971">
      <c r="A971" t="n">
        <v>968</v>
      </c>
      <c r="B971" s="8" t="n"/>
      <c r="C971" s="4" t="n"/>
      <c r="D971" s="4" t="n"/>
      <c r="E971" s="4" t="n"/>
      <c r="F971" s="5" t="n"/>
      <c r="G971" s="9">
        <f>IF(E971="","",E971*F971)</f>
        <v/>
      </c>
      <c r="H971" s="5" t="n"/>
      <c r="I971" s="9">
        <f>IF(G971="","",G971-IF(H971="",0,H971))</f>
        <v/>
      </c>
    </row>
    <row r="972">
      <c r="A972" t="n">
        <v>969</v>
      </c>
      <c r="B972" s="8" t="n"/>
      <c r="C972" s="4" t="n"/>
      <c r="D972" s="4" t="n"/>
      <c r="E972" s="4" t="n"/>
      <c r="F972" s="5" t="n"/>
      <c r="G972" s="9">
        <f>IF(E972="","",E972*F972)</f>
        <v/>
      </c>
      <c r="H972" s="5" t="n"/>
      <c r="I972" s="9">
        <f>IF(G972="","",G972-IF(H972="",0,H972))</f>
        <v/>
      </c>
    </row>
    <row r="973">
      <c r="A973" t="n">
        <v>970</v>
      </c>
      <c r="B973" s="8" t="n"/>
      <c r="C973" s="4" t="n"/>
      <c r="D973" s="4" t="n"/>
      <c r="E973" s="4" t="n"/>
      <c r="F973" s="5" t="n"/>
      <c r="G973" s="9">
        <f>IF(E973="","",E973*F973)</f>
        <v/>
      </c>
      <c r="H973" s="5" t="n"/>
      <c r="I973" s="9">
        <f>IF(G973="","",G973-IF(H973="",0,H973))</f>
        <v/>
      </c>
    </row>
    <row r="974">
      <c r="A974" t="n">
        <v>971</v>
      </c>
      <c r="B974" s="8" t="n"/>
      <c r="C974" s="4" t="n"/>
      <c r="D974" s="4" t="n"/>
      <c r="E974" s="4" t="n"/>
      <c r="F974" s="5" t="n"/>
      <c r="G974" s="9">
        <f>IF(E974="","",E974*F974)</f>
        <v/>
      </c>
      <c r="H974" s="5" t="n"/>
      <c r="I974" s="9">
        <f>IF(G974="","",G974-IF(H974="",0,H974))</f>
        <v/>
      </c>
    </row>
    <row r="975">
      <c r="A975" t="n">
        <v>972</v>
      </c>
      <c r="B975" s="8" t="n"/>
      <c r="C975" s="4" t="n"/>
      <c r="D975" s="4" t="n"/>
      <c r="E975" s="4" t="n"/>
      <c r="F975" s="5" t="n"/>
      <c r="G975" s="9">
        <f>IF(E975="","",E975*F975)</f>
        <v/>
      </c>
      <c r="H975" s="5" t="n"/>
      <c r="I975" s="9">
        <f>IF(G975="","",G975-IF(H975="",0,H975))</f>
        <v/>
      </c>
    </row>
    <row r="976">
      <c r="A976" t="n">
        <v>973</v>
      </c>
      <c r="B976" s="8" t="n"/>
      <c r="C976" s="4" t="n"/>
      <c r="D976" s="4" t="n"/>
      <c r="E976" s="4" t="n"/>
      <c r="F976" s="5" t="n"/>
      <c r="G976" s="9">
        <f>IF(E976="","",E976*F976)</f>
        <v/>
      </c>
      <c r="H976" s="5" t="n"/>
      <c r="I976" s="9">
        <f>IF(G976="","",G976-IF(H976="",0,H976))</f>
        <v/>
      </c>
    </row>
    <row r="977">
      <c r="A977" t="n">
        <v>974</v>
      </c>
      <c r="B977" s="8" t="n"/>
      <c r="C977" s="4" t="n"/>
      <c r="D977" s="4" t="n"/>
      <c r="E977" s="4" t="n"/>
      <c r="F977" s="5" t="n"/>
      <c r="G977" s="9">
        <f>IF(E977="","",E977*F977)</f>
        <v/>
      </c>
      <c r="H977" s="5" t="n"/>
      <c r="I977" s="9">
        <f>IF(G977="","",G977-IF(H977="",0,H977))</f>
        <v/>
      </c>
    </row>
    <row r="978">
      <c r="A978" t="n">
        <v>975</v>
      </c>
      <c r="B978" s="8" t="n"/>
      <c r="C978" s="4" t="n"/>
      <c r="D978" s="4" t="n"/>
      <c r="E978" s="4" t="n"/>
      <c r="F978" s="5" t="n"/>
      <c r="G978" s="9">
        <f>IF(E978="","",E978*F978)</f>
        <v/>
      </c>
      <c r="H978" s="5" t="n"/>
      <c r="I978" s="9">
        <f>IF(G978="","",G978-IF(H978="",0,H978))</f>
        <v/>
      </c>
    </row>
    <row r="979">
      <c r="A979" t="n">
        <v>976</v>
      </c>
      <c r="B979" s="8" t="n"/>
      <c r="C979" s="4" t="n"/>
      <c r="D979" s="4" t="n"/>
      <c r="E979" s="4" t="n"/>
      <c r="F979" s="5" t="n"/>
      <c r="G979" s="9">
        <f>IF(E979="","",E979*F979)</f>
        <v/>
      </c>
      <c r="H979" s="5" t="n"/>
      <c r="I979" s="9">
        <f>IF(G979="","",G979-IF(H979="",0,H979))</f>
        <v/>
      </c>
    </row>
    <row r="980">
      <c r="A980" t="n">
        <v>977</v>
      </c>
      <c r="B980" s="8" t="n"/>
      <c r="C980" s="4" t="n"/>
      <c r="D980" s="4" t="n"/>
      <c r="E980" s="4" t="n"/>
      <c r="F980" s="5" t="n"/>
      <c r="G980" s="9">
        <f>IF(E980="","",E980*F980)</f>
        <v/>
      </c>
      <c r="H980" s="5" t="n"/>
      <c r="I980" s="9">
        <f>IF(G980="","",G980-IF(H980="",0,H980))</f>
        <v/>
      </c>
    </row>
    <row r="981">
      <c r="A981" t="n">
        <v>978</v>
      </c>
      <c r="B981" s="8" t="n"/>
      <c r="C981" s="4" t="n"/>
      <c r="D981" s="4" t="n"/>
      <c r="E981" s="4" t="n"/>
      <c r="F981" s="5" t="n"/>
      <c r="G981" s="9">
        <f>IF(E981="","",E981*F981)</f>
        <v/>
      </c>
      <c r="H981" s="5" t="n"/>
      <c r="I981" s="9">
        <f>IF(G981="","",G981-IF(H981="",0,H981))</f>
        <v/>
      </c>
    </row>
    <row r="982">
      <c r="A982" t="n">
        <v>979</v>
      </c>
      <c r="B982" s="8" t="n"/>
      <c r="C982" s="4" t="n"/>
      <c r="D982" s="4" t="n"/>
      <c r="E982" s="4" t="n"/>
      <c r="F982" s="5" t="n"/>
      <c r="G982" s="9">
        <f>IF(E982="","",E982*F982)</f>
        <v/>
      </c>
      <c r="H982" s="5" t="n"/>
      <c r="I982" s="9">
        <f>IF(G982="","",G982-IF(H982="",0,H982))</f>
        <v/>
      </c>
    </row>
    <row r="983">
      <c r="A983" t="n">
        <v>980</v>
      </c>
      <c r="B983" s="8" t="n"/>
      <c r="C983" s="4" t="n"/>
      <c r="D983" s="4" t="n"/>
      <c r="E983" s="4" t="n"/>
      <c r="F983" s="5" t="n"/>
      <c r="G983" s="9">
        <f>IF(E983="","",E983*F983)</f>
        <v/>
      </c>
      <c r="H983" s="5" t="n"/>
      <c r="I983" s="9">
        <f>IF(G983="","",G983-IF(H983="",0,H983))</f>
        <v/>
      </c>
    </row>
    <row r="984">
      <c r="A984" t="n">
        <v>981</v>
      </c>
      <c r="B984" s="8" t="n"/>
      <c r="C984" s="4" t="n"/>
      <c r="D984" s="4" t="n"/>
      <c r="E984" s="4" t="n"/>
      <c r="F984" s="5" t="n"/>
      <c r="G984" s="9">
        <f>IF(E984="","",E984*F984)</f>
        <v/>
      </c>
      <c r="H984" s="5" t="n"/>
      <c r="I984" s="9">
        <f>IF(G984="","",G984-IF(H984="",0,H984))</f>
        <v/>
      </c>
    </row>
    <row r="985">
      <c r="A985" t="n">
        <v>982</v>
      </c>
      <c r="B985" s="8" t="n"/>
      <c r="C985" s="4" t="n"/>
      <c r="D985" s="4" t="n"/>
      <c r="E985" s="4" t="n"/>
      <c r="F985" s="5" t="n"/>
      <c r="G985" s="9">
        <f>IF(E985="","",E985*F985)</f>
        <v/>
      </c>
      <c r="H985" s="5" t="n"/>
      <c r="I985" s="9">
        <f>IF(G985="","",G985-IF(H985="",0,H985))</f>
        <v/>
      </c>
    </row>
    <row r="986">
      <c r="A986" t="n">
        <v>983</v>
      </c>
      <c r="B986" s="8" t="n"/>
      <c r="C986" s="4" t="n"/>
      <c r="D986" s="4" t="n"/>
      <c r="E986" s="4" t="n"/>
      <c r="F986" s="5" t="n"/>
      <c r="G986" s="9">
        <f>IF(E986="","",E986*F986)</f>
        <v/>
      </c>
      <c r="H986" s="5" t="n"/>
      <c r="I986" s="9">
        <f>IF(G986="","",G986-IF(H986="",0,H986))</f>
        <v/>
      </c>
    </row>
    <row r="987">
      <c r="A987" t="n">
        <v>984</v>
      </c>
      <c r="B987" s="8" t="n"/>
      <c r="C987" s="4" t="n"/>
      <c r="D987" s="4" t="n"/>
      <c r="E987" s="4" t="n"/>
      <c r="F987" s="5" t="n"/>
      <c r="G987" s="9">
        <f>IF(E987="","",E987*F987)</f>
        <v/>
      </c>
      <c r="H987" s="5" t="n"/>
      <c r="I987" s="9">
        <f>IF(G987="","",G987-IF(H987="",0,H987))</f>
        <v/>
      </c>
    </row>
    <row r="988">
      <c r="A988" t="n">
        <v>985</v>
      </c>
      <c r="B988" s="8" t="n"/>
      <c r="C988" s="4" t="n"/>
      <c r="D988" s="4" t="n"/>
      <c r="E988" s="4" t="n"/>
      <c r="F988" s="5" t="n"/>
      <c r="G988" s="9">
        <f>IF(E988="","",E988*F988)</f>
        <v/>
      </c>
      <c r="H988" s="5" t="n"/>
      <c r="I988" s="9">
        <f>IF(G988="","",G988-IF(H988="",0,H988))</f>
        <v/>
      </c>
    </row>
    <row r="989">
      <c r="A989" t="n">
        <v>986</v>
      </c>
      <c r="B989" s="8" t="n"/>
      <c r="C989" s="4" t="n"/>
      <c r="D989" s="4" t="n"/>
      <c r="E989" s="4" t="n"/>
      <c r="F989" s="5" t="n"/>
      <c r="G989" s="9">
        <f>IF(E989="","",E989*F989)</f>
        <v/>
      </c>
      <c r="H989" s="5" t="n"/>
      <c r="I989" s="9">
        <f>IF(G989="","",G989-IF(H989="",0,H989))</f>
        <v/>
      </c>
    </row>
    <row r="990">
      <c r="A990" t="n">
        <v>987</v>
      </c>
      <c r="B990" s="8" t="n"/>
      <c r="C990" s="4" t="n"/>
      <c r="D990" s="4" t="n"/>
      <c r="E990" s="4" t="n"/>
      <c r="F990" s="5" t="n"/>
      <c r="G990" s="9">
        <f>IF(E990="","",E990*F990)</f>
        <v/>
      </c>
      <c r="H990" s="5" t="n"/>
      <c r="I990" s="9">
        <f>IF(G990="","",G990-IF(H990="",0,H990))</f>
        <v/>
      </c>
    </row>
    <row r="991">
      <c r="A991" t="n">
        <v>988</v>
      </c>
      <c r="B991" s="8" t="n"/>
      <c r="C991" s="4" t="n"/>
      <c r="D991" s="4" t="n"/>
      <c r="E991" s="4" t="n"/>
      <c r="F991" s="5" t="n"/>
      <c r="G991" s="9">
        <f>IF(E991="","",E991*F991)</f>
        <v/>
      </c>
      <c r="H991" s="5" t="n"/>
      <c r="I991" s="9">
        <f>IF(G991="","",G991-IF(H991="",0,H991))</f>
        <v/>
      </c>
    </row>
    <row r="992">
      <c r="A992" t="n">
        <v>989</v>
      </c>
      <c r="B992" s="8" t="n"/>
      <c r="C992" s="4" t="n"/>
      <c r="D992" s="4" t="n"/>
      <c r="E992" s="4" t="n"/>
      <c r="F992" s="5" t="n"/>
      <c r="G992" s="9">
        <f>IF(E992="","",E992*F992)</f>
        <v/>
      </c>
      <c r="H992" s="5" t="n"/>
      <c r="I992" s="9">
        <f>IF(G992="","",G992-IF(H992="",0,H992))</f>
        <v/>
      </c>
    </row>
    <row r="993">
      <c r="A993" t="n">
        <v>990</v>
      </c>
      <c r="B993" s="8" t="n"/>
      <c r="C993" s="4" t="n"/>
      <c r="D993" s="4" t="n"/>
      <c r="E993" s="4" t="n"/>
      <c r="F993" s="5" t="n"/>
      <c r="G993" s="9">
        <f>IF(E993="","",E993*F993)</f>
        <v/>
      </c>
      <c r="H993" s="5" t="n"/>
      <c r="I993" s="9">
        <f>IF(G993="","",G993-IF(H993="",0,H993))</f>
        <v/>
      </c>
    </row>
    <row r="994">
      <c r="A994" t="n">
        <v>991</v>
      </c>
      <c r="B994" s="8" t="n"/>
      <c r="C994" s="4" t="n"/>
      <c r="D994" s="4" t="n"/>
      <c r="E994" s="4" t="n"/>
      <c r="F994" s="5" t="n"/>
      <c r="G994" s="9">
        <f>IF(E994="","",E994*F994)</f>
        <v/>
      </c>
      <c r="H994" s="5" t="n"/>
      <c r="I994" s="9">
        <f>IF(G994="","",G994-IF(H994="",0,H994))</f>
        <v/>
      </c>
    </row>
    <row r="995">
      <c r="A995" t="n">
        <v>992</v>
      </c>
      <c r="B995" s="8" t="n"/>
      <c r="C995" s="4" t="n"/>
      <c r="D995" s="4" t="n"/>
      <c r="E995" s="4" t="n"/>
      <c r="F995" s="5" t="n"/>
      <c r="G995" s="9">
        <f>IF(E995="","",E995*F995)</f>
        <v/>
      </c>
      <c r="H995" s="5" t="n"/>
      <c r="I995" s="9">
        <f>IF(G995="","",G995-IF(H995="",0,H995))</f>
        <v/>
      </c>
    </row>
    <row r="996">
      <c r="A996" t="n">
        <v>993</v>
      </c>
      <c r="B996" s="8" t="n"/>
      <c r="C996" s="4" t="n"/>
      <c r="D996" s="4" t="n"/>
      <c r="E996" s="4" t="n"/>
      <c r="F996" s="5" t="n"/>
      <c r="G996" s="9">
        <f>IF(E996="","",E996*F996)</f>
        <v/>
      </c>
      <c r="H996" s="5" t="n"/>
      <c r="I996" s="9">
        <f>IF(G996="","",G996-IF(H996="",0,H996))</f>
        <v/>
      </c>
    </row>
    <row r="997">
      <c r="A997" t="n">
        <v>994</v>
      </c>
      <c r="B997" s="8" t="n"/>
      <c r="C997" s="4" t="n"/>
      <c r="D997" s="4" t="n"/>
      <c r="E997" s="4" t="n"/>
      <c r="F997" s="5" t="n"/>
      <c r="G997" s="9">
        <f>IF(E997="","",E997*F997)</f>
        <v/>
      </c>
      <c r="H997" s="5" t="n"/>
      <c r="I997" s="9">
        <f>IF(G997="","",G997-IF(H997="",0,H997))</f>
        <v/>
      </c>
    </row>
    <row r="998">
      <c r="A998" t="n">
        <v>995</v>
      </c>
      <c r="B998" s="8" t="n"/>
      <c r="C998" s="4" t="n"/>
      <c r="D998" s="4" t="n"/>
      <c r="E998" s="4" t="n"/>
      <c r="F998" s="5" t="n"/>
      <c r="G998" s="9">
        <f>IF(E998="","",E998*F998)</f>
        <v/>
      </c>
      <c r="H998" s="5" t="n"/>
      <c r="I998" s="9">
        <f>IF(G998="","",G998-IF(H998="",0,H998))</f>
        <v/>
      </c>
    </row>
    <row r="999">
      <c r="A999" t="n">
        <v>996</v>
      </c>
      <c r="B999" s="8" t="n"/>
      <c r="C999" s="4" t="n"/>
      <c r="D999" s="4" t="n"/>
      <c r="E999" s="4" t="n"/>
      <c r="F999" s="5" t="n"/>
      <c r="G999" s="9">
        <f>IF(E999="","",E999*F999)</f>
        <v/>
      </c>
      <c r="H999" s="5" t="n"/>
      <c r="I999" s="9">
        <f>IF(G999="","",G999-IF(H999="",0,H999))</f>
        <v/>
      </c>
    </row>
    <row r="1000">
      <c r="A1000" t="n">
        <v>997</v>
      </c>
      <c r="B1000" s="8" t="n"/>
      <c r="C1000" s="4" t="n"/>
      <c r="D1000" s="4" t="n"/>
      <c r="E1000" s="4" t="n"/>
      <c r="F1000" s="5" t="n"/>
      <c r="G1000" s="9">
        <f>IF(E1000="","",E1000*F1000)</f>
        <v/>
      </c>
      <c r="H1000" s="5" t="n"/>
      <c r="I1000" s="9">
        <f>IF(G1000="","",G1000-IF(H1000="",0,H1000))</f>
        <v/>
      </c>
    </row>
    <row r="1001">
      <c r="A1001" t="n">
        <v>998</v>
      </c>
      <c r="B1001" s="8" t="n"/>
      <c r="C1001" s="4" t="n"/>
      <c r="D1001" s="4" t="n"/>
      <c r="E1001" s="4" t="n"/>
      <c r="F1001" s="5" t="n"/>
      <c r="G1001" s="9">
        <f>IF(E1001="","",E1001*F1001)</f>
        <v/>
      </c>
      <c r="H1001" s="5" t="n"/>
      <c r="I1001" s="9">
        <f>IF(G1001="","",G1001-IF(H1001="",0,H1001))</f>
        <v/>
      </c>
    </row>
    <row r="1002">
      <c r="A1002" t="n">
        <v>999</v>
      </c>
      <c r="B1002" s="8" t="n"/>
      <c r="C1002" s="4" t="n"/>
      <c r="D1002" s="4" t="n"/>
      <c r="E1002" s="4" t="n"/>
      <c r="F1002" s="5" t="n"/>
      <c r="G1002" s="9">
        <f>IF(E1002="","",E1002*F1002)</f>
        <v/>
      </c>
      <c r="H1002" s="5" t="n"/>
      <c r="I1002" s="9">
        <f>IF(G1002="","",G1002-IF(H1002="",0,H1002))</f>
        <v/>
      </c>
    </row>
    <row r="1003">
      <c r="A1003" t="n">
        <v>1000</v>
      </c>
      <c r="B1003" s="8" t="n"/>
      <c r="C1003" s="4" t="n"/>
      <c r="D1003" s="4" t="n"/>
      <c r="E1003" s="4" t="n"/>
      <c r="F1003" s="5" t="n"/>
      <c r="G1003" s="9">
        <f>IF(E1003="","",E1003*F1003)</f>
        <v/>
      </c>
      <c r="H1003" s="5" t="n"/>
      <c r="I1003" s="9">
        <f>IF(G1003="","",G1003-IF(H1003="",0,H1003))</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Masters!$B$3:$B$79</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showDropDown="0" showInputMessage="0" showErrorMessage="0" allowBlank="1" type="list">
      <formula1>Masters!$I$3:$I$79</formula1>
    </dataValidation>
  </dataValidations>
  <pageMargins left="0.75" right="0.75" top="1" bottom="1" header="0.5" footer="0.5"/>
</worksheet>
</file>

<file path=xl/worksheets/sheet3.xml><?xml version="1.0" encoding="utf-8"?>
<worksheet xmlns="http://schemas.openxmlformats.org/spreadsheetml/2006/main">
  <sheetPr>
    <tabColor rgb="00FF5722"/>
    <outlinePr summaryBelow="1" summaryRight="1"/>
    <pageSetUpPr/>
  </sheetPr>
  <dimension ref="A1:L2003"/>
  <sheetViews>
    <sheetView workbookViewId="0">
      <selection activeCell="A1" sqref="A1"/>
    </sheetView>
  </sheetViews>
  <sheetFormatPr baseColWidth="8" defaultRowHeight="15"/>
  <cols>
    <col width="4" customWidth="1" min="1" max="1"/>
    <col width="11" customWidth="1" min="2" max="2"/>
    <col width="10" customWidth="1" min="3" max="3"/>
    <col width="12" customWidth="1" min="4" max="4"/>
    <col width="20" customWidth="1" min="5" max="5"/>
    <col width="20" customWidth="1" min="6" max="6"/>
    <col width="12" customWidth="1" min="7" max="7"/>
    <col width="12" customWidth="1" min="8" max="8"/>
    <col width="12" customWidth="1" min="9" max="9"/>
    <col width="12" customWidth="1" min="10" max="10"/>
    <col width="2" customWidth="1" min="11" max="11"/>
    <col width="14" customWidth="1" min="12" max="12"/>
    <col width="14" customWidth="1" min="13" max="13"/>
  </cols>
  <sheetData>
    <row r="1">
      <c r="A1" s="1" t="inlineStr">
        <is>
          <t>CASH BOOK (All Transactions)</t>
        </is>
      </c>
      <c r="L1" s="10" t="inlineStr">
        <is>
          <t>CASH/BANK SUMMARY</t>
        </is>
      </c>
    </row>
    <row r="2">
      <c r="A2" s="7" t="inlineStr">
        <is>
          <t>BEP expenses in OUT cols. ZAKAT: PROVISION=provision, PAID=payment</t>
        </is>
      </c>
      <c r="K2" t="inlineStr">
        <is>
          <t>Opening Cash</t>
        </is>
      </c>
      <c r="L2" s="11">
        <f>Masters!$X$6</f>
        <v/>
      </c>
    </row>
    <row r="3">
      <c r="A3" s="2" t="inlineStr">
        <is>
          <t>Sr</t>
        </is>
      </c>
      <c r="B3" s="2" t="inlineStr">
        <is>
          <t>Date</t>
        </is>
      </c>
      <c r="C3" s="2" t="inlineStr">
        <is>
          <t>Type</t>
        </is>
      </c>
      <c r="D3" s="2" t="inlineStr">
        <is>
          <t>Sub-Type</t>
        </is>
      </c>
      <c r="E3" s="2" t="inlineStr">
        <is>
          <t>Party</t>
        </is>
      </c>
      <c r="F3" s="2" t="inlineStr">
        <is>
          <t>Particulars</t>
        </is>
      </c>
      <c r="G3" s="2" t="inlineStr">
        <is>
          <t>Cash OUT</t>
        </is>
      </c>
      <c r="H3" s="2" t="inlineStr">
        <is>
          <t>Bank OUT</t>
        </is>
      </c>
      <c r="I3" s="2" t="inlineStr">
        <is>
          <t>Cash IN</t>
        </is>
      </c>
      <c r="J3" s="2" t="inlineStr">
        <is>
          <t>Bank IN</t>
        </is>
      </c>
      <c r="K3" t="inlineStr">
        <is>
          <t>Opening Bank</t>
        </is>
      </c>
      <c r="L3" s="11">
        <f>Masters!$X$7</f>
        <v/>
      </c>
    </row>
    <row r="4">
      <c r="A4" t="n">
        <v>1</v>
      </c>
      <c r="B4" s="8" t="n"/>
      <c r="C4" s="4" t="n"/>
      <c r="D4" s="4" t="n"/>
      <c r="E4" s="4" t="n"/>
      <c r="F4" s="4" t="n"/>
      <c r="G4" s="5" t="n"/>
      <c r="H4" s="5" t="n"/>
      <c r="I4" s="5" t="n"/>
      <c r="J4" s="5" t="n"/>
      <c r="K4" t="inlineStr">
        <is>
          <t>Total Cash OUT</t>
        </is>
      </c>
      <c r="L4" s="11">
        <f>SUM(G:G)</f>
        <v/>
      </c>
    </row>
    <row r="5">
      <c r="A5" t="n">
        <v>2</v>
      </c>
      <c r="B5" s="8" t="n"/>
      <c r="C5" s="4" t="n"/>
      <c r="D5" s="4" t="n"/>
      <c r="E5" s="4" t="n"/>
      <c r="F5" s="4" t="n"/>
      <c r="G5" s="5" t="n"/>
      <c r="H5" s="5" t="n"/>
      <c r="I5" s="5" t="n"/>
      <c r="J5" s="5" t="n"/>
      <c r="K5" t="inlineStr">
        <is>
          <t>Total Bank OUT</t>
        </is>
      </c>
      <c r="L5" s="11">
        <f>SUM(H:H)</f>
        <v/>
      </c>
    </row>
    <row r="6">
      <c r="A6" t="n">
        <v>3</v>
      </c>
      <c r="B6" s="8" t="n"/>
      <c r="C6" s="4" t="n"/>
      <c r="D6" s="4" t="n"/>
      <c r="E6" s="4" t="n"/>
      <c r="F6" s="4" t="n"/>
      <c r="G6" s="5" t="n"/>
      <c r="H6" s="5" t="n"/>
      <c r="I6" s="5" t="n"/>
      <c r="J6" s="5" t="n"/>
      <c r="K6" t="inlineStr">
        <is>
          <t>Total Cash IN</t>
        </is>
      </c>
      <c r="L6" s="11">
        <f>SUM(I:I)</f>
        <v/>
      </c>
    </row>
    <row r="7">
      <c r="A7" t="n">
        <v>4</v>
      </c>
      <c r="B7" s="8" t="n"/>
      <c r="C7" s="4" t="n"/>
      <c r="D7" s="4" t="n"/>
      <c r="E7" s="4" t="n"/>
      <c r="F7" s="4" t="n"/>
      <c r="G7" s="5" t="n"/>
      <c r="H7" s="5" t="n"/>
      <c r="I7" s="5" t="n"/>
      <c r="J7" s="5" t="n"/>
      <c r="K7" t="inlineStr">
        <is>
          <t>Total Bank IN</t>
        </is>
      </c>
      <c r="L7" s="11">
        <f>SUM(J:J)</f>
        <v/>
      </c>
    </row>
    <row r="8">
      <c r="A8" t="n">
        <v>5</v>
      </c>
      <c r="B8" s="8" t="n"/>
      <c r="C8" s="4" t="n"/>
      <c r="D8" s="4" t="n"/>
      <c r="E8" s="4" t="n"/>
      <c r="F8" s="4" t="n"/>
      <c r="G8" s="5" t="n"/>
      <c r="H8" s="5" t="n"/>
      <c r="I8" s="5" t="n"/>
      <c r="J8" s="5" t="n"/>
      <c r="K8" s="3" t="inlineStr">
        <is>
          <t>CLOSING CASH</t>
        </is>
      </c>
      <c r="L8" s="12">
        <f>L2-L4+L6</f>
        <v/>
      </c>
    </row>
    <row r="9">
      <c r="A9" t="n">
        <v>6</v>
      </c>
      <c r="B9" s="8" t="n"/>
      <c r="C9" s="4" t="n"/>
      <c r="D9" s="4" t="n"/>
      <c r="E9" s="4" t="n"/>
      <c r="F9" s="4" t="n"/>
      <c r="G9" s="5" t="n"/>
      <c r="H9" s="5" t="n"/>
      <c r="I9" s="5" t="n"/>
      <c r="J9" s="5" t="n"/>
      <c r="K9" s="3" t="inlineStr">
        <is>
          <t>CLOSING BANK</t>
        </is>
      </c>
      <c r="L9" s="12">
        <f>L3-L5+L7</f>
        <v/>
      </c>
    </row>
    <row r="10">
      <c r="A10" t="n">
        <v>7</v>
      </c>
      <c r="B10" s="8" t="n"/>
      <c r="C10" s="4" t="n"/>
      <c r="D10" s="4" t="n"/>
      <c r="E10" s="4" t="n"/>
      <c r="F10" s="4" t="n"/>
      <c r="G10" s="5" t="n"/>
      <c r="H10" s="5" t="n"/>
      <c r="I10" s="5" t="n"/>
      <c r="J10" s="5" t="n"/>
    </row>
    <row r="11">
      <c r="A11" t="n">
        <v>8</v>
      </c>
      <c r="B11" s="8" t="n"/>
      <c r="C11" s="4" t="n"/>
      <c r="D11" s="4" t="n"/>
      <c r="E11" s="4" t="n"/>
      <c r="F11" s="4" t="n"/>
      <c r="G11" s="5" t="n"/>
      <c r="H11" s="5" t="n"/>
      <c r="I11" s="5" t="n"/>
      <c r="J11" s="5" t="n"/>
    </row>
    <row r="12">
      <c r="A12" t="n">
        <v>9</v>
      </c>
      <c r="B12" s="8" t="n"/>
      <c r="C12" s="4" t="n"/>
      <c r="D12" s="4" t="n"/>
      <c r="E12" s="4" t="n"/>
      <c r="F12" s="4" t="n"/>
      <c r="G12" s="5" t="n"/>
      <c r="H12" s="5" t="n"/>
      <c r="I12" s="5" t="n"/>
      <c r="J12" s="5" t="n"/>
    </row>
    <row r="13">
      <c r="A13" t="n">
        <v>10</v>
      </c>
      <c r="B13" s="8" t="n"/>
      <c r="C13" s="4" t="n"/>
      <c r="D13" s="4" t="n"/>
      <c r="E13" s="4" t="n"/>
      <c r="F13" s="4" t="n"/>
      <c r="G13" s="5" t="n"/>
      <c r="H13" s="5" t="n"/>
      <c r="I13" s="5" t="n"/>
      <c r="J13" s="5" t="n"/>
    </row>
    <row r="14">
      <c r="A14" t="n">
        <v>11</v>
      </c>
      <c r="B14" s="8" t="n"/>
      <c r="C14" s="4" t="n"/>
      <c r="D14" s="4" t="n"/>
      <c r="E14" s="4" t="n"/>
      <c r="F14" s="4" t="n"/>
      <c r="G14" s="5" t="n"/>
      <c r="H14" s="5" t="n"/>
      <c r="I14" s="5" t="n"/>
      <c r="J14" s="5" t="n"/>
    </row>
    <row r="15">
      <c r="A15" t="n">
        <v>12</v>
      </c>
      <c r="B15" s="8" t="n"/>
      <c r="C15" s="4" t="n"/>
      <c r="D15" s="4" t="n"/>
      <c r="E15" s="4" t="n"/>
      <c r="F15" s="4" t="n"/>
      <c r="G15" s="5" t="n"/>
      <c r="H15" s="5" t="n"/>
      <c r="I15" s="5" t="n"/>
      <c r="J15" s="5" t="n"/>
    </row>
    <row r="16">
      <c r="A16" t="n">
        <v>13</v>
      </c>
      <c r="B16" s="8" t="n"/>
      <c r="C16" s="4" t="n"/>
      <c r="D16" s="4" t="n"/>
      <c r="E16" s="4" t="n"/>
      <c r="F16" s="4" t="n"/>
      <c r="G16" s="5" t="n"/>
      <c r="H16" s="5" t="n"/>
      <c r="I16" s="5" t="n"/>
      <c r="J16" s="5" t="n"/>
    </row>
    <row r="17">
      <c r="A17" t="n">
        <v>14</v>
      </c>
      <c r="B17" s="8" t="n"/>
      <c r="C17" s="4" t="n"/>
      <c r="D17" s="4" t="n"/>
      <c r="E17" s="4" t="n"/>
      <c r="F17" s="4" t="n"/>
      <c r="G17" s="5" t="n"/>
      <c r="H17" s="5" t="n"/>
      <c r="I17" s="5" t="n"/>
      <c r="J17" s="5" t="n"/>
    </row>
    <row r="18">
      <c r="A18" t="n">
        <v>15</v>
      </c>
      <c r="B18" s="8" t="n"/>
      <c r="C18" s="4" t="n"/>
      <c r="D18" s="4" t="n"/>
      <c r="E18" s="4" t="n"/>
      <c r="F18" s="4" t="n"/>
      <c r="G18" s="5" t="n"/>
      <c r="H18" s="5" t="n"/>
      <c r="I18" s="5" t="n"/>
      <c r="J18" s="5" t="n"/>
    </row>
    <row r="19">
      <c r="A19" t="n">
        <v>16</v>
      </c>
      <c r="B19" s="8" t="n"/>
      <c r="C19" s="4" t="n"/>
      <c r="D19" s="4" t="n"/>
      <c r="E19" s="4" t="n"/>
      <c r="F19" s="4" t="n"/>
      <c r="G19" s="5" t="n"/>
      <c r="H19" s="5" t="n"/>
      <c r="I19" s="5" t="n"/>
      <c r="J19" s="5" t="n"/>
    </row>
    <row r="20">
      <c r="A20" t="n">
        <v>17</v>
      </c>
      <c r="B20" s="8" t="n"/>
      <c r="C20" s="4" t="n"/>
      <c r="D20" s="4" t="n"/>
      <c r="E20" s="4" t="n"/>
      <c r="F20" s="4" t="n"/>
      <c r="G20" s="5" t="n"/>
      <c r="H20" s="5" t="n"/>
      <c r="I20" s="5" t="n"/>
      <c r="J20" s="5" t="n"/>
    </row>
    <row r="21">
      <c r="A21" t="n">
        <v>18</v>
      </c>
      <c r="B21" s="8" t="n"/>
      <c r="C21" s="4" t="n"/>
      <c r="D21" s="4" t="n"/>
      <c r="E21" s="4" t="n"/>
      <c r="F21" s="4" t="n"/>
      <c r="G21" s="5" t="n"/>
      <c r="H21" s="5" t="n"/>
      <c r="I21" s="5" t="n"/>
      <c r="J21" s="5" t="n"/>
    </row>
    <row r="22">
      <c r="A22" t="n">
        <v>19</v>
      </c>
      <c r="B22" s="8" t="n"/>
      <c r="C22" s="4" t="n"/>
      <c r="D22" s="4" t="n"/>
      <c r="E22" s="4" t="n"/>
      <c r="F22" s="4" t="n"/>
      <c r="G22" s="5" t="n"/>
      <c r="H22" s="5" t="n"/>
      <c r="I22" s="5" t="n"/>
      <c r="J22" s="5" t="n"/>
    </row>
    <row r="23">
      <c r="A23" t="n">
        <v>20</v>
      </c>
      <c r="B23" s="8" t="n"/>
      <c r="C23" s="4" t="n"/>
      <c r="D23" s="4" t="n"/>
      <c r="E23" s="4" t="n"/>
      <c r="F23" s="4" t="n"/>
      <c r="G23" s="5" t="n"/>
      <c r="H23" s="5" t="n"/>
      <c r="I23" s="5" t="n"/>
      <c r="J23" s="5" t="n"/>
    </row>
    <row r="24">
      <c r="A24" t="n">
        <v>21</v>
      </c>
      <c r="B24" s="8" t="n"/>
      <c r="C24" s="4" t="n"/>
      <c r="D24" s="4" t="n"/>
      <c r="E24" s="4" t="n"/>
      <c r="F24" s="4" t="n"/>
      <c r="G24" s="5" t="n"/>
      <c r="H24" s="5" t="n"/>
      <c r="I24" s="5" t="n"/>
      <c r="J24" s="5" t="n"/>
    </row>
    <row r="25">
      <c r="A25" t="n">
        <v>22</v>
      </c>
      <c r="B25" s="8" t="n"/>
      <c r="C25" s="4" t="n"/>
      <c r="D25" s="4" t="n"/>
      <c r="E25" s="4" t="n"/>
      <c r="F25" s="4" t="n"/>
      <c r="G25" s="5" t="n"/>
      <c r="H25" s="5" t="n"/>
      <c r="I25" s="5" t="n"/>
      <c r="J25" s="5" t="n"/>
    </row>
    <row r="26">
      <c r="A26" t="n">
        <v>23</v>
      </c>
      <c r="B26" s="8" t="n"/>
      <c r="C26" s="4" t="n"/>
      <c r="D26" s="4" t="n"/>
      <c r="E26" s="4" t="n"/>
      <c r="F26" s="4" t="n"/>
      <c r="G26" s="5" t="n"/>
      <c r="H26" s="5" t="n"/>
      <c r="I26" s="5" t="n"/>
      <c r="J26" s="5" t="n"/>
    </row>
    <row r="27">
      <c r="A27" t="n">
        <v>24</v>
      </c>
      <c r="B27" s="8" t="n"/>
      <c r="C27" s="4" t="n"/>
      <c r="D27" s="4" t="n"/>
      <c r="E27" s="4" t="n"/>
      <c r="F27" s="4" t="n"/>
      <c r="G27" s="5" t="n"/>
      <c r="H27" s="5" t="n"/>
      <c r="I27" s="5" t="n"/>
      <c r="J27" s="5" t="n"/>
    </row>
    <row r="28">
      <c r="A28" t="n">
        <v>25</v>
      </c>
      <c r="B28" s="8" t="n"/>
      <c r="C28" s="4" t="n"/>
      <c r="D28" s="4" t="n"/>
      <c r="E28" s="4" t="n"/>
      <c r="F28" s="4" t="n"/>
      <c r="G28" s="5" t="n"/>
      <c r="H28" s="5" t="n"/>
      <c r="I28" s="5" t="n"/>
      <c r="J28" s="5" t="n"/>
    </row>
    <row r="29">
      <c r="A29" t="n">
        <v>26</v>
      </c>
      <c r="B29" s="8" t="n"/>
      <c r="C29" s="4" t="n"/>
      <c r="D29" s="4" t="n"/>
      <c r="E29" s="4" t="n"/>
      <c r="F29" s="4" t="n"/>
      <c r="G29" s="5" t="n"/>
      <c r="H29" s="5" t="n"/>
      <c r="I29" s="5" t="n"/>
      <c r="J29" s="5" t="n"/>
    </row>
    <row r="30">
      <c r="A30" t="n">
        <v>27</v>
      </c>
      <c r="B30" s="8" t="n"/>
      <c r="C30" s="4" t="n"/>
      <c r="D30" s="4" t="n"/>
      <c r="E30" s="4" t="n"/>
      <c r="F30" s="4" t="n"/>
      <c r="G30" s="5" t="n"/>
      <c r="H30" s="5" t="n"/>
      <c r="I30" s="5" t="n"/>
      <c r="J30" s="5" t="n"/>
    </row>
    <row r="31">
      <c r="A31" t="n">
        <v>28</v>
      </c>
      <c r="B31" s="8" t="n"/>
      <c r="C31" s="4" t="n"/>
      <c r="D31" s="4" t="n"/>
      <c r="E31" s="4" t="n"/>
      <c r="F31" s="4" t="n"/>
      <c r="G31" s="5" t="n"/>
      <c r="H31" s="5" t="n"/>
      <c r="I31" s="5" t="n"/>
      <c r="J31" s="5" t="n"/>
    </row>
    <row r="32">
      <c r="A32" t="n">
        <v>29</v>
      </c>
      <c r="B32" s="8" t="n"/>
      <c r="C32" s="4" t="n"/>
      <c r="D32" s="4" t="n"/>
      <c r="E32" s="4" t="n"/>
      <c r="F32" s="4" t="n"/>
      <c r="G32" s="5" t="n"/>
      <c r="H32" s="5" t="n"/>
      <c r="I32" s="5" t="n"/>
      <c r="J32" s="5" t="n"/>
    </row>
    <row r="33">
      <c r="A33" t="n">
        <v>30</v>
      </c>
      <c r="B33" s="8" t="n"/>
      <c r="C33" s="4" t="n"/>
      <c r="D33" s="4" t="n"/>
      <c r="E33" s="4" t="n"/>
      <c r="F33" s="4" t="n"/>
      <c r="G33" s="5" t="n"/>
      <c r="H33" s="5" t="n"/>
      <c r="I33" s="5" t="n"/>
      <c r="J33" s="5" t="n"/>
    </row>
    <row r="34">
      <c r="A34" t="n">
        <v>31</v>
      </c>
      <c r="B34" s="8" t="n"/>
      <c r="C34" s="4" t="n"/>
      <c r="D34" s="4" t="n"/>
      <c r="E34" s="4" t="n"/>
      <c r="F34" s="4" t="n"/>
      <c r="G34" s="5" t="n"/>
      <c r="H34" s="5" t="n"/>
      <c r="I34" s="5" t="n"/>
      <c r="J34" s="5" t="n"/>
    </row>
    <row r="35">
      <c r="A35" t="n">
        <v>32</v>
      </c>
      <c r="B35" s="8" t="n"/>
      <c r="C35" s="4" t="n"/>
      <c r="D35" s="4" t="n"/>
      <c r="E35" s="4" t="n"/>
      <c r="F35" s="4" t="n"/>
      <c r="G35" s="5" t="n"/>
      <c r="H35" s="5" t="n"/>
      <c r="I35" s="5" t="n"/>
      <c r="J35" s="5" t="n"/>
    </row>
    <row r="36">
      <c r="A36" t="n">
        <v>33</v>
      </c>
      <c r="B36" s="8" t="n"/>
      <c r="C36" s="4" t="n"/>
      <c r="D36" s="4" t="n"/>
      <c r="E36" s="4" t="n"/>
      <c r="F36" s="4" t="n"/>
      <c r="G36" s="5" t="n"/>
      <c r="H36" s="5" t="n"/>
      <c r="I36" s="5" t="n"/>
      <c r="J36" s="5" t="n"/>
    </row>
    <row r="37">
      <c r="A37" t="n">
        <v>34</v>
      </c>
      <c r="B37" s="8" t="n"/>
      <c r="C37" s="4" t="n"/>
      <c r="D37" s="4" t="n"/>
      <c r="E37" s="4" t="n"/>
      <c r="F37" s="4" t="n"/>
      <c r="G37" s="5" t="n"/>
      <c r="H37" s="5" t="n"/>
      <c r="I37" s="5" t="n"/>
      <c r="J37" s="5" t="n"/>
    </row>
    <row r="38">
      <c r="A38" t="n">
        <v>35</v>
      </c>
      <c r="B38" s="8" t="n"/>
      <c r="C38" s="4" t="n"/>
      <c r="D38" s="4" t="n"/>
      <c r="E38" s="4" t="n"/>
      <c r="F38" s="4" t="n"/>
      <c r="G38" s="5" t="n"/>
      <c r="H38" s="5" t="n"/>
      <c r="I38" s="5" t="n"/>
      <c r="J38" s="5" t="n"/>
    </row>
    <row r="39">
      <c r="A39" t="n">
        <v>36</v>
      </c>
      <c r="B39" s="8" t="n"/>
      <c r="C39" s="4" t="n"/>
      <c r="D39" s="4" t="n"/>
      <c r="E39" s="4" t="n"/>
      <c r="F39" s="4" t="n"/>
      <c r="G39" s="5" t="n"/>
      <c r="H39" s="5" t="n"/>
      <c r="I39" s="5" t="n"/>
      <c r="J39" s="5" t="n"/>
    </row>
    <row r="40">
      <c r="A40" t="n">
        <v>37</v>
      </c>
      <c r="B40" s="8" t="n"/>
      <c r="C40" s="4" t="n"/>
      <c r="D40" s="4" t="n"/>
      <c r="E40" s="4" t="n"/>
      <c r="F40" s="4" t="n"/>
      <c r="G40" s="5" t="n"/>
      <c r="H40" s="5" t="n"/>
      <c r="I40" s="5" t="n"/>
      <c r="J40" s="5" t="n"/>
    </row>
    <row r="41">
      <c r="A41" t="n">
        <v>38</v>
      </c>
      <c r="B41" s="8" t="n"/>
      <c r="C41" s="4" t="n"/>
      <c r="D41" s="4" t="n"/>
      <c r="E41" s="4" t="n"/>
      <c r="F41" s="4" t="n"/>
      <c r="G41" s="5" t="n"/>
      <c r="H41" s="5" t="n"/>
      <c r="I41" s="5" t="n"/>
      <c r="J41" s="5" t="n"/>
    </row>
    <row r="42">
      <c r="A42" t="n">
        <v>39</v>
      </c>
      <c r="B42" s="8" t="n"/>
      <c r="C42" s="4" t="n"/>
      <c r="D42" s="4" t="n"/>
      <c r="E42" s="4" t="n"/>
      <c r="F42" s="4" t="n"/>
      <c r="G42" s="5" t="n"/>
      <c r="H42" s="5" t="n"/>
      <c r="I42" s="5" t="n"/>
      <c r="J42" s="5" t="n"/>
    </row>
    <row r="43">
      <c r="A43" t="n">
        <v>40</v>
      </c>
      <c r="B43" s="8" t="n"/>
      <c r="C43" s="4" t="n"/>
      <c r="D43" s="4" t="n"/>
      <c r="E43" s="4" t="n"/>
      <c r="F43" s="4" t="n"/>
      <c r="G43" s="5" t="n"/>
      <c r="H43" s="5" t="n"/>
      <c r="I43" s="5" t="n"/>
      <c r="J43" s="5" t="n"/>
    </row>
    <row r="44">
      <c r="A44" t="n">
        <v>41</v>
      </c>
      <c r="B44" s="8" t="n"/>
      <c r="C44" s="4" t="n"/>
      <c r="D44" s="4" t="n"/>
      <c r="E44" s="4" t="n"/>
      <c r="F44" s="4" t="n"/>
      <c r="G44" s="5" t="n"/>
      <c r="H44" s="5" t="n"/>
      <c r="I44" s="5" t="n"/>
      <c r="J44" s="5" t="n"/>
    </row>
    <row r="45">
      <c r="A45" t="n">
        <v>42</v>
      </c>
      <c r="B45" s="8" t="n"/>
      <c r="C45" s="4" t="n"/>
      <c r="D45" s="4" t="n"/>
      <c r="E45" s="4" t="n"/>
      <c r="F45" s="4" t="n"/>
      <c r="G45" s="5" t="n"/>
      <c r="H45" s="5" t="n"/>
      <c r="I45" s="5" t="n"/>
      <c r="J45" s="5" t="n"/>
    </row>
    <row r="46">
      <c r="A46" t="n">
        <v>43</v>
      </c>
      <c r="B46" s="8" t="n"/>
      <c r="C46" s="4" t="n"/>
      <c r="D46" s="4" t="n"/>
      <c r="E46" s="4" t="n"/>
      <c r="F46" s="4" t="n"/>
      <c r="G46" s="5" t="n"/>
      <c r="H46" s="5" t="n"/>
      <c r="I46" s="5" t="n"/>
      <c r="J46" s="5" t="n"/>
    </row>
    <row r="47">
      <c r="A47" t="n">
        <v>44</v>
      </c>
      <c r="B47" s="8" t="n"/>
      <c r="C47" s="4" t="n"/>
      <c r="D47" s="4" t="n"/>
      <c r="E47" s="4" t="n"/>
      <c r="F47" s="4" t="n"/>
      <c r="G47" s="5" t="n"/>
      <c r="H47" s="5" t="n"/>
      <c r="I47" s="5" t="n"/>
      <c r="J47" s="5" t="n"/>
    </row>
    <row r="48">
      <c r="A48" t="n">
        <v>45</v>
      </c>
      <c r="B48" s="8" t="n"/>
      <c r="C48" s="4" t="n"/>
      <c r="D48" s="4" t="n"/>
      <c r="E48" s="4" t="n"/>
      <c r="F48" s="4" t="n"/>
      <c r="G48" s="5" t="n"/>
      <c r="H48" s="5" t="n"/>
      <c r="I48" s="5" t="n"/>
      <c r="J48" s="5" t="n"/>
    </row>
    <row r="49">
      <c r="A49" t="n">
        <v>46</v>
      </c>
      <c r="B49" s="8" t="n"/>
      <c r="C49" s="4" t="n"/>
      <c r="D49" s="4" t="n"/>
      <c r="E49" s="4" t="n"/>
      <c r="F49" s="4" t="n"/>
      <c r="G49" s="5" t="n"/>
      <c r="H49" s="5" t="n"/>
      <c r="I49" s="5" t="n"/>
      <c r="J49" s="5" t="n"/>
    </row>
    <row r="50">
      <c r="A50" t="n">
        <v>47</v>
      </c>
      <c r="B50" s="8" t="n"/>
      <c r="C50" s="4" t="n"/>
      <c r="D50" s="4" t="n"/>
      <c r="E50" s="4" t="n"/>
      <c r="F50" s="4" t="n"/>
      <c r="G50" s="5" t="n"/>
      <c r="H50" s="5" t="n"/>
      <c r="I50" s="5" t="n"/>
      <c r="J50" s="5" t="n"/>
    </row>
    <row r="51">
      <c r="A51" t="n">
        <v>48</v>
      </c>
      <c r="B51" s="8" t="n"/>
      <c r="C51" s="4" t="n"/>
      <c r="D51" s="4" t="n"/>
      <c r="E51" s="4" t="n"/>
      <c r="F51" s="4" t="n"/>
      <c r="G51" s="5" t="n"/>
      <c r="H51" s="5" t="n"/>
      <c r="I51" s="5" t="n"/>
      <c r="J51" s="5" t="n"/>
    </row>
    <row r="52">
      <c r="A52" t="n">
        <v>49</v>
      </c>
      <c r="B52" s="8" t="n"/>
      <c r="C52" s="4" t="n"/>
      <c r="D52" s="4" t="n"/>
      <c r="E52" s="4" t="n"/>
      <c r="F52" s="4" t="n"/>
      <c r="G52" s="5" t="n"/>
      <c r="H52" s="5" t="n"/>
      <c r="I52" s="5" t="n"/>
      <c r="J52" s="5" t="n"/>
    </row>
    <row r="53">
      <c r="A53" t="n">
        <v>50</v>
      </c>
      <c r="B53" s="8" t="n"/>
      <c r="C53" s="4" t="n"/>
      <c r="D53" s="4" t="n"/>
      <c r="E53" s="4" t="n"/>
      <c r="F53" s="4" t="n"/>
      <c r="G53" s="5" t="n"/>
      <c r="H53" s="5" t="n"/>
      <c r="I53" s="5" t="n"/>
      <c r="J53" s="5" t="n"/>
    </row>
    <row r="54">
      <c r="A54" t="n">
        <v>51</v>
      </c>
      <c r="B54" s="8" t="n"/>
      <c r="C54" s="4" t="n"/>
      <c r="D54" s="4" t="n"/>
      <c r="E54" s="4" t="n"/>
      <c r="F54" s="4" t="n"/>
      <c r="G54" s="5" t="n"/>
      <c r="H54" s="5" t="n"/>
      <c r="I54" s="5" t="n"/>
      <c r="J54" s="5" t="n"/>
    </row>
    <row r="55">
      <c r="A55" t="n">
        <v>52</v>
      </c>
      <c r="B55" s="8" t="n"/>
      <c r="C55" s="4" t="n"/>
      <c r="D55" s="4" t="n"/>
      <c r="E55" s="4" t="n"/>
      <c r="F55" s="4" t="n"/>
      <c r="G55" s="5" t="n"/>
      <c r="H55" s="5" t="n"/>
      <c r="I55" s="5" t="n"/>
      <c r="J55" s="5" t="n"/>
    </row>
    <row r="56">
      <c r="A56" t="n">
        <v>53</v>
      </c>
      <c r="B56" s="8" t="n"/>
      <c r="C56" s="4" t="n"/>
      <c r="D56" s="4" t="n"/>
      <c r="E56" s="4" t="n"/>
      <c r="F56" s="4" t="n"/>
      <c r="G56" s="5" t="n"/>
      <c r="H56" s="5" t="n"/>
      <c r="I56" s="5" t="n"/>
      <c r="J56" s="5" t="n"/>
    </row>
    <row r="57">
      <c r="A57" t="n">
        <v>54</v>
      </c>
      <c r="B57" s="8" t="n"/>
      <c r="C57" s="4" t="n"/>
      <c r="D57" s="4" t="n"/>
      <c r="E57" s="4" t="n"/>
      <c r="F57" s="4" t="n"/>
      <c r="G57" s="5" t="n"/>
      <c r="H57" s="5" t="n"/>
      <c r="I57" s="5" t="n"/>
      <c r="J57" s="5" t="n"/>
    </row>
    <row r="58">
      <c r="A58" t="n">
        <v>55</v>
      </c>
      <c r="B58" s="8" t="n"/>
      <c r="C58" s="4" t="n"/>
      <c r="D58" s="4" t="n"/>
      <c r="E58" s="4" t="n"/>
      <c r="F58" s="4" t="n"/>
      <c r="G58" s="5" t="n"/>
      <c r="H58" s="5" t="n"/>
      <c r="I58" s="5" t="n"/>
      <c r="J58" s="5" t="n"/>
    </row>
    <row r="59">
      <c r="A59" t="n">
        <v>56</v>
      </c>
      <c r="B59" s="8" t="n"/>
      <c r="C59" s="4" t="n"/>
      <c r="D59" s="4" t="n"/>
      <c r="E59" s="4" t="n"/>
      <c r="F59" s="4" t="n"/>
      <c r="G59" s="5" t="n"/>
      <c r="H59" s="5" t="n"/>
      <c r="I59" s="5" t="n"/>
      <c r="J59" s="5" t="n"/>
    </row>
    <row r="60">
      <c r="A60" t="n">
        <v>57</v>
      </c>
      <c r="B60" s="8" t="n"/>
      <c r="C60" s="4" t="n"/>
      <c r="D60" s="4" t="n"/>
      <c r="E60" s="4" t="n"/>
      <c r="F60" s="4" t="n"/>
      <c r="G60" s="5" t="n"/>
      <c r="H60" s="5" t="n"/>
      <c r="I60" s="5" t="n"/>
      <c r="J60" s="5" t="n"/>
    </row>
    <row r="61">
      <c r="A61" t="n">
        <v>58</v>
      </c>
      <c r="B61" s="8" t="n"/>
      <c r="C61" s="4" t="n"/>
      <c r="D61" s="4" t="n"/>
      <c r="E61" s="4" t="n"/>
      <c r="F61" s="4" t="n"/>
      <c r="G61" s="5" t="n"/>
      <c r="H61" s="5" t="n"/>
      <c r="I61" s="5" t="n"/>
      <c r="J61" s="5" t="n"/>
    </row>
    <row r="62">
      <c r="A62" t="n">
        <v>59</v>
      </c>
      <c r="B62" s="8" t="n"/>
      <c r="C62" s="4" t="n"/>
      <c r="D62" s="4" t="n"/>
      <c r="E62" s="4" t="n"/>
      <c r="F62" s="4" t="n"/>
      <c r="G62" s="5" t="n"/>
      <c r="H62" s="5" t="n"/>
      <c r="I62" s="5" t="n"/>
      <c r="J62" s="5" t="n"/>
    </row>
    <row r="63">
      <c r="A63" t="n">
        <v>60</v>
      </c>
      <c r="B63" s="8" t="n"/>
      <c r="C63" s="4" t="n"/>
      <c r="D63" s="4" t="n"/>
      <c r="E63" s="4" t="n"/>
      <c r="F63" s="4" t="n"/>
      <c r="G63" s="5" t="n"/>
      <c r="H63" s="5" t="n"/>
      <c r="I63" s="5" t="n"/>
      <c r="J63" s="5" t="n"/>
    </row>
    <row r="64">
      <c r="A64" t="n">
        <v>61</v>
      </c>
      <c r="B64" s="8" t="n"/>
      <c r="C64" s="4" t="n"/>
      <c r="D64" s="4" t="n"/>
      <c r="E64" s="4" t="n"/>
      <c r="F64" s="4" t="n"/>
      <c r="G64" s="5" t="n"/>
      <c r="H64" s="5" t="n"/>
      <c r="I64" s="5" t="n"/>
      <c r="J64" s="5" t="n"/>
    </row>
    <row r="65">
      <c r="A65" t="n">
        <v>62</v>
      </c>
      <c r="B65" s="8" t="n"/>
      <c r="C65" s="4" t="n"/>
      <c r="D65" s="4" t="n"/>
      <c r="E65" s="4" t="n"/>
      <c r="F65" s="4" t="n"/>
      <c r="G65" s="5" t="n"/>
      <c r="H65" s="5" t="n"/>
      <c r="I65" s="5" t="n"/>
      <c r="J65" s="5" t="n"/>
    </row>
    <row r="66">
      <c r="A66" t="n">
        <v>63</v>
      </c>
      <c r="B66" s="8" t="n"/>
      <c r="C66" s="4" t="n"/>
      <c r="D66" s="4" t="n"/>
      <c r="E66" s="4" t="n"/>
      <c r="F66" s="4" t="n"/>
      <c r="G66" s="5" t="n"/>
      <c r="H66" s="5" t="n"/>
      <c r="I66" s="5" t="n"/>
      <c r="J66" s="5" t="n"/>
    </row>
    <row r="67">
      <c r="A67" t="n">
        <v>64</v>
      </c>
      <c r="B67" s="8" t="n"/>
      <c r="C67" s="4" t="n"/>
      <c r="D67" s="4" t="n"/>
      <c r="E67" s="4" t="n"/>
      <c r="F67" s="4" t="n"/>
      <c r="G67" s="5" t="n"/>
      <c r="H67" s="5" t="n"/>
      <c r="I67" s="5" t="n"/>
      <c r="J67" s="5" t="n"/>
    </row>
    <row r="68">
      <c r="A68" t="n">
        <v>65</v>
      </c>
      <c r="B68" s="8" t="n"/>
      <c r="C68" s="4" t="n"/>
      <c r="D68" s="4" t="n"/>
      <c r="E68" s="4" t="n"/>
      <c r="F68" s="4" t="n"/>
      <c r="G68" s="5" t="n"/>
      <c r="H68" s="5" t="n"/>
      <c r="I68" s="5" t="n"/>
      <c r="J68" s="5" t="n"/>
    </row>
    <row r="69">
      <c r="A69" t="n">
        <v>66</v>
      </c>
      <c r="B69" s="8" t="n"/>
      <c r="C69" s="4" t="n"/>
      <c r="D69" s="4" t="n"/>
      <c r="E69" s="4" t="n"/>
      <c r="F69" s="4" t="n"/>
      <c r="G69" s="5" t="n"/>
      <c r="H69" s="5" t="n"/>
      <c r="I69" s="5" t="n"/>
      <c r="J69" s="5" t="n"/>
    </row>
    <row r="70">
      <c r="A70" t="n">
        <v>67</v>
      </c>
      <c r="B70" s="8" t="n"/>
      <c r="C70" s="4" t="n"/>
      <c r="D70" s="4" t="n"/>
      <c r="E70" s="4" t="n"/>
      <c r="F70" s="4" t="n"/>
      <c r="G70" s="5" t="n"/>
      <c r="H70" s="5" t="n"/>
      <c r="I70" s="5" t="n"/>
      <c r="J70" s="5" t="n"/>
    </row>
    <row r="71">
      <c r="A71" t="n">
        <v>68</v>
      </c>
      <c r="B71" s="8" t="n"/>
      <c r="C71" s="4" t="n"/>
      <c r="D71" s="4" t="n"/>
      <c r="E71" s="4" t="n"/>
      <c r="F71" s="4" t="n"/>
      <c r="G71" s="5" t="n"/>
      <c r="H71" s="5" t="n"/>
      <c r="I71" s="5" t="n"/>
      <c r="J71" s="5" t="n"/>
    </row>
    <row r="72">
      <c r="A72" t="n">
        <v>69</v>
      </c>
      <c r="B72" s="8" t="n"/>
      <c r="C72" s="4" t="n"/>
      <c r="D72" s="4" t="n"/>
      <c r="E72" s="4" t="n"/>
      <c r="F72" s="4" t="n"/>
      <c r="G72" s="5" t="n"/>
      <c r="H72" s="5" t="n"/>
      <c r="I72" s="5" t="n"/>
      <c r="J72" s="5" t="n"/>
    </row>
    <row r="73">
      <c r="A73" t="n">
        <v>70</v>
      </c>
      <c r="B73" s="8" t="n"/>
      <c r="C73" s="4" t="n"/>
      <c r="D73" s="4" t="n"/>
      <c r="E73" s="4" t="n"/>
      <c r="F73" s="4" t="n"/>
      <c r="G73" s="5" t="n"/>
      <c r="H73" s="5" t="n"/>
      <c r="I73" s="5" t="n"/>
      <c r="J73" s="5" t="n"/>
    </row>
    <row r="74">
      <c r="A74" t="n">
        <v>71</v>
      </c>
      <c r="B74" s="8" t="n"/>
      <c r="C74" s="4" t="n"/>
      <c r="D74" s="4" t="n"/>
      <c r="E74" s="4" t="n"/>
      <c r="F74" s="4" t="n"/>
      <c r="G74" s="5" t="n"/>
      <c r="H74" s="5" t="n"/>
      <c r="I74" s="5" t="n"/>
      <c r="J74" s="5" t="n"/>
    </row>
    <row r="75">
      <c r="A75" t="n">
        <v>72</v>
      </c>
      <c r="B75" s="8" t="n"/>
      <c r="C75" s="4" t="n"/>
      <c r="D75" s="4" t="n"/>
      <c r="E75" s="4" t="n"/>
      <c r="F75" s="4" t="n"/>
      <c r="G75" s="5" t="n"/>
      <c r="H75" s="5" t="n"/>
      <c r="I75" s="5" t="n"/>
      <c r="J75" s="5" t="n"/>
    </row>
    <row r="76">
      <c r="A76" t="n">
        <v>73</v>
      </c>
      <c r="B76" s="8" t="n"/>
      <c r="C76" s="4" t="n"/>
      <c r="D76" s="4" t="n"/>
      <c r="E76" s="4" t="n"/>
      <c r="F76" s="4" t="n"/>
      <c r="G76" s="5" t="n"/>
      <c r="H76" s="5" t="n"/>
      <c r="I76" s="5" t="n"/>
      <c r="J76" s="5" t="n"/>
    </row>
    <row r="77">
      <c r="A77" t="n">
        <v>74</v>
      </c>
      <c r="B77" s="8" t="n"/>
      <c r="C77" s="4" t="n"/>
      <c r="D77" s="4" t="n"/>
      <c r="E77" s="4" t="n"/>
      <c r="F77" s="4" t="n"/>
      <c r="G77" s="5" t="n"/>
      <c r="H77" s="5" t="n"/>
      <c r="I77" s="5" t="n"/>
      <c r="J77" s="5" t="n"/>
    </row>
    <row r="78">
      <c r="A78" t="n">
        <v>75</v>
      </c>
      <c r="B78" s="8" t="n"/>
      <c r="C78" s="4" t="n"/>
      <c r="D78" s="4" t="n"/>
      <c r="E78" s="4" t="n"/>
      <c r="F78" s="4" t="n"/>
      <c r="G78" s="5" t="n"/>
      <c r="H78" s="5" t="n"/>
      <c r="I78" s="5" t="n"/>
      <c r="J78" s="5" t="n"/>
    </row>
    <row r="79">
      <c r="A79" t="n">
        <v>76</v>
      </c>
      <c r="B79" s="8" t="n"/>
      <c r="C79" s="4" t="n"/>
      <c r="D79" s="4" t="n"/>
      <c r="E79" s="4" t="n"/>
      <c r="F79" s="4" t="n"/>
      <c r="G79" s="5" t="n"/>
      <c r="H79" s="5" t="n"/>
      <c r="I79" s="5" t="n"/>
      <c r="J79" s="5" t="n"/>
    </row>
    <row r="80">
      <c r="A80" t="n">
        <v>77</v>
      </c>
      <c r="B80" s="8" t="n"/>
      <c r="C80" s="4" t="n"/>
      <c r="D80" s="4" t="n"/>
      <c r="E80" s="4" t="n"/>
      <c r="F80" s="4" t="n"/>
      <c r="G80" s="5" t="n"/>
      <c r="H80" s="5" t="n"/>
      <c r="I80" s="5" t="n"/>
      <c r="J80" s="5" t="n"/>
    </row>
    <row r="81">
      <c r="A81" t="n">
        <v>78</v>
      </c>
      <c r="B81" s="8" t="n"/>
      <c r="C81" s="4" t="n"/>
      <c r="D81" s="4" t="n"/>
      <c r="E81" s="4" t="n"/>
      <c r="F81" s="4" t="n"/>
      <c r="G81" s="5" t="n"/>
      <c r="H81" s="5" t="n"/>
      <c r="I81" s="5" t="n"/>
      <c r="J81" s="5" t="n"/>
    </row>
    <row r="82">
      <c r="A82" t="n">
        <v>79</v>
      </c>
      <c r="B82" s="8" t="n"/>
      <c r="C82" s="4" t="n"/>
      <c r="D82" s="4" t="n"/>
      <c r="E82" s="4" t="n"/>
      <c r="F82" s="4" t="n"/>
      <c r="G82" s="5" t="n"/>
      <c r="H82" s="5" t="n"/>
      <c r="I82" s="5" t="n"/>
      <c r="J82" s="5" t="n"/>
    </row>
    <row r="83">
      <c r="A83" t="n">
        <v>80</v>
      </c>
      <c r="B83" s="8" t="n"/>
      <c r="C83" s="4" t="n"/>
      <c r="D83" s="4" t="n"/>
      <c r="E83" s="4" t="n"/>
      <c r="F83" s="4" t="n"/>
      <c r="G83" s="5" t="n"/>
      <c r="H83" s="5" t="n"/>
      <c r="I83" s="5" t="n"/>
      <c r="J83" s="5" t="n"/>
    </row>
    <row r="84">
      <c r="A84" t="n">
        <v>81</v>
      </c>
      <c r="B84" s="8" t="n"/>
      <c r="C84" s="4" t="n"/>
      <c r="D84" s="4" t="n"/>
      <c r="E84" s="4" t="n"/>
      <c r="F84" s="4" t="n"/>
      <c r="G84" s="5" t="n"/>
      <c r="H84" s="5" t="n"/>
      <c r="I84" s="5" t="n"/>
      <c r="J84" s="5" t="n"/>
    </row>
    <row r="85">
      <c r="A85" t="n">
        <v>82</v>
      </c>
      <c r="B85" s="8" t="n"/>
      <c r="C85" s="4" t="n"/>
      <c r="D85" s="4" t="n"/>
      <c r="E85" s="4" t="n"/>
      <c r="F85" s="4" t="n"/>
      <c r="G85" s="5" t="n"/>
      <c r="H85" s="5" t="n"/>
      <c r="I85" s="5" t="n"/>
      <c r="J85" s="5" t="n"/>
    </row>
    <row r="86">
      <c r="A86" t="n">
        <v>83</v>
      </c>
      <c r="B86" s="8" t="n"/>
      <c r="C86" s="4" t="n"/>
      <c r="D86" s="4" t="n"/>
      <c r="E86" s="4" t="n"/>
      <c r="F86" s="4" t="n"/>
      <c r="G86" s="5" t="n"/>
      <c r="H86" s="5" t="n"/>
      <c r="I86" s="5" t="n"/>
      <c r="J86" s="5" t="n"/>
    </row>
    <row r="87">
      <c r="A87" t="n">
        <v>84</v>
      </c>
      <c r="B87" s="8" t="n"/>
      <c r="C87" s="4" t="n"/>
      <c r="D87" s="4" t="n"/>
      <c r="E87" s="4" t="n"/>
      <c r="F87" s="4" t="n"/>
      <c r="G87" s="5" t="n"/>
      <c r="H87" s="5" t="n"/>
      <c r="I87" s="5" t="n"/>
      <c r="J87" s="5" t="n"/>
    </row>
    <row r="88">
      <c r="A88" t="n">
        <v>85</v>
      </c>
      <c r="B88" s="8" t="n"/>
      <c r="C88" s="4" t="n"/>
      <c r="D88" s="4" t="n"/>
      <c r="E88" s="4" t="n"/>
      <c r="F88" s="4" t="n"/>
      <c r="G88" s="5" t="n"/>
      <c r="H88" s="5" t="n"/>
      <c r="I88" s="5" t="n"/>
      <c r="J88" s="5" t="n"/>
    </row>
    <row r="89">
      <c r="A89" t="n">
        <v>86</v>
      </c>
      <c r="B89" s="8" t="n"/>
      <c r="C89" s="4" t="n"/>
      <c r="D89" s="4" t="n"/>
      <c r="E89" s="4" t="n"/>
      <c r="F89" s="4" t="n"/>
      <c r="G89" s="5" t="n"/>
      <c r="H89" s="5" t="n"/>
      <c r="I89" s="5" t="n"/>
      <c r="J89" s="5" t="n"/>
    </row>
    <row r="90">
      <c r="A90" t="n">
        <v>87</v>
      </c>
      <c r="B90" s="8" t="n"/>
      <c r="C90" s="4" t="n"/>
      <c r="D90" s="4" t="n"/>
      <c r="E90" s="4" t="n"/>
      <c r="F90" s="4" t="n"/>
      <c r="G90" s="5" t="n"/>
      <c r="H90" s="5" t="n"/>
      <c r="I90" s="5" t="n"/>
      <c r="J90" s="5" t="n"/>
    </row>
    <row r="91">
      <c r="A91" t="n">
        <v>88</v>
      </c>
      <c r="B91" s="8" t="n"/>
      <c r="C91" s="4" t="n"/>
      <c r="D91" s="4" t="n"/>
      <c r="E91" s="4" t="n"/>
      <c r="F91" s="4" t="n"/>
      <c r="G91" s="5" t="n"/>
      <c r="H91" s="5" t="n"/>
      <c r="I91" s="5" t="n"/>
      <c r="J91" s="5" t="n"/>
    </row>
    <row r="92">
      <c r="A92" t="n">
        <v>89</v>
      </c>
      <c r="B92" s="8" t="n"/>
      <c r="C92" s="4" t="n"/>
      <c r="D92" s="4" t="n"/>
      <c r="E92" s="4" t="n"/>
      <c r="F92" s="4" t="n"/>
      <c r="G92" s="5" t="n"/>
      <c r="H92" s="5" t="n"/>
      <c r="I92" s="5" t="n"/>
      <c r="J92" s="5" t="n"/>
    </row>
    <row r="93">
      <c r="A93" t="n">
        <v>90</v>
      </c>
      <c r="B93" s="8" t="n"/>
      <c r="C93" s="4" t="n"/>
      <c r="D93" s="4" t="n"/>
      <c r="E93" s="4" t="n"/>
      <c r="F93" s="4" t="n"/>
      <c r="G93" s="5" t="n"/>
      <c r="H93" s="5" t="n"/>
      <c r="I93" s="5" t="n"/>
      <c r="J93" s="5" t="n"/>
    </row>
    <row r="94">
      <c r="A94" t="n">
        <v>91</v>
      </c>
      <c r="B94" s="8" t="n"/>
      <c r="C94" s="4" t="n"/>
      <c r="D94" s="4" t="n"/>
      <c r="E94" s="4" t="n"/>
      <c r="F94" s="4" t="n"/>
      <c r="G94" s="5" t="n"/>
      <c r="H94" s="5" t="n"/>
      <c r="I94" s="5" t="n"/>
      <c r="J94" s="5" t="n"/>
    </row>
    <row r="95">
      <c r="A95" t="n">
        <v>92</v>
      </c>
      <c r="B95" s="8" t="n"/>
      <c r="C95" s="4" t="n"/>
      <c r="D95" s="4" t="n"/>
      <c r="E95" s="4" t="n"/>
      <c r="F95" s="4" t="n"/>
      <c r="G95" s="5" t="n"/>
      <c r="H95" s="5" t="n"/>
      <c r="I95" s="5" t="n"/>
      <c r="J95" s="5" t="n"/>
    </row>
    <row r="96">
      <c r="A96" t="n">
        <v>93</v>
      </c>
      <c r="B96" s="8" t="n"/>
      <c r="C96" s="4" t="n"/>
      <c r="D96" s="4" t="n"/>
      <c r="E96" s="4" t="n"/>
      <c r="F96" s="4" t="n"/>
      <c r="G96" s="5" t="n"/>
      <c r="H96" s="5" t="n"/>
      <c r="I96" s="5" t="n"/>
      <c r="J96" s="5" t="n"/>
    </row>
    <row r="97">
      <c r="A97" t="n">
        <v>94</v>
      </c>
      <c r="B97" s="8" t="n"/>
      <c r="C97" s="4" t="n"/>
      <c r="D97" s="4" t="n"/>
      <c r="E97" s="4" t="n"/>
      <c r="F97" s="4" t="n"/>
      <c r="G97" s="5" t="n"/>
      <c r="H97" s="5" t="n"/>
      <c r="I97" s="5" t="n"/>
      <c r="J97" s="5" t="n"/>
    </row>
    <row r="98">
      <c r="A98" t="n">
        <v>95</v>
      </c>
      <c r="B98" s="8" t="n"/>
      <c r="C98" s="4" t="n"/>
      <c r="D98" s="4" t="n"/>
      <c r="E98" s="4" t="n"/>
      <c r="F98" s="4" t="n"/>
      <c r="G98" s="5" t="n"/>
      <c r="H98" s="5" t="n"/>
      <c r="I98" s="5" t="n"/>
      <c r="J98" s="5" t="n"/>
    </row>
    <row r="99">
      <c r="A99" t="n">
        <v>96</v>
      </c>
      <c r="B99" s="8" t="n"/>
      <c r="C99" s="4" t="n"/>
      <c r="D99" s="4" t="n"/>
      <c r="E99" s="4" t="n"/>
      <c r="F99" s="4" t="n"/>
      <c r="G99" s="5" t="n"/>
      <c r="H99" s="5" t="n"/>
      <c r="I99" s="5" t="n"/>
      <c r="J99" s="5" t="n"/>
    </row>
    <row r="100">
      <c r="A100" t="n">
        <v>97</v>
      </c>
      <c r="B100" s="8" t="n"/>
      <c r="C100" s="4" t="n"/>
      <c r="D100" s="4" t="n"/>
      <c r="E100" s="4" t="n"/>
      <c r="F100" s="4" t="n"/>
      <c r="G100" s="5" t="n"/>
      <c r="H100" s="5" t="n"/>
      <c r="I100" s="5" t="n"/>
      <c r="J100" s="5" t="n"/>
    </row>
    <row r="101">
      <c r="A101" t="n">
        <v>98</v>
      </c>
      <c r="B101" s="8" t="n"/>
      <c r="C101" s="4" t="n"/>
      <c r="D101" s="4" t="n"/>
      <c r="E101" s="4" t="n"/>
      <c r="F101" s="4" t="n"/>
      <c r="G101" s="5" t="n"/>
      <c r="H101" s="5" t="n"/>
      <c r="I101" s="5" t="n"/>
      <c r="J101" s="5" t="n"/>
    </row>
    <row r="102">
      <c r="A102" t="n">
        <v>99</v>
      </c>
      <c r="B102" s="8" t="n"/>
      <c r="C102" s="4" t="n"/>
      <c r="D102" s="4" t="n"/>
      <c r="E102" s="4" t="n"/>
      <c r="F102" s="4" t="n"/>
      <c r="G102" s="5" t="n"/>
      <c r="H102" s="5" t="n"/>
      <c r="I102" s="5" t="n"/>
      <c r="J102" s="5" t="n"/>
    </row>
    <row r="103">
      <c r="A103" t="n">
        <v>100</v>
      </c>
      <c r="B103" s="8" t="n"/>
      <c r="C103" s="4" t="n"/>
      <c r="D103" s="4" t="n"/>
      <c r="E103" s="4" t="n"/>
      <c r="F103" s="4" t="n"/>
      <c r="G103" s="5" t="n"/>
      <c r="H103" s="5" t="n"/>
      <c r="I103" s="5" t="n"/>
      <c r="J103" s="5" t="n"/>
    </row>
    <row r="104">
      <c r="A104" t="n">
        <v>101</v>
      </c>
      <c r="B104" s="8" t="n"/>
      <c r="C104" s="4" t="n"/>
      <c r="D104" s="4" t="n"/>
      <c r="E104" s="4" t="n"/>
      <c r="F104" s="4" t="n"/>
      <c r="G104" s="5" t="n"/>
      <c r="H104" s="5" t="n"/>
      <c r="I104" s="5" t="n"/>
      <c r="J104" s="5" t="n"/>
    </row>
    <row r="105">
      <c r="A105" t="n">
        <v>102</v>
      </c>
      <c r="B105" s="8" t="n"/>
      <c r="C105" s="4" t="n"/>
      <c r="D105" s="4" t="n"/>
      <c r="E105" s="4" t="n"/>
      <c r="F105" s="4" t="n"/>
      <c r="G105" s="5" t="n"/>
      <c r="H105" s="5" t="n"/>
      <c r="I105" s="5" t="n"/>
      <c r="J105" s="5" t="n"/>
    </row>
    <row r="106">
      <c r="A106" t="n">
        <v>103</v>
      </c>
      <c r="B106" s="8" t="n"/>
      <c r="C106" s="4" t="n"/>
      <c r="D106" s="4" t="n"/>
      <c r="E106" s="4" t="n"/>
      <c r="F106" s="4" t="n"/>
      <c r="G106" s="5" t="n"/>
      <c r="H106" s="5" t="n"/>
      <c r="I106" s="5" t="n"/>
      <c r="J106" s="5" t="n"/>
    </row>
    <row r="107">
      <c r="A107" t="n">
        <v>104</v>
      </c>
      <c r="B107" s="8" t="n"/>
      <c r="C107" s="4" t="n"/>
      <c r="D107" s="4" t="n"/>
      <c r="E107" s="4" t="n"/>
      <c r="F107" s="4" t="n"/>
      <c r="G107" s="5" t="n"/>
      <c r="H107" s="5" t="n"/>
      <c r="I107" s="5" t="n"/>
      <c r="J107" s="5" t="n"/>
    </row>
    <row r="108">
      <c r="A108" t="n">
        <v>105</v>
      </c>
      <c r="B108" s="8" t="n"/>
      <c r="C108" s="4" t="n"/>
      <c r="D108" s="4" t="n"/>
      <c r="E108" s="4" t="n"/>
      <c r="F108" s="4" t="n"/>
      <c r="G108" s="5" t="n"/>
      <c r="H108" s="5" t="n"/>
      <c r="I108" s="5" t="n"/>
      <c r="J108" s="5" t="n"/>
    </row>
    <row r="109">
      <c r="A109" t="n">
        <v>106</v>
      </c>
      <c r="B109" s="8" t="n"/>
      <c r="C109" s="4" t="n"/>
      <c r="D109" s="4" t="n"/>
      <c r="E109" s="4" t="n"/>
      <c r="F109" s="4" t="n"/>
      <c r="G109" s="5" t="n"/>
      <c r="H109" s="5" t="n"/>
      <c r="I109" s="5" t="n"/>
      <c r="J109" s="5" t="n"/>
    </row>
    <row r="110">
      <c r="A110" t="n">
        <v>107</v>
      </c>
      <c r="B110" s="8" t="n"/>
      <c r="C110" s="4" t="n"/>
      <c r="D110" s="4" t="n"/>
      <c r="E110" s="4" t="n"/>
      <c r="F110" s="4" t="n"/>
      <c r="G110" s="5" t="n"/>
      <c r="H110" s="5" t="n"/>
      <c r="I110" s="5" t="n"/>
      <c r="J110" s="5" t="n"/>
    </row>
    <row r="111">
      <c r="A111" t="n">
        <v>108</v>
      </c>
      <c r="B111" s="8" t="n"/>
      <c r="C111" s="4" t="n"/>
      <c r="D111" s="4" t="n"/>
      <c r="E111" s="4" t="n"/>
      <c r="F111" s="4" t="n"/>
      <c r="G111" s="5" t="n"/>
      <c r="H111" s="5" t="n"/>
      <c r="I111" s="5" t="n"/>
      <c r="J111" s="5" t="n"/>
    </row>
    <row r="112">
      <c r="A112" t="n">
        <v>109</v>
      </c>
      <c r="B112" s="8" t="n"/>
      <c r="C112" s="4" t="n"/>
      <c r="D112" s="4" t="n"/>
      <c r="E112" s="4" t="n"/>
      <c r="F112" s="4" t="n"/>
      <c r="G112" s="5" t="n"/>
      <c r="H112" s="5" t="n"/>
      <c r="I112" s="5" t="n"/>
      <c r="J112" s="5" t="n"/>
    </row>
    <row r="113">
      <c r="A113" t="n">
        <v>110</v>
      </c>
      <c r="B113" s="8" t="n"/>
      <c r="C113" s="4" t="n"/>
      <c r="D113" s="4" t="n"/>
      <c r="E113" s="4" t="n"/>
      <c r="F113" s="4" t="n"/>
      <c r="G113" s="5" t="n"/>
      <c r="H113" s="5" t="n"/>
      <c r="I113" s="5" t="n"/>
      <c r="J113" s="5" t="n"/>
    </row>
    <row r="114">
      <c r="A114" t="n">
        <v>111</v>
      </c>
      <c r="B114" s="8" t="n"/>
      <c r="C114" s="4" t="n"/>
      <c r="D114" s="4" t="n"/>
      <c r="E114" s="4" t="n"/>
      <c r="F114" s="4" t="n"/>
      <c r="G114" s="5" t="n"/>
      <c r="H114" s="5" t="n"/>
      <c r="I114" s="5" t="n"/>
      <c r="J114" s="5" t="n"/>
    </row>
    <row r="115">
      <c r="A115" t="n">
        <v>112</v>
      </c>
      <c r="B115" s="8" t="n"/>
      <c r="C115" s="4" t="n"/>
      <c r="D115" s="4" t="n"/>
      <c r="E115" s="4" t="n"/>
      <c r="F115" s="4" t="n"/>
      <c r="G115" s="5" t="n"/>
      <c r="H115" s="5" t="n"/>
      <c r="I115" s="5" t="n"/>
      <c r="J115" s="5" t="n"/>
    </row>
    <row r="116">
      <c r="A116" t="n">
        <v>113</v>
      </c>
      <c r="B116" s="8" t="n"/>
      <c r="C116" s="4" t="n"/>
      <c r="D116" s="4" t="n"/>
      <c r="E116" s="4" t="n"/>
      <c r="F116" s="4" t="n"/>
      <c r="G116" s="5" t="n"/>
      <c r="H116" s="5" t="n"/>
      <c r="I116" s="5" t="n"/>
      <c r="J116" s="5" t="n"/>
    </row>
    <row r="117">
      <c r="A117" t="n">
        <v>114</v>
      </c>
      <c r="B117" s="8" t="n"/>
      <c r="C117" s="4" t="n"/>
      <c r="D117" s="4" t="n"/>
      <c r="E117" s="4" t="n"/>
      <c r="F117" s="4" t="n"/>
      <c r="G117" s="5" t="n"/>
      <c r="H117" s="5" t="n"/>
      <c r="I117" s="5" t="n"/>
      <c r="J117" s="5" t="n"/>
    </row>
    <row r="118">
      <c r="A118" t="n">
        <v>115</v>
      </c>
      <c r="B118" s="8" t="n"/>
      <c r="C118" s="4" t="n"/>
      <c r="D118" s="4" t="n"/>
      <c r="E118" s="4" t="n"/>
      <c r="F118" s="4" t="n"/>
      <c r="G118" s="5" t="n"/>
      <c r="H118" s="5" t="n"/>
      <c r="I118" s="5" t="n"/>
      <c r="J118" s="5" t="n"/>
    </row>
    <row r="119">
      <c r="A119" t="n">
        <v>116</v>
      </c>
      <c r="B119" s="8" t="n"/>
      <c r="C119" s="4" t="n"/>
      <c r="D119" s="4" t="n"/>
      <c r="E119" s="4" t="n"/>
      <c r="F119" s="4" t="n"/>
      <c r="G119" s="5" t="n"/>
      <c r="H119" s="5" t="n"/>
      <c r="I119" s="5" t="n"/>
      <c r="J119" s="5" t="n"/>
    </row>
    <row r="120">
      <c r="A120" t="n">
        <v>117</v>
      </c>
      <c r="B120" s="8" t="n"/>
      <c r="C120" s="4" t="n"/>
      <c r="D120" s="4" t="n"/>
      <c r="E120" s="4" t="n"/>
      <c r="F120" s="4" t="n"/>
      <c r="G120" s="5" t="n"/>
      <c r="H120" s="5" t="n"/>
      <c r="I120" s="5" t="n"/>
      <c r="J120" s="5" t="n"/>
    </row>
    <row r="121">
      <c r="A121" t="n">
        <v>118</v>
      </c>
      <c r="B121" s="8" t="n"/>
      <c r="C121" s="4" t="n"/>
      <c r="D121" s="4" t="n"/>
      <c r="E121" s="4" t="n"/>
      <c r="F121" s="4" t="n"/>
      <c r="G121" s="5" t="n"/>
      <c r="H121" s="5" t="n"/>
      <c r="I121" s="5" t="n"/>
      <c r="J121" s="5" t="n"/>
    </row>
    <row r="122">
      <c r="A122" t="n">
        <v>119</v>
      </c>
      <c r="B122" s="8" t="n"/>
      <c r="C122" s="4" t="n"/>
      <c r="D122" s="4" t="n"/>
      <c r="E122" s="4" t="n"/>
      <c r="F122" s="4" t="n"/>
      <c r="G122" s="5" t="n"/>
      <c r="H122" s="5" t="n"/>
      <c r="I122" s="5" t="n"/>
      <c r="J122" s="5" t="n"/>
    </row>
    <row r="123">
      <c r="A123" t="n">
        <v>120</v>
      </c>
      <c r="B123" s="8" t="n"/>
      <c r="C123" s="4" t="n"/>
      <c r="D123" s="4" t="n"/>
      <c r="E123" s="4" t="n"/>
      <c r="F123" s="4" t="n"/>
      <c r="G123" s="5" t="n"/>
      <c r="H123" s="5" t="n"/>
      <c r="I123" s="5" t="n"/>
      <c r="J123" s="5" t="n"/>
    </row>
    <row r="124">
      <c r="A124" t="n">
        <v>121</v>
      </c>
      <c r="B124" s="8" t="n"/>
      <c r="C124" s="4" t="n"/>
      <c r="D124" s="4" t="n"/>
      <c r="E124" s="4" t="n"/>
      <c r="F124" s="4" t="n"/>
      <c r="G124" s="5" t="n"/>
      <c r="H124" s="5" t="n"/>
      <c r="I124" s="5" t="n"/>
      <c r="J124" s="5" t="n"/>
    </row>
    <row r="125">
      <c r="A125" t="n">
        <v>122</v>
      </c>
      <c r="B125" s="8" t="n"/>
      <c r="C125" s="4" t="n"/>
      <c r="D125" s="4" t="n"/>
      <c r="E125" s="4" t="n"/>
      <c r="F125" s="4" t="n"/>
      <c r="G125" s="5" t="n"/>
      <c r="H125" s="5" t="n"/>
      <c r="I125" s="5" t="n"/>
      <c r="J125" s="5" t="n"/>
    </row>
    <row r="126">
      <c r="A126" t="n">
        <v>123</v>
      </c>
      <c r="B126" s="8" t="n"/>
      <c r="C126" s="4" t="n"/>
      <c r="D126" s="4" t="n"/>
      <c r="E126" s="4" t="n"/>
      <c r="F126" s="4" t="n"/>
      <c r="G126" s="5" t="n"/>
      <c r="H126" s="5" t="n"/>
      <c r="I126" s="5" t="n"/>
      <c r="J126" s="5" t="n"/>
    </row>
    <row r="127">
      <c r="A127" t="n">
        <v>124</v>
      </c>
      <c r="B127" s="8" t="n"/>
      <c r="C127" s="4" t="n"/>
      <c r="D127" s="4" t="n"/>
      <c r="E127" s="4" t="n"/>
      <c r="F127" s="4" t="n"/>
      <c r="G127" s="5" t="n"/>
      <c r="H127" s="5" t="n"/>
      <c r="I127" s="5" t="n"/>
      <c r="J127" s="5" t="n"/>
    </row>
    <row r="128">
      <c r="A128" t="n">
        <v>125</v>
      </c>
      <c r="B128" s="8" t="n"/>
      <c r="C128" s="4" t="n"/>
      <c r="D128" s="4" t="n"/>
      <c r="E128" s="4" t="n"/>
      <c r="F128" s="4" t="n"/>
      <c r="G128" s="5" t="n"/>
      <c r="H128" s="5" t="n"/>
      <c r="I128" s="5" t="n"/>
      <c r="J128" s="5" t="n"/>
    </row>
    <row r="129">
      <c r="A129" t="n">
        <v>126</v>
      </c>
      <c r="B129" s="8" t="n"/>
      <c r="C129" s="4" t="n"/>
      <c r="D129" s="4" t="n"/>
      <c r="E129" s="4" t="n"/>
      <c r="F129" s="4" t="n"/>
      <c r="G129" s="5" t="n"/>
      <c r="H129" s="5" t="n"/>
      <c r="I129" s="5" t="n"/>
      <c r="J129" s="5" t="n"/>
    </row>
    <row r="130">
      <c r="A130" t="n">
        <v>127</v>
      </c>
      <c r="B130" s="8" t="n"/>
      <c r="C130" s="4" t="n"/>
      <c r="D130" s="4" t="n"/>
      <c r="E130" s="4" t="n"/>
      <c r="F130" s="4" t="n"/>
      <c r="G130" s="5" t="n"/>
      <c r="H130" s="5" t="n"/>
      <c r="I130" s="5" t="n"/>
      <c r="J130" s="5" t="n"/>
    </row>
    <row r="131">
      <c r="A131" t="n">
        <v>128</v>
      </c>
      <c r="B131" s="8" t="n"/>
      <c r="C131" s="4" t="n"/>
      <c r="D131" s="4" t="n"/>
      <c r="E131" s="4" t="n"/>
      <c r="F131" s="4" t="n"/>
      <c r="G131" s="5" t="n"/>
      <c r="H131" s="5" t="n"/>
      <c r="I131" s="5" t="n"/>
      <c r="J131" s="5" t="n"/>
    </row>
    <row r="132">
      <c r="A132" t="n">
        <v>129</v>
      </c>
      <c r="B132" s="8" t="n"/>
      <c r="C132" s="4" t="n"/>
      <c r="D132" s="4" t="n"/>
      <c r="E132" s="4" t="n"/>
      <c r="F132" s="4" t="n"/>
      <c r="G132" s="5" t="n"/>
      <c r="H132" s="5" t="n"/>
      <c r="I132" s="5" t="n"/>
      <c r="J132" s="5" t="n"/>
    </row>
    <row r="133">
      <c r="A133" t="n">
        <v>130</v>
      </c>
      <c r="B133" s="8" t="n"/>
      <c r="C133" s="4" t="n"/>
      <c r="D133" s="4" t="n"/>
      <c r="E133" s="4" t="n"/>
      <c r="F133" s="4" t="n"/>
      <c r="G133" s="5" t="n"/>
      <c r="H133" s="5" t="n"/>
      <c r="I133" s="5" t="n"/>
      <c r="J133" s="5" t="n"/>
    </row>
    <row r="134">
      <c r="A134" t="n">
        <v>131</v>
      </c>
      <c r="B134" s="8" t="n"/>
      <c r="C134" s="4" t="n"/>
      <c r="D134" s="4" t="n"/>
      <c r="E134" s="4" t="n"/>
      <c r="F134" s="4" t="n"/>
      <c r="G134" s="5" t="n"/>
      <c r="H134" s="5" t="n"/>
      <c r="I134" s="5" t="n"/>
      <c r="J134" s="5" t="n"/>
    </row>
    <row r="135">
      <c r="A135" t="n">
        <v>132</v>
      </c>
      <c r="B135" s="8" t="n"/>
      <c r="C135" s="4" t="n"/>
      <c r="D135" s="4" t="n"/>
      <c r="E135" s="4" t="n"/>
      <c r="F135" s="4" t="n"/>
      <c r="G135" s="5" t="n"/>
      <c r="H135" s="5" t="n"/>
      <c r="I135" s="5" t="n"/>
      <c r="J135" s="5" t="n"/>
    </row>
    <row r="136">
      <c r="A136" t="n">
        <v>133</v>
      </c>
      <c r="B136" s="8" t="n"/>
      <c r="C136" s="4" t="n"/>
      <c r="D136" s="4" t="n"/>
      <c r="E136" s="4" t="n"/>
      <c r="F136" s="4" t="n"/>
      <c r="G136" s="5" t="n"/>
      <c r="H136" s="5" t="n"/>
      <c r="I136" s="5" t="n"/>
      <c r="J136" s="5" t="n"/>
    </row>
    <row r="137">
      <c r="A137" t="n">
        <v>134</v>
      </c>
      <c r="B137" s="8" t="n"/>
      <c r="C137" s="4" t="n"/>
      <c r="D137" s="4" t="n"/>
      <c r="E137" s="4" t="n"/>
      <c r="F137" s="4" t="n"/>
      <c r="G137" s="5" t="n"/>
      <c r="H137" s="5" t="n"/>
      <c r="I137" s="5" t="n"/>
      <c r="J137" s="5" t="n"/>
    </row>
    <row r="138">
      <c r="A138" t="n">
        <v>135</v>
      </c>
      <c r="B138" s="8" t="n"/>
      <c r="C138" s="4" t="n"/>
      <c r="D138" s="4" t="n"/>
      <c r="E138" s="4" t="n"/>
      <c r="F138" s="4" t="n"/>
      <c r="G138" s="5" t="n"/>
      <c r="H138" s="5" t="n"/>
      <c r="I138" s="5" t="n"/>
      <c r="J138" s="5" t="n"/>
    </row>
    <row r="139">
      <c r="A139" t="n">
        <v>136</v>
      </c>
      <c r="B139" s="8" t="n"/>
      <c r="C139" s="4" t="n"/>
      <c r="D139" s="4" t="n"/>
      <c r="E139" s="4" t="n"/>
      <c r="F139" s="4" t="n"/>
      <c r="G139" s="5" t="n"/>
      <c r="H139" s="5" t="n"/>
      <c r="I139" s="5" t="n"/>
      <c r="J139" s="5" t="n"/>
    </row>
    <row r="140">
      <c r="A140" t="n">
        <v>137</v>
      </c>
      <c r="B140" s="8" t="n"/>
      <c r="C140" s="4" t="n"/>
      <c r="D140" s="4" t="n"/>
      <c r="E140" s="4" t="n"/>
      <c r="F140" s="4" t="n"/>
      <c r="G140" s="5" t="n"/>
      <c r="H140" s="5" t="n"/>
      <c r="I140" s="5" t="n"/>
      <c r="J140" s="5" t="n"/>
    </row>
    <row r="141">
      <c r="A141" t="n">
        <v>138</v>
      </c>
      <c r="B141" s="8" t="n"/>
      <c r="C141" s="4" t="n"/>
      <c r="D141" s="4" t="n"/>
      <c r="E141" s="4" t="n"/>
      <c r="F141" s="4" t="n"/>
      <c r="G141" s="5" t="n"/>
      <c r="H141" s="5" t="n"/>
      <c r="I141" s="5" t="n"/>
      <c r="J141" s="5" t="n"/>
    </row>
    <row r="142">
      <c r="A142" t="n">
        <v>139</v>
      </c>
      <c r="B142" s="8" t="n"/>
      <c r="C142" s="4" t="n"/>
      <c r="D142" s="4" t="n"/>
      <c r="E142" s="4" t="n"/>
      <c r="F142" s="4" t="n"/>
      <c r="G142" s="5" t="n"/>
      <c r="H142" s="5" t="n"/>
      <c r="I142" s="5" t="n"/>
      <c r="J142" s="5" t="n"/>
    </row>
    <row r="143">
      <c r="A143" t="n">
        <v>140</v>
      </c>
      <c r="B143" s="8" t="n"/>
      <c r="C143" s="4" t="n"/>
      <c r="D143" s="4" t="n"/>
      <c r="E143" s="4" t="n"/>
      <c r="F143" s="4" t="n"/>
      <c r="G143" s="5" t="n"/>
      <c r="H143" s="5" t="n"/>
      <c r="I143" s="5" t="n"/>
      <c r="J143" s="5" t="n"/>
    </row>
    <row r="144">
      <c r="A144" t="n">
        <v>141</v>
      </c>
      <c r="B144" s="8" t="n"/>
      <c r="C144" s="4" t="n"/>
      <c r="D144" s="4" t="n"/>
      <c r="E144" s="4" t="n"/>
      <c r="F144" s="4" t="n"/>
      <c r="G144" s="5" t="n"/>
      <c r="H144" s="5" t="n"/>
      <c r="I144" s="5" t="n"/>
      <c r="J144" s="5" t="n"/>
    </row>
    <row r="145">
      <c r="A145" t="n">
        <v>142</v>
      </c>
      <c r="B145" s="8" t="n"/>
      <c r="C145" s="4" t="n"/>
      <c r="D145" s="4" t="n"/>
      <c r="E145" s="4" t="n"/>
      <c r="F145" s="4" t="n"/>
      <c r="G145" s="5" t="n"/>
      <c r="H145" s="5" t="n"/>
      <c r="I145" s="5" t="n"/>
      <c r="J145" s="5" t="n"/>
    </row>
    <row r="146">
      <c r="A146" t="n">
        <v>143</v>
      </c>
      <c r="B146" s="8" t="n"/>
      <c r="C146" s="4" t="n"/>
      <c r="D146" s="4" t="n"/>
      <c r="E146" s="4" t="n"/>
      <c r="F146" s="4" t="n"/>
      <c r="G146" s="5" t="n"/>
      <c r="H146" s="5" t="n"/>
      <c r="I146" s="5" t="n"/>
      <c r="J146" s="5" t="n"/>
    </row>
    <row r="147">
      <c r="A147" t="n">
        <v>144</v>
      </c>
      <c r="B147" s="8" t="n"/>
      <c r="C147" s="4" t="n"/>
      <c r="D147" s="4" t="n"/>
      <c r="E147" s="4" t="n"/>
      <c r="F147" s="4" t="n"/>
      <c r="G147" s="5" t="n"/>
      <c r="H147" s="5" t="n"/>
      <c r="I147" s="5" t="n"/>
      <c r="J147" s="5" t="n"/>
    </row>
    <row r="148">
      <c r="A148" t="n">
        <v>145</v>
      </c>
      <c r="B148" s="8" t="n"/>
      <c r="C148" s="4" t="n"/>
      <c r="D148" s="4" t="n"/>
      <c r="E148" s="4" t="n"/>
      <c r="F148" s="4" t="n"/>
      <c r="G148" s="5" t="n"/>
      <c r="H148" s="5" t="n"/>
      <c r="I148" s="5" t="n"/>
      <c r="J148" s="5" t="n"/>
    </row>
    <row r="149">
      <c r="A149" t="n">
        <v>146</v>
      </c>
      <c r="B149" s="8" t="n"/>
      <c r="C149" s="4" t="n"/>
      <c r="D149" s="4" t="n"/>
      <c r="E149" s="4" t="n"/>
      <c r="F149" s="4" t="n"/>
      <c r="G149" s="5" t="n"/>
      <c r="H149" s="5" t="n"/>
      <c r="I149" s="5" t="n"/>
      <c r="J149" s="5" t="n"/>
    </row>
    <row r="150">
      <c r="A150" t="n">
        <v>147</v>
      </c>
      <c r="B150" s="8" t="n"/>
      <c r="C150" s="4" t="n"/>
      <c r="D150" s="4" t="n"/>
      <c r="E150" s="4" t="n"/>
      <c r="F150" s="4" t="n"/>
      <c r="G150" s="5" t="n"/>
      <c r="H150" s="5" t="n"/>
      <c r="I150" s="5" t="n"/>
      <c r="J150" s="5" t="n"/>
    </row>
    <row r="151">
      <c r="A151" t="n">
        <v>148</v>
      </c>
      <c r="B151" s="8" t="n"/>
      <c r="C151" s="4" t="n"/>
      <c r="D151" s="4" t="n"/>
      <c r="E151" s="4" t="n"/>
      <c r="F151" s="4" t="n"/>
      <c r="G151" s="5" t="n"/>
      <c r="H151" s="5" t="n"/>
      <c r="I151" s="5" t="n"/>
      <c r="J151" s="5" t="n"/>
    </row>
    <row r="152">
      <c r="A152" t="n">
        <v>149</v>
      </c>
      <c r="B152" s="8" t="n"/>
      <c r="C152" s="4" t="n"/>
      <c r="D152" s="4" t="n"/>
      <c r="E152" s="4" t="n"/>
      <c r="F152" s="4" t="n"/>
      <c r="G152" s="5" t="n"/>
      <c r="H152" s="5" t="n"/>
      <c r="I152" s="5" t="n"/>
      <c r="J152" s="5" t="n"/>
    </row>
    <row r="153">
      <c r="A153" t="n">
        <v>150</v>
      </c>
      <c r="B153" s="8" t="n"/>
      <c r="C153" s="4" t="n"/>
      <c r="D153" s="4" t="n"/>
      <c r="E153" s="4" t="n"/>
      <c r="F153" s="4" t="n"/>
      <c r="G153" s="5" t="n"/>
      <c r="H153" s="5" t="n"/>
      <c r="I153" s="5" t="n"/>
      <c r="J153" s="5" t="n"/>
    </row>
    <row r="154">
      <c r="A154" t="n">
        <v>151</v>
      </c>
      <c r="B154" s="8" t="n"/>
      <c r="C154" s="4" t="n"/>
      <c r="D154" s="4" t="n"/>
      <c r="E154" s="4" t="n"/>
      <c r="F154" s="4" t="n"/>
      <c r="G154" s="5" t="n"/>
      <c r="H154" s="5" t="n"/>
      <c r="I154" s="5" t="n"/>
      <c r="J154" s="5" t="n"/>
    </row>
    <row r="155">
      <c r="A155" t="n">
        <v>152</v>
      </c>
      <c r="B155" s="8" t="n"/>
      <c r="C155" s="4" t="n"/>
      <c r="D155" s="4" t="n"/>
      <c r="E155" s="4" t="n"/>
      <c r="F155" s="4" t="n"/>
      <c r="G155" s="5" t="n"/>
      <c r="H155" s="5" t="n"/>
      <c r="I155" s="5" t="n"/>
      <c r="J155" s="5" t="n"/>
    </row>
    <row r="156">
      <c r="A156" t="n">
        <v>153</v>
      </c>
      <c r="B156" s="8" t="n"/>
      <c r="C156" s="4" t="n"/>
      <c r="D156" s="4" t="n"/>
      <c r="E156" s="4" t="n"/>
      <c r="F156" s="4" t="n"/>
      <c r="G156" s="5" t="n"/>
      <c r="H156" s="5" t="n"/>
      <c r="I156" s="5" t="n"/>
      <c r="J156" s="5" t="n"/>
    </row>
    <row r="157">
      <c r="A157" t="n">
        <v>154</v>
      </c>
      <c r="B157" s="8" t="n"/>
      <c r="C157" s="4" t="n"/>
      <c r="D157" s="4" t="n"/>
      <c r="E157" s="4" t="n"/>
      <c r="F157" s="4" t="n"/>
      <c r="G157" s="5" t="n"/>
      <c r="H157" s="5" t="n"/>
      <c r="I157" s="5" t="n"/>
      <c r="J157" s="5" t="n"/>
    </row>
    <row r="158">
      <c r="A158" t="n">
        <v>155</v>
      </c>
      <c r="B158" s="8" t="n"/>
      <c r="C158" s="4" t="n"/>
      <c r="D158" s="4" t="n"/>
      <c r="E158" s="4" t="n"/>
      <c r="F158" s="4" t="n"/>
      <c r="G158" s="5" t="n"/>
      <c r="H158" s="5" t="n"/>
      <c r="I158" s="5" t="n"/>
      <c r="J158" s="5" t="n"/>
    </row>
    <row r="159">
      <c r="A159" t="n">
        <v>156</v>
      </c>
      <c r="B159" s="8" t="n"/>
      <c r="C159" s="4" t="n"/>
      <c r="D159" s="4" t="n"/>
      <c r="E159" s="4" t="n"/>
      <c r="F159" s="4" t="n"/>
      <c r="G159" s="5" t="n"/>
      <c r="H159" s="5" t="n"/>
      <c r="I159" s="5" t="n"/>
      <c r="J159" s="5" t="n"/>
    </row>
    <row r="160">
      <c r="A160" t="n">
        <v>157</v>
      </c>
      <c r="B160" s="8" t="n"/>
      <c r="C160" s="4" t="n"/>
      <c r="D160" s="4" t="n"/>
      <c r="E160" s="4" t="n"/>
      <c r="F160" s="4" t="n"/>
      <c r="G160" s="5" t="n"/>
      <c r="H160" s="5" t="n"/>
      <c r="I160" s="5" t="n"/>
      <c r="J160" s="5" t="n"/>
    </row>
    <row r="161">
      <c r="A161" t="n">
        <v>158</v>
      </c>
      <c r="B161" s="8" t="n"/>
      <c r="C161" s="4" t="n"/>
      <c r="D161" s="4" t="n"/>
      <c r="E161" s="4" t="n"/>
      <c r="F161" s="4" t="n"/>
      <c r="G161" s="5" t="n"/>
      <c r="H161" s="5" t="n"/>
      <c r="I161" s="5" t="n"/>
      <c r="J161" s="5" t="n"/>
    </row>
    <row r="162">
      <c r="A162" t="n">
        <v>159</v>
      </c>
      <c r="B162" s="8" t="n"/>
      <c r="C162" s="4" t="n"/>
      <c r="D162" s="4" t="n"/>
      <c r="E162" s="4" t="n"/>
      <c r="F162" s="4" t="n"/>
      <c r="G162" s="5" t="n"/>
      <c r="H162" s="5" t="n"/>
      <c r="I162" s="5" t="n"/>
      <c r="J162" s="5" t="n"/>
    </row>
    <row r="163">
      <c r="A163" t="n">
        <v>160</v>
      </c>
      <c r="B163" s="8" t="n"/>
      <c r="C163" s="4" t="n"/>
      <c r="D163" s="4" t="n"/>
      <c r="E163" s="4" t="n"/>
      <c r="F163" s="4" t="n"/>
      <c r="G163" s="5" t="n"/>
      <c r="H163" s="5" t="n"/>
      <c r="I163" s="5" t="n"/>
      <c r="J163" s="5" t="n"/>
    </row>
    <row r="164">
      <c r="A164" t="n">
        <v>161</v>
      </c>
      <c r="B164" s="8" t="n"/>
      <c r="C164" s="4" t="n"/>
      <c r="D164" s="4" t="n"/>
      <c r="E164" s="4" t="n"/>
      <c r="F164" s="4" t="n"/>
      <c r="G164" s="5" t="n"/>
      <c r="H164" s="5" t="n"/>
      <c r="I164" s="5" t="n"/>
      <c r="J164" s="5" t="n"/>
    </row>
    <row r="165">
      <c r="A165" t="n">
        <v>162</v>
      </c>
      <c r="B165" s="8" t="n"/>
      <c r="C165" s="4" t="n"/>
      <c r="D165" s="4" t="n"/>
      <c r="E165" s="4" t="n"/>
      <c r="F165" s="4" t="n"/>
      <c r="G165" s="5" t="n"/>
      <c r="H165" s="5" t="n"/>
      <c r="I165" s="5" t="n"/>
      <c r="J165" s="5" t="n"/>
    </row>
    <row r="166">
      <c r="A166" t="n">
        <v>163</v>
      </c>
      <c r="B166" s="8" t="n"/>
      <c r="C166" s="4" t="n"/>
      <c r="D166" s="4" t="n"/>
      <c r="E166" s="4" t="n"/>
      <c r="F166" s="4" t="n"/>
      <c r="G166" s="5" t="n"/>
      <c r="H166" s="5" t="n"/>
      <c r="I166" s="5" t="n"/>
      <c r="J166" s="5" t="n"/>
    </row>
    <row r="167">
      <c r="A167" t="n">
        <v>164</v>
      </c>
      <c r="B167" s="8" t="n"/>
      <c r="C167" s="4" t="n"/>
      <c r="D167" s="4" t="n"/>
      <c r="E167" s="4" t="n"/>
      <c r="F167" s="4" t="n"/>
      <c r="G167" s="5" t="n"/>
      <c r="H167" s="5" t="n"/>
      <c r="I167" s="5" t="n"/>
      <c r="J167" s="5" t="n"/>
    </row>
    <row r="168">
      <c r="A168" t="n">
        <v>165</v>
      </c>
      <c r="B168" s="8" t="n"/>
      <c r="C168" s="4" t="n"/>
      <c r="D168" s="4" t="n"/>
      <c r="E168" s="4" t="n"/>
      <c r="F168" s="4" t="n"/>
      <c r="G168" s="5" t="n"/>
      <c r="H168" s="5" t="n"/>
      <c r="I168" s="5" t="n"/>
      <c r="J168" s="5" t="n"/>
    </row>
    <row r="169">
      <c r="A169" t="n">
        <v>166</v>
      </c>
      <c r="B169" s="8" t="n"/>
      <c r="C169" s="4" t="n"/>
      <c r="D169" s="4" t="n"/>
      <c r="E169" s="4" t="n"/>
      <c r="F169" s="4" t="n"/>
      <c r="G169" s="5" t="n"/>
      <c r="H169" s="5" t="n"/>
      <c r="I169" s="5" t="n"/>
      <c r="J169" s="5" t="n"/>
    </row>
    <row r="170">
      <c r="A170" t="n">
        <v>167</v>
      </c>
      <c r="B170" s="8" t="n"/>
      <c r="C170" s="4" t="n"/>
      <c r="D170" s="4" t="n"/>
      <c r="E170" s="4" t="n"/>
      <c r="F170" s="4" t="n"/>
      <c r="G170" s="5" t="n"/>
      <c r="H170" s="5" t="n"/>
      <c r="I170" s="5" t="n"/>
      <c r="J170" s="5" t="n"/>
    </row>
    <row r="171">
      <c r="A171" t="n">
        <v>168</v>
      </c>
      <c r="B171" s="8" t="n"/>
      <c r="C171" s="4" t="n"/>
      <c r="D171" s="4" t="n"/>
      <c r="E171" s="4" t="n"/>
      <c r="F171" s="4" t="n"/>
      <c r="G171" s="5" t="n"/>
      <c r="H171" s="5" t="n"/>
      <c r="I171" s="5" t="n"/>
      <c r="J171" s="5" t="n"/>
    </row>
    <row r="172">
      <c r="A172" t="n">
        <v>169</v>
      </c>
      <c r="B172" s="8" t="n"/>
      <c r="C172" s="4" t="n"/>
      <c r="D172" s="4" t="n"/>
      <c r="E172" s="4" t="n"/>
      <c r="F172" s="4" t="n"/>
      <c r="G172" s="5" t="n"/>
      <c r="H172" s="5" t="n"/>
      <c r="I172" s="5" t="n"/>
      <c r="J172" s="5" t="n"/>
    </row>
    <row r="173">
      <c r="A173" t="n">
        <v>170</v>
      </c>
      <c r="B173" s="8" t="n"/>
      <c r="C173" s="4" t="n"/>
      <c r="D173" s="4" t="n"/>
      <c r="E173" s="4" t="n"/>
      <c r="F173" s="4" t="n"/>
      <c r="G173" s="5" t="n"/>
      <c r="H173" s="5" t="n"/>
      <c r="I173" s="5" t="n"/>
      <c r="J173" s="5" t="n"/>
    </row>
    <row r="174">
      <c r="A174" t="n">
        <v>171</v>
      </c>
      <c r="B174" s="8" t="n"/>
      <c r="C174" s="4" t="n"/>
      <c r="D174" s="4" t="n"/>
      <c r="E174" s="4" t="n"/>
      <c r="F174" s="4" t="n"/>
      <c r="G174" s="5" t="n"/>
      <c r="H174" s="5" t="n"/>
      <c r="I174" s="5" t="n"/>
      <c r="J174" s="5" t="n"/>
    </row>
    <row r="175">
      <c r="A175" t="n">
        <v>172</v>
      </c>
      <c r="B175" s="8" t="n"/>
      <c r="C175" s="4" t="n"/>
      <c r="D175" s="4" t="n"/>
      <c r="E175" s="4" t="n"/>
      <c r="F175" s="4" t="n"/>
      <c r="G175" s="5" t="n"/>
      <c r="H175" s="5" t="n"/>
      <c r="I175" s="5" t="n"/>
      <c r="J175" s="5" t="n"/>
    </row>
    <row r="176">
      <c r="A176" t="n">
        <v>173</v>
      </c>
      <c r="B176" s="8" t="n"/>
      <c r="C176" s="4" t="n"/>
      <c r="D176" s="4" t="n"/>
      <c r="E176" s="4" t="n"/>
      <c r="F176" s="4" t="n"/>
      <c r="G176" s="5" t="n"/>
      <c r="H176" s="5" t="n"/>
      <c r="I176" s="5" t="n"/>
      <c r="J176" s="5" t="n"/>
    </row>
    <row r="177">
      <c r="A177" t="n">
        <v>174</v>
      </c>
      <c r="B177" s="8" t="n"/>
      <c r="C177" s="4" t="n"/>
      <c r="D177" s="4" t="n"/>
      <c r="E177" s="4" t="n"/>
      <c r="F177" s="4" t="n"/>
      <c r="G177" s="5" t="n"/>
      <c r="H177" s="5" t="n"/>
      <c r="I177" s="5" t="n"/>
      <c r="J177" s="5" t="n"/>
    </row>
    <row r="178">
      <c r="A178" t="n">
        <v>175</v>
      </c>
      <c r="B178" s="8" t="n"/>
      <c r="C178" s="4" t="n"/>
      <c r="D178" s="4" t="n"/>
      <c r="E178" s="4" t="n"/>
      <c r="F178" s="4" t="n"/>
      <c r="G178" s="5" t="n"/>
      <c r="H178" s="5" t="n"/>
      <c r="I178" s="5" t="n"/>
      <c r="J178" s="5" t="n"/>
    </row>
    <row r="179">
      <c r="A179" t="n">
        <v>176</v>
      </c>
      <c r="B179" s="8" t="n"/>
      <c r="C179" s="4" t="n"/>
      <c r="D179" s="4" t="n"/>
      <c r="E179" s="4" t="n"/>
      <c r="F179" s="4" t="n"/>
      <c r="G179" s="5" t="n"/>
      <c r="H179" s="5" t="n"/>
      <c r="I179" s="5" t="n"/>
      <c r="J179" s="5" t="n"/>
    </row>
    <row r="180">
      <c r="A180" t="n">
        <v>177</v>
      </c>
      <c r="B180" s="8" t="n"/>
      <c r="C180" s="4" t="n"/>
      <c r="D180" s="4" t="n"/>
      <c r="E180" s="4" t="n"/>
      <c r="F180" s="4" t="n"/>
      <c r="G180" s="5" t="n"/>
      <c r="H180" s="5" t="n"/>
      <c r="I180" s="5" t="n"/>
      <c r="J180" s="5" t="n"/>
    </row>
    <row r="181">
      <c r="A181" t="n">
        <v>178</v>
      </c>
      <c r="B181" s="8" t="n"/>
      <c r="C181" s="4" t="n"/>
      <c r="D181" s="4" t="n"/>
      <c r="E181" s="4" t="n"/>
      <c r="F181" s="4" t="n"/>
      <c r="G181" s="5" t="n"/>
      <c r="H181" s="5" t="n"/>
      <c r="I181" s="5" t="n"/>
      <c r="J181" s="5" t="n"/>
    </row>
    <row r="182">
      <c r="A182" t="n">
        <v>179</v>
      </c>
      <c r="B182" s="8" t="n"/>
      <c r="C182" s="4" t="n"/>
      <c r="D182" s="4" t="n"/>
      <c r="E182" s="4" t="n"/>
      <c r="F182" s="4" t="n"/>
      <c r="G182" s="5" t="n"/>
      <c r="H182" s="5" t="n"/>
      <c r="I182" s="5" t="n"/>
      <c r="J182" s="5" t="n"/>
    </row>
    <row r="183">
      <c r="A183" t="n">
        <v>180</v>
      </c>
      <c r="B183" s="8" t="n"/>
      <c r="C183" s="4" t="n"/>
      <c r="D183" s="4" t="n"/>
      <c r="E183" s="4" t="n"/>
      <c r="F183" s="4" t="n"/>
      <c r="G183" s="5" t="n"/>
      <c r="H183" s="5" t="n"/>
      <c r="I183" s="5" t="n"/>
      <c r="J183" s="5" t="n"/>
    </row>
    <row r="184">
      <c r="A184" t="n">
        <v>181</v>
      </c>
      <c r="B184" s="8" t="n"/>
      <c r="C184" s="4" t="n"/>
      <c r="D184" s="4" t="n"/>
      <c r="E184" s="4" t="n"/>
      <c r="F184" s="4" t="n"/>
      <c r="G184" s="5" t="n"/>
      <c r="H184" s="5" t="n"/>
      <c r="I184" s="5" t="n"/>
      <c r="J184" s="5" t="n"/>
    </row>
    <row r="185">
      <c r="A185" t="n">
        <v>182</v>
      </c>
      <c r="B185" s="8" t="n"/>
      <c r="C185" s="4" t="n"/>
      <c r="D185" s="4" t="n"/>
      <c r="E185" s="4" t="n"/>
      <c r="F185" s="4" t="n"/>
      <c r="G185" s="5" t="n"/>
      <c r="H185" s="5" t="n"/>
      <c r="I185" s="5" t="n"/>
      <c r="J185" s="5" t="n"/>
    </row>
    <row r="186">
      <c r="A186" t="n">
        <v>183</v>
      </c>
      <c r="B186" s="8" t="n"/>
      <c r="C186" s="4" t="n"/>
      <c r="D186" s="4" t="n"/>
      <c r="E186" s="4" t="n"/>
      <c r="F186" s="4" t="n"/>
      <c r="G186" s="5" t="n"/>
      <c r="H186" s="5" t="n"/>
      <c r="I186" s="5" t="n"/>
      <c r="J186" s="5" t="n"/>
    </row>
    <row r="187">
      <c r="A187" t="n">
        <v>184</v>
      </c>
      <c r="B187" s="8" t="n"/>
      <c r="C187" s="4" t="n"/>
      <c r="D187" s="4" t="n"/>
      <c r="E187" s="4" t="n"/>
      <c r="F187" s="4" t="n"/>
      <c r="G187" s="5" t="n"/>
      <c r="H187" s="5" t="n"/>
      <c r="I187" s="5" t="n"/>
      <c r="J187" s="5" t="n"/>
    </row>
    <row r="188">
      <c r="A188" t="n">
        <v>185</v>
      </c>
      <c r="B188" s="8" t="n"/>
      <c r="C188" s="4" t="n"/>
      <c r="D188" s="4" t="n"/>
      <c r="E188" s="4" t="n"/>
      <c r="F188" s="4" t="n"/>
      <c r="G188" s="5" t="n"/>
      <c r="H188" s="5" t="n"/>
      <c r="I188" s="5" t="n"/>
      <c r="J188" s="5" t="n"/>
    </row>
    <row r="189">
      <c r="A189" t="n">
        <v>186</v>
      </c>
      <c r="B189" s="8" t="n"/>
      <c r="C189" s="4" t="n"/>
      <c r="D189" s="4" t="n"/>
      <c r="E189" s="4" t="n"/>
      <c r="F189" s="4" t="n"/>
      <c r="G189" s="5" t="n"/>
      <c r="H189" s="5" t="n"/>
      <c r="I189" s="5" t="n"/>
      <c r="J189" s="5" t="n"/>
    </row>
    <row r="190">
      <c r="A190" t="n">
        <v>187</v>
      </c>
      <c r="B190" s="8" t="n"/>
      <c r="C190" s="4" t="n"/>
      <c r="D190" s="4" t="n"/>
      <c r="E190" s="4" t="n"/>
      <c r="F190" s="4" t="n"/>
      <c r="G190" s="5" t="n"/>
      <c r="H190" s="5" t="n"/>
      <c r="I190" s="5" t="n"/>
      <c r="J190" s="5" t="n"/>
    </row>
    <row r="191">
      <c r="A191" t="n">
        <v>188</v>
      </c>
      <c r="B191" s="8" t="n"/>
      <c r="C191" s="4" t="n"/>
      <c r="D191" s="4" t="n"/>
      <c r="E191" s="4" t="n"/>
      <c r="F191" s="4" t="n"/>
      <c r="G191" s="5" t="n"/>
      <c r="H191" s="5" t="n"/>
      <c r="I191" s="5" t="n"/>
      <c r="J191" s="5" t="n"/>
    </row>
    <row r="192">
      <c r="A192" t="n">
        <v>189</v>
      </c>
      <c r="B192" s="8" t="n"/>
      <c r="C192" s="4" t="n"/>
      <c r="D192" s="4" t="n"/>
      <c r="E192" s="4" t="n"/>
      <c r="F192" s="4" t="n"/>
      <c r="G192" s="5" t="n"/>
      <c r="H192" s="5" t="n"/>
      <c r="I192" s="5" t="n"/>
      <c r="J192" s="5" t="n"/>
    </row>
    <row r="193">
      <c r="A193" t="n">
        <v>190</v>
      </c>
      <c r="B193" s="8" t="n"/>
      <c r="C193" s="4" t="n"/>
      <c r="D193" s="4" t="n"/>
      <c r="E193" s="4" t="n"/>
      <c r="F193" s="4" t="n"/>
      <c r="G193" s="5" t="n"/>
      <c r="H193" s="5" t="n"/>
      <c r="I193" s="5" t="n"/>
      <c r="J193" s="5" t="n"/>
    </row>
    <row r="194">
      <c r="A194" t="n">
        <v>191</v>
      </c>
      <c r="B194" s="8" t="n"/>
      <c r="C194" s="4" t="n"/>
      <c r="D194" s="4" t="n"/>
      <c r="E194" s="4" t="n"/>
      <c r="F194" s="4" t="n"/>
      <c r="G194" s="5" t="n"/>
      <c r="H194" s="5" t="n"/>
      <c r="I194" s="5" t="n"/>
      <c r="J194" s="5" t="n"/>
    </row>
    <row r="195">
      <c r="A195" t="n">
        <v>192</v>
      </c>
      <c r="B195" s="8" t="n"/>
      <c r="C195" s="4" t="n"/>
      <c r="D195" s="4" t="n"/>
      <c r="E195" s="4" t="n"/>
      <c r="F195" s="4" t="n"/>
      <c r="G195" s="5" t="n"/>
      <c r="H195" s="5" t="n"/>
      <c r="I195" s="5" t="n"/>
      <c r="J195" s="5" t="n"/>
    </row>
    <row r="196">
      <c r="A196" t="n">
        <v>193</v>
      </c>
      <c r="B196" s="8" t="n"/>
      <c r="C196" s="4" t="n"/>
      <c r="D196" s="4" t="n"/>
      <c r="E196" s="4" t="n"/>
      <c r="F196" s="4" t="n"/>
      <c r="G196" s="5" t="n"/>
      <c r="H196" s="5" t="n"/>
      <c r="I196" s="5" t="n"/>
      <c r="J196" s="5" t="n"/>
    </row>
    <row r="197">
      <c r="A197" t="n">
        <v>194</v>
      </c>
      <c r="B197" s="8" t="n"/>
      <c r="C197" s="4" t="n"/>
      <c r="D197" s="4" t="n"/>
      <c r="E197" s="4" t="n"/>
      <c r="F197" s="4" t="n"/>
      <c r="G197" s="5" t="n"/>
      <c r="H197" s="5" t="n"/>
      <c r="I197" s="5" t="n"/>
      <c r="J197" s="5" t="n"/>
    </row>
    <row r="198">
      <c r="A198" t="n">
        <v>195</v>
      </c>
      <c r="B198" s="8" t="n"/>
      <c r="C198" s="4" t="n"/>
      <c r="D198" s="4" t="n"/>
      <c r="E198" s="4" t="n"/>
      <c r="F198" s="4" t="n"/>
      <c r="G198" s="5" t="n"/>
      <c r="H198" s="5" t="n"/>
      <c r="I198" s="5" t="n"/>
      <c r="J198" s="5" t="n"/>
    </row>
    <row r="199">
      <c r="A199" t="n">
        <v>196</v>
      </c>
      <c r="B199" s="8" t="n"/>
      <c r="C199" s="4" t="n"/>
      <c r="D199" s="4" t="n"/>
      <c r="E199" s="4" t="n"/>
      <c r="F199" s="4" t="n"/>
      <c r="G199" s="5" t="n"/>
      <c r="H199" s="5" t="n"/>
      <c r="I199" s="5" t="n"/>
      <c r="J199" s="5" t="n"/>
    </row>
    <row r="200">
      <c r="A200" t="n">
        <v>197</v>
      </c>
      <c r="B200" s="8" t="n"/>
      <c r="C200" s="4" t="n"/>
      <c r="D200" s="4" t="n"/>
      <c r="E200" s="4" t="n"/>
      <c r="F200" s="4" t="n"/>
      <c r="G200" s="5" t="n"/>
      <c r="H200" s="5" t="n"/>
      <c r="I200" s="5" t="n"/>
      <c r="J200" s="5" t="n"/>
    </row>
    <row r="201">
      <c r="A201" t="n">
        <v>198</v>
      </c>
      <c r="B201" s="8" t="n"/>
      <c r="C201" s="4" t="n"/>
      <c r="D201" s="4" t="n"/>
      <c r="E201" s="4" t="n"/>
      <c r="F201" s="4" t="n"/>
      <c r="G201" s="5" t="n"/>
      <c r="H201" s="5" t="n"/>
      <c r="I201" s="5" t="n"/>
      <c r="J201" s="5" t="n"/>
    </row>
    <row r="202">
      <c r="A202" t="n">
        <v>199</v>
      </c>
      <c r="B202" s="8" t="n"/>
      <c r="C202" s="4" t="n"/>
      <c r="D202" s="4" t="n"/>
      <c r="E202" s="4" t="n"/>
      <c r="F202" s="4" t="n"/>
      <c r="G202" s="5" t="n"/>
      <c r="H202" s="5" t="n"/>
      <c r="I202" s="5" t="n"/>
      <c r="J202" s="5" t="n"/>
    </row>
    <row r="203">
      <c r="A203" t="n">
        <v>200</v>
      </c>
      <c r="B203" s="8" t="n"/>
      <c r="C203" s="4" t="n"/>
      <c r="D203" s="4" t="n"/>
      <c r="E203" s="4" t="n"/>
      <c r="F203" s="4" t="n"/>
      <c r="G203" s="5" t="n"/>
      <c r="H203" s="5" t="n"/>
      <c r="I203" s="5" t="n"/>
      <c r="J203" s="5" t="n"/>
    </row>
    <row r="204">
      <c r="A204" t="n">
        <v>201</v>
      </c>
      <c r="B204" s="8" t="n"/>
      <c r="C204" s="4" t="n"/>
      <c r="D204" s="4" t="n"/>
      <c r="E204" s="4" t="n"/>
      <c r="F204" s="4" t="n"/>
      <c r="G204" s="5" t="n"/>
      <c r="H204" s="5" t="n"/>
      <c r="I204" s="5" t="n"/>
      <c r="J204" s="5" t="n"/>
    </row>
    <row r="205">
      <c r="A205" t="n">
        <v>202</v>
      </c>
      <c r="B205" s="8" t="n"/>
      <c r="C205" s="4" t="n"/>
      <c r="D205" s="4" t="n"/>
      <c r="E205" s="4" t="n"/>
      <c r="F205" s="4" t="n"/>
      <c r="G205" s="5" t="n"/>
      <c r="H205" s="5" t="n"/>
      <c r="I205" s="5" t="n"/>
      <c r="J205" s="5" t="n"/>
    </row>
    <row r="206">
      <c r="A206" t="n">
        <v>203</v>
      </c>
      <c r="B206" s="8" t="n"/>
      <c r="C206" s="4" t="n"/>
      <c r="D206" s="4" t="n"/>
      <c r="E206" s="4" t="n"/>
      <c r="F206" s="4" t="n"/>
      <c r="G206" s="5" t="n"/>
      <c r="H206" s="5" t="n"/>
      <c r="I206" s="5" t="n"/>
      <c r="J206" s="5" t="n"/>
    </row>
    <row r="207">
      <c r="A207" t="n">
        <v>204</v>
      </c>
      <c r="B207" s="8" t="n"/>
      <c r="C207" s="4" t="n"/>
      <c r="D207" s="4" t="n"/>
      <c r="E207" s="4" t="n"/>
      <c r="F207" s="4" t="n"/>
      <c r="G207" s="5" t="n"/>
      <c r="H207" s="5" t="n"/>
      <c r="I207" s="5" t="n"/>
      <c r="J207" s="5" t="n"/>
    </row>
    <row r="208">
      <c r="A208" t="n">
        <v>205</v>
      </c>
      <c r="B208" s="8" t="n"/>
      <c r="C208" s="4" t="n"/>
      <c r="D208" s="4" t="n"/>
      <c r="E208" s="4" t="n"/>
      <c r="F208" s="4" t="n"/>
      <c r="G208" s="5" t="n"/>
      <c r="H208" s="5" t="n"/>
      <c r="I208" s="5" t="n"/>
      <c r="J208" s="5" t="n"/>
    </row>
    <row r="209">
      <c r="A209" t="n">
        <v>206</v>
      </c>
      <c r="B209" s="8" t="n"/>
      <c r="C209" s="4" t="n"/>
      <c r="D209" s="4" t="n"/>
      <c r="E209" s="4" t="n"/>
      <c r="F209" s="4" t="n"/>
      <c r="G209" s="5" t="n"/>
      <c r="H209" s="5" t="n"/>
      <c r="I209" s="5" t="n"/>
      <c r="J209" s="5" t="n"/>
    </row>
    <row r="210">
      <c r="A210" t="n">
        <v>207</v>
      </c>
      <c r="B210" s="8" t="n"/>
      <c r="C210" s="4" t="n"/>
      <c r="D210" s="4" t="n"/>
      <c r="E210" s="4" t="n"/>
      <c r="F210" s="4" t="n"/>
      <c r="G210" s="5" t="n"/>
      <c r="H210" s="5" t="n"/>
      <c r="I210" s="5" t="n"/>
      <c r="J210" s="5" t="n"/>
    </row>
    <row r="211">
      <c r="A211" t="n">
        <v>208</v>
      </c>
      <c r="B211" s="8" t="n"/>
      <c r="C211" s="4" t="n"/>
      <c r="D211" s="4" t="n"/>
      <c r="E211" s="4" t="n"/>
      <c r="F211" s="4" t="n"/>
      <c r="G211" s="5" t="n"/>
      <c r="H211" s="5" t="n"/>
      <c r="I211" s="5" t="n"/>
      <c r="J211" s="5" t="n"/>
    </row>
    <row r="212">
      <c r="A212" t="n">
        <v>209</v>
      </c>
      <c r="B212" s="8" t="n"/>
      <c r="C212" s="4" t="n"/>
      <c r="D212" s="4" t="n"/>
      <c r="E212" s="4" t="n"/>
      <c r="F212" s="4" t="n"/>
      <c r="G212" s="5" t="n"/>
      <c r="H212" s="5" t="n"/>
      <c r="I212" s="5" t="n"/>
      <c r="J212" s="5" t="n"/>
    </row>
    <row r="213">
      <c r="A213" t="n">
        <v>210</v>
      </c>
      <c r="B213" s="8" t="n"/>
      <c r="C213" s="4" t="n"/>
      <c r="D213" s="4" t="n"/>
      <c r="E213" s="4" t="n"/>
      <c r="F213" s="4" t="n"/>
      <c r="G213" s="5" t="n"/>
      <c r="H213" s="5" t="n"/>
      <c r="I213" s="5" t="n"/>
      <c r="J213" s="5" t="n"/>
    </row>
    <row r="214">
      <c r="A214" t="n">
        <v>211</v>
      </c>
      <c r="B214" s="8" t="n"/>
      <c r="C214" s="4" t="n"/>
      <c r="D214" s="4" t="n"/>
      <c r="E214" s="4" t="n"/>
      <c r="F214" s="4" t="n"/>
      <c r="G214" s="5" t="n"/>
      <c r="H214" s="5" t="n"/>
      <c r="I214" s="5" t="n"/>
      <c r="J214" s="5" t="n"/>
    </row>
    <row r="215">
      <c r="A215" t="n">
        <v>212</v>
      </c>
      <c r="B215" s="8" t="n"/>
      <c r="C215" s="4" t="n"/>
      <c r="D215" s="4" t="n"/>
      <c r="E215" s="4" t="n"/>
      <c r="F215" s="4" t="n"/>
      <c r="G215" s="5" t="n"/>
      <c r="H215" s="5" t="n"/>
      <c r="I215" s="5" t="n"/>
      <c r="J215" s="5" t="n"/>
    </row>
    <row r="216">
      <c r="A216" t="n">
        <v>213</v>
      </c>
      <c r="B216" s="8" t="n"/>
      <c r="C216" s="4" t="n"/>
      <c r="D216" s="4" t="n"/>
      <c r="E216" s="4" t="n"/>
      <c r="F216" s="4" t="n"/>
      <c r="G216" s="5" t="n"/>
      <c r="H216" s="5" t="n"/>
      <c r="I216" s="5" t="n"/>
      <c r="J216" s="5" t="n"/>
    </row>
    <row r="217">
      <c r="A217" t="n">
        <v>214</v>
      </c>
      <c r="B217" s="8" t="n"/>
      <c r="C217" s="4" t="n"/>
      <c r="D217" s="4" t="n"/>
      <c r="E217" s="4" t="n"/>
      <c r="F217" s="4" t="n"/>
      <c r="G217" s="5" t="n"/>
      <c r="H217" s="5" t="n"/>
      <c r="I217" s="5" t="n"/>
      <c r="J217" s="5" t="n"/>
    </row>
    <row r="218">
      <c r="A218" t="n">
        <v>215</v>
      </c>
      <c r="B218" s="8" t="n"/>
      <c r="C218" s="4" t="n"/>
      <c r="D218" s="4" t="n"/>
      <c r="E218" s="4" t="n"/>
      <c r="F218" s="4" t="n"/>
      <c r="G218" s="5" t="n"/>
      <c r="H218" s="5" t="n"/>
      <c r="I218" s="5" t="n"/>
      <c r="J218" s="5" t="n"/>
    </row>
    <row r="219">
      <c r="A219" t="n">
        <v>216</v>
      </c>
      <c r="B219" s="8" t="n"/>
      <c r="C219" s="4" t="n"/>
      <c r="D219" s="4" t="n"/>
      <c r="E219" s="4" t="n"/>
      <c r="F219" s="4" t="n"/>
      <c r="G219" s="5" t="n"/>
      <c r="H219" s="5" t="n"/>
      <c r="I219" s="5" t="n"/>
      <c r="J219" s="5" t="n"/>
    </row>
    <row r="220">
      <c r="A220" t="n">
        <v>217</v>
      </c>
      <c r="B220" s="8" t="n"/>
      <c r="C220" s="4" t="n"/>
      <c r="D220" s="4" t="n"/>
      <c r="E220" s="4" t="n"/>
      <c r="F220" s="4" t="n"/>
      <c r="G220" s="5" t="n"/>
      <c r="H220" s="5" t="n"/>
      <c r="I220" s="5" t="n"/>
      <c r="J220" s="5" t="n"/>
    </row>
    <row r="221">
      <c r="A221" t="n">
        <v>218</v>
      </c>
      <c r="B221" s="8" t="n"/>
      <c r="C221" s="4" t="n"/>
      <c r="D221" s="4" t="n"/>
      <c r="E221" s="4" t="n"/>
      <c r="F221" s="4" t="n"/>
      <c r="G221" s="5" t="n"/>
      <c r="H221" s="5" t="n"/>
      <c r="I221" s="5" t="n"/>
      <c r="J221" s="5" t="n"/>
    </row>
    <row r="222">
      <c r="A222" t="n">
        <v>219</v>
      </c>
      <c r="B222" s="8" t="n"/>
      <c r="C222" s="4" t="n"/>
      <c r="D222" s="4" t="n"/>
      <c r="E222" s="4" t="n"/>
      <c r="F222" s="4" t="n"/>
      <c r="G222" s="5" t="n"/>
      <c r="H222" s="5" t="n"/>
      <c r="I222" s="5" t="n"/>
      <c r="J222" s="5" t="n"/>
    </row>
    <row r="223">
      <c r="A223" t="n">
        <v>220</v>
      </c>
      <c r="B223" s="8" t="n"/>
      <c r="C223" s="4" t="n"/>
      <c r="D223" s="4" t="n"/>
      <c r="E223" s="4" t="n"/>
      <c r="F223" s="4" t="n"/>
      <c r="G223" s="5" t="n"/>
      <c r="H223" s="5" t="n"/>
      <c r="I223" s="5" t="n"/>
      <c r="J223" s="5" t="n"/>
    </row>
    <row r="224">
      <c r="A224" t="n">
        <v>221</v>
      </c>
      <c r="B224" s="8" t="n"/>
      <c r="C224" s="4" t="n"/>
      <c r="D224" s="4" t="n"/>
      <c r="E224" s="4" t="n"/>
      <c r="F224" s="4" t="n"/>
      <c r="G224" s="5" t="n"/>
      <c r="H224" s="5" t="n"/>
      <c r="I224" s="5" t="n"/>
      <c r="J224" s="5" t="n"/>
    </row>
    <row r="225">
      <c r="A225" t="n">
        <v>222</v>
      </c>
      <c r="B225" s="8" t="n"/>
      <c r="C225" s="4" t="n"/>
      <c r="D225" s="4" t="n"/>
      <c r="E225" s="4" t="n"/>
      <c r="F225" s="4" t="n"/>
      <c r="G225" s="5" t="n"/>
      <c r="H225" s="5" t="n"/>
      <c r="I225" s="5" t="n"/>
      <c r="J225" s="5" t="n"/>
    </row>
    <row r="226">
      <c r="A226" t="n">
        <v>223</v>
      </c>
      <c r="B226" s="8" t="n"/>
      <c r="C226" s="4" t="n"/>
      <c r="D226" s="4" t="n"/>
      <c r="E226" s="4" t="n"/>
      <c r="F226" s="4" t="n"/>
      <c r="G226" s="5" t="n"/>
      <c r="H226" s="5" t="n"/>
      <c r="I226" s="5" t="n"/>
      <c r="J226" s="5" t="n"/>
    </row>
    <row r="227">
      <c r="A227" t="n">
        <v>224</v>
      </c>
      <c r="B227" s="8" t="n"/>
      <c r="C227" s="4" t="n"/>
      <c r="D227" s="4" t="n"/>
      <c r="E227" s="4" t="n"/>
      <c r="F227" s="4" t="n"/>
      <c r="G227" s="5" t="n"/>
      <c r="H227" s="5" t="n"/>
      <c r="I227" s="5" t="n"/>
      <c r="J227" s="5" t="n"/>
    </row>
    <row r="228">
      <c r="A228" t="n">
        <v>225</v>
      </c>
      <c r="B228" s="8" t="n"/>
      <c r="C228" s="4" t="n"/>
      <c r="D228" s="4" t="n"/>
      <c r="E228" s="4" t="n"/>
      <c r="F228" s="4" t="n"/>
      <c r="G228" s="5" t="n"/>
      <c r="H228" s="5" t="n"/>
      <c r="I228" s="5" t="n"/>
      <c r="J228" s="5" t="n"/>
    </row>
    <row r="229">
      <c r="A229" t="n">
        <v>226</v>
      </c>
      <c r="B229" s="8" t="n"/>
      <c r="C229" s="4" t="n"/>
      <c r="D229" s="4" t="n"/>
      <c r="E229" s="4" t="n"/>
      <c r="F229" s="4" t="n"/>
      <c r="G229" s="5" t="n"/>
      <c r="H229" s="5" t="n"/>
      <c r="I229" s="5" t="n"/>
      <c r="J229" s="5" t="n"/>
    </row>
    <row r="230">
      <c r="A230" t="n">
        <v>227</v>
      </c>
      <c r="B230" s="8" t="n"/>
      <c r="C230" s="4" t="n"/>
      <c r="D230" s="4" t="n"/>
      <c r="E230" s="4" t="n"/>
      <c r="F230" s="4" t="n"/>
      <c r="G230" s="5" t="n"/>
      <c r="H230" s="5" t="n"/>
      <c r="I230" s="5" t="n"/>
      <c r="J230" s="5" t="n"/>
    </row>
    <row r="231">
      <c r="A231" t="n">
        <v>228</v>
      </c>
      <c r="B231" s="8" t="n"/>
      <c r="C231" s="4" t="n"/>
      <c r="D231" s="4" t="n"/>
      <c r="E231" s="4" t="n"/>
      <c r="F231" s="4" t="n"/>
      <c r="G231" s="5" t="n"/>
      <c r="H231" s="5" t="n"/>
      <c r="I231" s="5" t="n"/>
      <c r="J231" s="5" t="n"/>
    </row>
    <row r="232">
      <c r="A232" t="n">
        <v>229</v>
      </c>
      <c r="B232" s="8" t="n"/>
      <c r="C232" s="4" t="n"/>
      <c r="D232" s="4" t="n"/>
      <c r="E232" s="4" t="n"/>
      <c r="F232" s="4" t="n"/>
      <c r="G232" s="5" t="n"/>
      <c r="H232" s="5" t="n"/>
      <c r="I232" s="5" t="n"/>
      <c r="J232" s="5" t="n"/>
    </row>
    <row r="233">
      <c r="A233" t="n">
        <v>230</v>
      </c>
      <c r="B233" s="8" t="n"/>
      <c r="C233" s="4" t="n"/>
      <c r="D233" s="4" t="n"/>
      <c r="E233" s="4" t="n"/>
      <c r="F233" s="4" t="n"/>
      <c r="G233" s="5" t="n"/>
      <c r="H233" s="5" t="n"/>
      <c r="I233" s="5" t="n"/>
      <c r="J233" s="5" t="n"/>
    </row>
    <row r="234">
      <c r="A234" t="n">
        <v>231</v>
      </c>
      <c r="B234" s="8" t="n"/>
      <c r="C234" s="4" t="n"/>
      <c r="D234" s="4" t="n"/>
      <c r="E234" s="4" t="n"/>
      <c r="F234" s="4" t="n"/>
      <c r="G234" s="5" t="n"/>
      <c r="H234" s="5" t="n"/>
      <c r="I234" s="5" t="n"/>
      <c r="J234" s="5" t="n"/>
    </row>
    <row r="235">
      <c r="A235" t="n">
        <v>232</v>
      </c>
      <c r="B235" s="8" t="n"/>
      <c r="C235" s="4" t="n"/>
      <c r="D235" s="4" t="n"/>
      <c r="E235" s="4" t="n"/>
      <c r="F235" s="4" t="n"/>
      <c r="G235" s="5" t="n"/>
      <c r="H235" s="5" t="n"/>
      <c r="I235" s="5" t="n"/>
      <c r="J235" s="5" t="n"/>
    </row>
    <row r="236">
      <c r="A236" t="n">
        <v>233</v>
      </c>
      <c r="B236" s="8" t="n"/>
      <c r="C236" s="4" t="n"/>
      <c r="D236" s="4" t="n"/>
      <c r="E236" s="4" t="n"/>
      <c r="F236" s="4" t="n"/>
      <c r="G236" s="5" t="n"/>
      <c r="H236" s="5" t="n"/>
      <c r="I236" s="5" t="n"/>
      <c r="J236" s="5" t="n"/>
    </row>
    <row r="237">
      <c r="A237" t="n">
        <v>234</v>
      </c>
      <c r="B237" s="8" t="n"/>
      <c r="C237" s="4" t="n"/>
      <c r="D237" s="4" t="n"/>
      <c r="E237" s="4" t="n"/>
      <c r="F237" s="4" t="n"/>
      <c r="G237" s="5" t="n"/>
      <c r="H237" s="5" t="n"/>
      <c r="I237" s="5" t="n"/>
      <c r="J237" s="5" t="n"/>
    </row>
    <row r="238">
      <c r="A238" t="n">
        <v>235</v>
      </c>
      <c r="B238" s="8" t="n"/>
      <c r="C238" s="4" t="n"/>
      <c r="D238" s="4" t="n"/>
      <c r="E238" s="4" t="n"/>
      <c r="F238" s="4" t="n"/>
      <c r="G238" s="5" t="n"/>
      <c r="H238" s="5" t="n"/>
      <c r="I238" s="5" t="n"/>
      <c r="J238" s="5" t="n"/>
    </row>
    <row r="239">
      <c r="A239" t="n">
        <v>236</v>
      </c>
      <c r="B239" s="8" t="n"/>
      <c r="C239" s="4" t="n"/>
      <c r="D239" s="4" t="n"/>
      <c r="E239" s="4" t="n"/>
      <c r="F239" s="4" t="n"/>
      <c r="G239" s="5" t="n"/>
      <c r="H239" s="5" t="n"/>
      <c r="I239" s="5" t="n"/>
      <c r="J239" s="5" t="n"/>
    </row>
    <row r="240">
      <c r="A240" t="n">
        <v>237</v>
      </c>
      <c r="B240" s="8" t="n"/>
      <c r="C240" s="4" t="n"/>
      <c r="D240" s="4" t="n"/>
      <c r="E240" s="4" t="n"/>
      <c r="F240" s="4" t="n"/>
      <c r="G240" s="5" t="n"/>
      <c r="H240" s="5" t="n"/>
      <c r="I240" s="5" t="n"/>
      <c r="J240" s="5" t="n"/>
    </row>
    <row r="241">
      <c r="A241" t="n">
        <v>238</v>
      </c>
      <c r="B241" s="8" t="n"/>
      <c r="C241" s="4" t="n"/>
      <c r="D241" s="4" t="n"/>
      <c r="E241" s="4" t="n"/>
      <c r="F241" s="4" t="n"/>
      <c r="G241" s="5" t="n"/>
      <c r="H241" s="5" t="n"/>
      <c r="I241" s="5" t="n"/>
      <c r="J241" s="5" t="n"/>
    </row>
    <row r="242">
      <c r="A242" t="n">
        <v>239</v>
      </c>
      <c r="B242" s="8" t="n"/>
      <c r="C242" s="4" t="n"/>
      <c r="D242" s="4" t="n"/>
      <c r="E242" s="4" t="n"/>
      <c r="F242" s="4" t="n"/>
      <c r="G242" s="5" t="n"/>
      <c r="H242" s="5" t="n"/>
      <c r="I242" s="5" t="n"/>
      <c r="J242" s="5" t="n"/>
    </row>
    <row r="243">
      <c r="A243" t="n">
        <v>240</v>
      </c>
      <c r="B243" s="8" t="n"/>
      <c r="C243" s="4" t="n"/>
      <c r="D243" s="4" t="n"/>
      <c r="E243" s="4" t="n"/>
      <c r="F243" s="4" t="n"/>
      <c r="G243" s="5" t="n"/>
      <c r="H243" s="5" t="n"/>
      <c r="I243" s="5" t="n"/>
      <c r="J243" s="5" t="n"/>
    </row>
    <row r="244">
      <c r="A244" t="n">
        <v>241</v>
      </c>
      <c r="B244" s="8" t="n"/>
      <c r="C244" s="4" t="n"/>
      <c r="D244" s="4" t="n"/>
      <c r="E244" s="4" t="n"/>
      <c r="F244" s="4" t="n"/>
      <c r="G244" s="5" t="n"/>
      <c r="H244" s="5" t="n"/>
      <c r="I244" s="5" t="n"/>
      <c r="J244" s="5" t="n"/>
    </row>
    <row r="245">
      <c r="A245" t="n">
        <v>242</v>
      </c>
      <c r="B245" s="8" t="n"/>
      <c r="C245" s="4" t="n"/>
      <c r="D245" s="4" t="n"/>
      <c r="E245" s="4" t="n"/>
      <c r="F245" s="4" t="n"/>
      <c r="G245" s="5" t="n"/>
      <c r="H245" s="5" t="n"/>
      <c r="I245" s="5" t="n"/>
      <c r="J245" s="5" t="n"/>
    </row>
    <row r="246">
      <c r="A246" t="n">
        <v>243</v>
      </c>
      <c r="B246" s="8" t="n"/>
      <c r="C246" s="4" t="n"/>
      <c r="D246" s="4" t="n"/>
      <c r="E246" s="4" t="n"/>
      <c r="F246" s="4" t="n"/>
      <c r="G246" s="5" t="n"/>
      <c r="H246" s="5" t="n"/>
      <c r="I246" s="5" t="n"/>
      <c r="J246" s="5" t="n"/>
    </row>
    <row r="247">
      <c r="A247" t="n">
        <v>244</v>
      </c>
      <c r="B247" s="8" t="n"/>
      <c r="C247" s="4" t="n"/>
      <c r="D247" s="4" t="n"/>
      <c r="E247" s="4" t="n"/>
      <c r="F247" s="4" t="n"/>
      <c r="G247" s="5" t="n"/>
      <c r="H247" s="5" t="n"/>
      <c r="I247" s="5" t="n"/>
      <c r="J247" s="5" t="n"/>
    </row>
    <row r="248">
      <c r="A248" t="n">
        <v>245</v>
      </c>
      <c r="B248" s="8" t="n"/>
      <c r="C248" s="4" t="n"/>
      <c r="D248" s="4" t="n"/>
      <c r="E248" s="4" t="n"/>
      <c r="F248" s="4" t="n"/>
      <c r="G248" s="5" t="n"/>
      <c r="H248" s="5" t="n"/>
      <c r="I248" s="5" t="n"/>
      <c r="J248" s="5" t="n"/>
    </row>
    <row r="249">
      <c r="A249" t="n">
        <v>246</v>
      </c>
      <c r="B249" s="8" t="n"/>
      <c r="C249" s="4" t="n"/>
      <c r="D249" s="4" t="n"/>
      <c r="E249" s="4" t="n"/>
      <c r="F249" s="4" t="n"/>
      <c r="G249" s="5" t="n"/>
      <c r="H249" s="5" t="n"/>
      <c r="I249" s="5" t="n"/>
      <c r="J249" s="5" t="n"/>
    </row>
    <row r="250">
      <c r="A250" t="n">
        <v>247</v>
      </c>
      <c r="B250" s="8" t="n"/>
      <c r="C250" s="4" t="n"/>
      <c r="D250" s="4" t="n"/>
      <c r="E250" s="4" t="n"/>
      <c r="F250" s="4" t="n"/>
      <c r="G250" s="5" t="n"/>
      <c r="H250" s="5" t="n"/>
      <c r="I250" s="5" t="n"/>
      <c r="J250" s="5" t="n"/>
    </row>
    <row r="251">
      <c r="A251" t="n">
        <v>248</v>
      </c>
      <c r="B251" s="8" t="n"/>
      <c r="C251" s="4" t="n"/>
      <c r="D251" s="4" t="n"/>
      <c r="E251" s="4" t="n"/>
      <c r="F251" s="4" t="n"/>
      <c r="G251" s="5" t="n"/>
      <c r="H251" s="5" t="n"/>
      <c r="I251" s="5" t="n"/>
      <c r="J251" s="5" t="n"/>
    </row>
    <row r="252">
      <c r="A252" t="n">
        <v>249</v>
      </c>
      <c r="B252" s="8" t="n"/>
      <c r="C252" s="4" t="n"/>
      <c r="D252" s="4" t="n"/>
      <c r="E252" s="4" t="n"/>
      <c r="F252" s="4" t="n"/>
      <c r="G252" s="5" t="n"/>
      <c r="H252" s="5" t="n"/>
      <c r="I252" s="5" t="n"/>
      <c r="J252" s="5" t="n"/>
    </row>
    <row r="253">
      <c r="A253" t="n">
        <v>250</v>
      </c>
      <c r="B253" s="8" t="n"/>
      <c r="C253" s="4" t="n"/>
      <c r="D253" s="4" t="n"/>
      <c r="E253" s="4" t="n"/>
      <c r="F253" s="4" t="n"/>
      <c r="G253" s="5" t="n"/>
      <c r="H253" s="5" t="n"/>
      <c r="I253" s="5" t="n"/>
      <c r="J253" s="5" t="n"/>
    </row>
    <row r="254">
      <c r="A254" t="n">
        <v>251</v>
      </c>
      <c r="B254" s="8" t="n"/>
      <c r="C254" s="4" t="n"/>
      <c r="D254" s="4" t="n"/>
      <c r="E254" s="4" t="n"/>
      <c r="F254" s="4" t="n"/>
      <c r="G254" s="5" t="n"/>
      <c r="H254" s="5" t="n"/>
      <c r="I254" s="5" t="n"/>
      <c r="J254" s="5" t="n"/>
    </row>
    <row r="255">
      <c r="A255" t="n">
        <v>252</v>
      </c>
      <c r="B255" s="8" t="n"/>
      <c r="C255" s="4" t="n"/>
      <c r="D255" s="4" t="n"/>
      <c r="E255" s="4" t="n"/>
      <c r="F255" s="4" t="n"/>
      <c r="G255" s="5" t="n"/>
      <c r="H255" s="5" t="n"/>
      <c r="I255" s="5" t="n"/>
      <c r="J255" s="5" t="n"/>
    </row>
    <row r="256">
      <c r="A256" t="n">
        <v>253</v>
      </c>
      <c r="B256" s="8" t="n"/>
      <c r="C256" s="4" t="n"/>
      <c r="D256" s="4" t="n"/>
      <c r="E256" s="4" t="n"/>
      <c r="F256" s="4" t="n"/>
      <c r="G256" s="5" t="n"/>
      <c r="H256" s="5" t="n"/>
      <c r="I256" s="5" t="n"/>
      <c r="J256" s="5" t="n"/>
    </row>
    <row r="257">
      <c r="A257" t="n">
        <v>254</v>
      </c>
      <c r="B257" s="8" t="n"/>
      <c r="C257" s="4" t="n"/>
      <c r="D257" s="4" t="n"/>
      <c r="E257" s="4" t="n"/>
      <c r="F257" s="4" t="n"/>
      <c r="G257" s="5" t="n"/>
      <c r="H257" s="5" t="n"/>
      <c r="I257" s="5" t="n"/>
      <c r="J257" s="5" t="n"/>
    </row>
    <row r="258">
      <c r="A258" t="n">
        <v>255</v>
      </c>
      <c r="B258" s="8" t="n"/>
      <c r="C258" s="4" t="n"/>
      <c r="D258" s="4" t="n"/>
      <c r="E258" s="4" t="n"/>
      <c r="F258" s="4" t="n"/>
      <c r="G258" s="5" t="n"/>
      <c r="H258" s="5" t="n"/>
      <c r="I258" s="5" t="n"/>
      <c r="J258" s="5" t="n"/>
    </row>
    <row r="259">
      <c r="A259" t="n">
        <v>256</v>
      </c>
      <c r="B259" s="8" t="n"/>
      <c r="C259" s="4" t="n"/>
      <c r="D259" s="4" t="n"/>
      <c r="E259" s="4" t="n"/>
      <c r="F259" s="4" t="n"/>
      <c r="G259" s="5" t="n"/>
      <c r="H259" s="5" t="n"/>
      <c r="I259" s="5" t="n"/>
      <c r="J259" s="5" t="n"/>
    </row>
    <row r="260">
      <c r="A260" t="n">
        <v>257</v>
      </c>
      <c r="B260" s="8" t="n"/>
      <c r="C260" s="4" t="n"/>
      <c r="D260" s="4" t="n"/>
      <c r="E260" s="4" t="n"/>
      <c r="F260" s="4" t="n"/>
      <c r="G260" s="5" t="n"/>
      <c r="H260" s="5" t="n"/>
      <c r="I260" s="5" t="n"/>
      <c r="J260" s="5" t="n"/>
    </row>
    <row r="261">
      <c r="A261" t="n">
        <v>258</v>
      </c>
      <c r="B261" s="8" t="n"/>
      <c r="C261" s="4" t="n"/>
      <c r="D261" s="4" t="n"/>
      <c r="E261" s="4" t="n"/>
      <c r="F261" s="4" t="n"/>
      <c r="G261" s="5" t="n"/>
      <c r="H261" s="5" t="n"/>
      <c r="I261" s="5" t="n"/>
      <c r="J261" s="5" t="n"/>
    </row>
    <row r="262">
      <c r="A262" t="n">
        <v>259</v>
      </c>
      <c r="B262" s="8" t="n"/>
      <c r="C262" s="4" t="n"/>
      <c r="D262" s="4" t="n"/>
      <c r="E262" s="4" t="n"/>
      <c r="F262" s="4" t="n"/>
      <c r="G262" s="5" t="n"/>
      <c r="H262" s="5" t="n"/>
      <c r="I262" s="5" t="n"/>
      <c r="J262" s="5" t="n"/>
    </row>
    <row r="263">
      <c r="A263" t="n">
        <v>260</v>
      </c>
      <c r="B263" s="8" t="n"/>
      <c r="C263" s="4" t="n"/>
      <c r="D263" s="4" t="n"/>
      <c r="E263" s="4" t="n"/>
      <c r="F263" s="4" t="n"/>
      <c r="G263" s="5" t="n"/>
      <c r="H263" s="5" t="n"/>
      <c r="I263" s="5" t="n"/>
      <c r="J263" s="5" t="n"/>
    </row>
    <row r="264">
      <c r="A264" t="n">
        <v>261</v>
      </c>
      <c r="B264" s="8" t="n"/>
      <c r="C264" s="4" t="n"/>
      <c r="D264" s="4" t="n"/>
      <c r="E264" s="4" t="n"/>
      <c r="F264" s="4" t="n"/>
      <c r="G264" s="5" t="n"/>
      <c r="H264" s="5" t="n"/>
      <c r="I264" s="5" t="n"/>
      <c r="J264" s="5" t="n"/>
    </row>
    <row r="265">
      <c r="A265" t="n">
        <v>262</v>
      </c>
      <c r="B265" s="8" t="n"/>
      <c r="C265" s="4" t="n"/>
      <c r="D265" s="4" t="n"/>
      <c r="E265" s="4" t="n"/>
      <c r="F265" s="4" t="n"/>
      <c r="G265" s="5" t="n"/>
      <c r="H265" s="5" t="n"/>
      <c r="I265" s="5" t="n"/>
      <c r="J265" s="5" t="n"/>
    </row>
    <row r="266">
      <c r="A266" t="n">
        <v>263</v>
      </c>
      <c r="B266" s="8" t="n"/>
      <c r="C266" s="4" t="n"/>
      <c r="D266" s="4" t="n"/>
      <c r="E266" s="4" t="n"/>
      <c r="F266" s="4" t="n"/>
      <c r="G266" s="5" t="n"/>
      <c r="H266" s="5" t="n"/>
      <c r="I266" s="5" t="n"/>
      <c r="J266" s="5" t="n"/>
    </row>
    <row r="267">
      <c r="A267" t="n">
        <v>264</v>
      </c>
      <c r="B267" s="8" t="n"/>
      <c r="C267" s="4" t="n"/>
      <c r="D267" s="4" t="n"/>
      <c r="E267" s="4" t="n"/>
      <c r="F267" s="4" t="n"/>
      <c r="G267" s="5" t="n"/>
      <c r="H267" s="5" t="n"/>
      <c r="I267" s="5" t="n"/>
      <c r="J267" s="5" t="n"/>
    </row>
    <row r="268">
      <c r="A268" t="n">
        <v>265</v>
      </c>
      <c r="B268" s="8" t="n"/>
      <c r="C268" s="4" t="n"/>
      <c r="D268" s="4" t="n"/>
      <c r="E268" s="4" t="n"/>
      <c r="F268" s="4" t="n"/>
      <c r="G268" s="5" t="n"/>
      <c r="H268" s="5" t="n"/>
      <c r="I268" s="5" t="n"/>
      <c r="J268" s="5" t="n"/>
    </row>
    <row r="269">
      <c r="A269" t="n">
        <v>266</v>
      </c>
      <c r="B269" s="8" t="n"/>
      <c r="C269" s="4" t="n"/>
      <c r="D269" s="4" t="n"/>
      <c r="E269" s="4" t="n"/>
      <c r="F269" s="4" t="n"/>
      <c r="G269" s="5" t="n"/>
      <c r="H269" s="5" t="n"/>
      <c r="I269" s="5" t="n"/>
      <c r="J269" s="5" t="n"/>
    </row>
    <row r="270">
      <c r="A270" t="n">
        <v>267</v>
      </c>
      <c r="B270" s="8" t="n"/>
      <c r="C270" s="4" t="n"/>
      <c r="D270" s="4" t="n"/>
      <c r="E270" s="4" t="n"/>
      <c r="F270" s="4" t="n"/>
      <c r="G270" s="5" t="n"/>
      <c r="H270" s="5" t="n"/>
      <c r="I270" s="5" t="n"/>
      <c r="J270" s="5" t="n"/>
    </row>
    <row r="271">
      <c r="A271" t="n">
        <v>268</v>
      </c>
      <c r="B271" s="8" t="n"/>
      <c r="C271" s="4" t="n"/>
      <c r="D271" s="4" t="n"/>
      <c r="E271" s="4" t="n"/>
      <c r="F271" s="4" t="n"/>
      <c r="G271" s="5" t="n"/>
      <c r="H271" s="5" t="n"/>
      <c r="I271" s="5" t="n"/>
      <c r="J271" s="5" t="n"/>
    </row>
    <row r="272">
      <c r="A272" t="n">
        <v>269</v>
      </c>
      <c r="B272" s="8" t="n"/>
      <c r="C272" s="4" t="n"/>
      <c r="D272" s="4" t="n"/>
      <c r="E272" s="4" t="n"/>
      <c r="F272" s="4" t="n"/>
      <c r="G272" s="5" t="n"/>
      <c r="H272" s="5" t="n"/>
      <c r="I272" s="5" t="n"/>
      <c r="J272" s="5" t="n"/>
    </row>
    <row r="273">
      <c r="A273" t="n">
        <v>270</v>
      </c>
      <c r="B273" s="8" t="n"/>
      <c r="C273" s="4" t="n"/>
      <c r="D273" s="4" t="n"/>
      <c r="E273" s="4" t="n"/>
      <c r="F273" s="4" t="n"/>
      <c r="G273" s="5" t="n"/>
      <c r="H273" s="5" t="n"/>
      <c r="I273" s="5" t="n"/>
      <c r="J273" s="5" t="n"/>
    </row>
    <row r="274">
      <c r="A274" t="n">
        <v>271</v>
      </c>
      <c r="B274" s="8" t="n"/>
      <c r="C274" s="4" t="n"/>
      <c r="D274" s="4" t="n"/>
      <c r="E274" s="4" t="n"/>
      <c r="F274" s="4" t="n"/>
      <c r="G274" s="5" t="n"/>
      <c r="H274" s="5" t="n"/>
      <c r="I274" s="5" t="n"/>
      <c r="J274" s="5" t="n"/>
    </row>
    <row r="275">
      <c r="A275" t="n">
        <v>272</v>
      </c>
      <c r="B275" s="8" t="n"/>
      <c r="C275" s="4" t="n"/>
      <c r="D275" s="4" t="n"/>
      <c r="E275" s="4" t="n"/>
      <c r="F275" s="4" t="n"/>
      <c r="G275" s="5" t="n"/>
      <c r="H275" s="5" t="n"/>
      <c r="I275" s="5" t="n"/>
      <c r="J275" s="5" t="n"/>
    </row>
    <row r="276">
      <c r="A276" t="n">
        <v>273</v>
      </c>
      <c r="B276" s="8" t="n"/>
      <c r="C276" s="4" t="n"/>
      <c r="D276" s="4" t="n"/>
      <c r="E276" s="4" t="n"/>
      <c r="F276" s="4" t="n"/>
      <c r="G276" s="5" t="n"/>
      <c r="H276" s="5" t="n"/>
      <c r="I276" s="5" t="n"/>
      <c r="J276" s="5" t="n"/>
    </row>
    <row r="277">
      <c r="A277" t="n">
        <v>274</v>
      </c>
      <c r="B277" s="8" t="n"/>
      <c r="C277" s="4" t="n"/>
      <c r="D277" s="4" t="n"/>
      <c r="E277" s="4" t="n"/>
      <c r="F277" s="4" t="n"/>
      <c r="G277" s="5" t="n"/>
      <c r="H277" s="5" t="n"/>
      <c r="I277" s="5" t="n"/>
      <c r="J277" s="5" t="n"/>
    </row>
    <row r="278">
      <c r="A278" t="n">
        <v>275</v>
      </c>
      <c r="B278" s="8" t="n"/>
      <c r="C278" s="4" t="n"/>
      <c r="D278" s="4" t="n"/>
      <c r="E278" s="4" t="n"/>
      <c r="F278" s="4" t="n"/>
      <c r="G278" s="5" t="n"/>
      <c r="H278" s="5" t="n"/>
      <c r="I278" s="5" t="n"/>
      <c r="J278" s="5" t="n"/>
    </row>
    <row r="279">
      <c r="A279" t="n">
        <v>276</v>
      </c>
      <c r="B279" s="8" t="n"/>
      <c r="C279" s="4" t="n"/>
      <c r="D279" s="4" t="n"/>
      <c r="E279" s="4" t="n"/>
      <c r="F279" s="4" t="n"/>
      <c r="G279" s="5" t="n"/>
      <c r="H279" s="5" t="n"/>
      <c r="I279" s="5" t="n"/>
      <c r="J279" s="5" t="n"/>
    </row>
    <row r="280">
      <c r="A280" t="n">
        <v>277</v>
      </c>
      <c r="B280" s="8" t="n"/>
      <c r="C280" s="4" t="n"/>
      <c r="D280" s="4" t="n"/>
      <c r="E280" s="4" t="n"/>
      <c r="F280" s="4" t="n"/>
      <c r="G280" s="5" t="n"/>
      <c r="H280" s="5" t="n"/>
      <c r="I280" s="5" t="n"/>
      <c r="J280" s="5" t="n"/>
    </row>
    <row r="281">
      <c r="A281" t="n">
        <v>278</v>
      </c>
      <c r="B281" s="8" t="n"/>
      <c r="C281" s="4" t="n"/>
      <c r="D281" s="4" t="n"/>
      <c r="E281" s="4" t="n"/>
      <c r="F281" s="4" t="n"/>
      <c r="G281" s="5" t="n"/>
      <c r="H281" s="5" t="n"/>
      <c r="I281" s="5" t="n"/>
      <c r="J281" s="5" t="n"/>
    </row>
    <row r="282">
      <c r="A282" t="n">
        <v>279</v>
      </c>
      <c r="B282" s="8" t="n"/>
      <c r="C282" s="4" t="n"/>
      <c r="D282" s="4" t="n"/>
      <c r="E282" s="4" t="n"/>
      <c r="F282" s="4" t="n"/>
      <c r="G282" s="5" t="n"/>
      <c r="H282" s="5" t="n"/>
      <c r="I282" s="5" t="n"/>
      <c r="J282" s="5" t="n"/>
    </row>
    <row r="283">
      <c r="A283" t="n">
        <v>280</v>
      </c>
      <c r="B283" s="8" t="n"/>
      <c r="C283" s="4" t="n"/>
      <c r="D283" s="4" t="n"/>
      <c r="E283" s="4" t="n"/>
      <c r="F283" s="4" t="n"/>
      <c r="G283" s="5" t="n"/>
      <c r="H283" s="5" t="n"/>
      <c r="I283" s="5" t="n"/>
      <c r="J283" s="5" t="n"/>
    </row>
    <row r="284">
      <c r="A284" t="n">
        <v>281</v>
      </c>
      <c r="B284" s="8" t="n"/>
      <c r="C284" s="4" t="n"/>
      <c r="D284" s="4" t="n"/>
      <c r="E284" s="4" t="n"/>
      <c r="F284" s="4" t="n"/>
      <c r="G284" s="5" t="n"/>
      <c r="H284" s="5" t="n"/>
      <c r="I284" s="5" t="n"/>
      <c r="J284" s="5" t="n"/>
    </row>
    <row r="285">
      <c r="A285" t="n">
        <v>282</v>
      </c>
      <c r="B285" s="8" t="n"/>
      <c r="C285" s="4" t="n"/>
      <c r="D285" s="4" t="n"/>
      <c r="E285" s="4" t="n"/>
      <c r="F285" s="4" t="n"/>
      <c r="G285" s="5" t="n"/>
      <c r="H285" s="5" t="n"/>
      <c r="I285" s="5" t="n"/>
      <c r="J285" s="5" t="n"/>
    </row>
    <row r="286">
      <c r="A286" t="n">
        <v>283</v>
      </c>
      <c r="B286" s="8" t="n"/>
      <c r="C286" s="4" t="n"/>
      <c r="D286" s="4" t="n"/>
      <c r="E286" s="4" t="n"/>
      <c r="F286" s="4" t="n"/>
      <c r="G286" s="5" t="n"/>
      <c r="H286" s="5" t="n"/>
      <c r="I286" s="5" t="n"/>
      <c r="J286" s="5" t="n"/>
    </row>
    <row r="287">
      <c r="A287" t="n">
        <v>284</v>
      </c>
      <c r="B287" s="8" t="n"/>
      <c r="C287" s="4" t="n"/>
      <c r="D287" s="4" t="n"/>
      <c r="E287" s="4" t="n"/>
      <c r="F287" s="4" t="n"/>
      <c r="G287" s="5" t="n"/>
      <c r="H287" s="5" t="n"/>
      <c r="I287" s="5" t="n"/>
      <c r="J287" s="5" t="n"/>
    </row>
    <row r="288">
      <c r="A288" t="n">
        <v>285</v>
      </c>
      <c r="B288" s="8" t="n"/>
      <c r="C288" s="4" t="n"/>
      <c r="D288" s="4" t="n"/>
      <c r="E288" s="4" t="n"/>
      <c r="F288" s="4" t="n"/>
      <c r="G288" s="5" t="n"/>
      <c r="H288" s="5" t="n"/>
      <c r="I288" s="5" t="n"/>
      <c r="J288" s="5" t="n"/>
    </row>
    <row r="289">
      <c r="A289" t="n">
        <v>286</v>
      </c>
      <c r="B289" s="8" t="n"/>
      <c r="C289" s="4" t="n"/>
      <c r="D289" s="4" t="n"/>
      <c r="E289" s="4" t="n"/>
      <c r="F289" s="4" t="n"/>
      <c r="G289" s="5" t="n"/>
      <c r="H289" s="5" t="n"/>
      <c r="I289" s="5" t="n"/>
      <c r="J289" s="5" t="n"/>
    </row>
    <row r="290">
      <c r="A290" t="n">
        <v>287</v>
      </c>
      <c r="B290" s="8" t="n"/>
      <c r="C290" s="4" t="n"/>
      <c r="D290" s="4" t="n"/>
      <c r="E290" s="4" t="n"/>
      <c r="F290" s="4" t="n"/>
      <c r="G290" s="5" t="n"/>
      <c r="H290" s="5" t="n"/>
      <c r="I290" s="5" t="n"/>
      <c r="J290" s="5" t="n"/>
    </row>
    <row r="291">
      <c r="A291" t="n">
        <v>288</v>
      </c>
      <c r="B291" s="8" t="n"/>
      <c r="C291" s="4" t="n"/>
      <c r="D291" s="4" t="n"/>
      <c r="E291" s="4" t="n"/>
      <c r="F291" s="4" t="n"/>
      <c r="G291" s="5" t="n"/>
      <c r="H291" s="5" t="n"/>
      <c r="I291" s="5" t="n"/>
      <c r="J291" s="5" t="n"/>
    </row>
    <row r="292">
      <c r="A292" t="n">
        <v>289</v>
      </c>
      <c r="B292" s="8" t="n"/>
      <c r="C292" s="4" t="n"/>
      <c r="D292" s="4" t="n"/>
      <c r="E292" s="4" t="n"/>
      <c r="F292" s="4" t="n"/>
      <c r="G292" s="5" t="n"/>
      <c r="H292" s="5" t="n"/>
      <c r="I292" s="5" t="n"/>
      <c r="J292" s="5" t="n"/>
    </row>
    <row r="293">
      <c r="A293" t="n">
        <v>290</v>
      </c>
      <c r="B293" s="8" t="n"/>
      <c r="C293" s="4" t="n"/>
      <c r="D293" s="4" t="n"/>
      <c r="E293" s="4" t="n"/>
      <c r="F293" s="4" t="n"/>
      <c r="G293" s="5" t="n"/>
      <c r="H293" s="5" t="n"/>
      <c r="I293" s="5" t="n"/>
      <c r="J293" s="5" t="n"/>
    </row>
    <row r="294">
      <c r="A294" t="n">
        <v>291</v>
      </c>
      <c r="B294" s="8" t="n"/>
      <c r="C294" s="4" t="n"/>
      <c r="D294" s="4" t="n"/>
      <c r="E294" s="4" t="n"/>
      <c r="F294" s="4" t="n"/>
      <c r="G294" s="5" t="n"/>
      <c r="H294" s="5" t="n"/>
      <c r="I294" s="5" t="n"/>
      <c r="J294" s="5" t="n"/>
    </row>
    <row r="295">
      <c r="A295" t="n">
        <v>292</v>
      </c>
      <c r="B295" s="8" t="n"/>
      <c r="C295" s="4" t="n"/>
      <c r="D295" s="4" t="n"/>
      <c r="E295" s="4" t="n"/>
      <c r="F295" s="4" t="n"/>
      <c r="G295" s="5" t="n"/>
      <c r="H295" s="5" t="n"/>
      <c r="I295" s="5" t="n"/>
      <c r="J295" s="5" t="n"/>
    </row>
    <row r="296">
      <c r="A296" t="n">
        <v>293</v>
      </c>
      <c r="B296" s="8" t="n"/>
      <c r="C296" s="4" t="n"/>
      <c r="D296" s="4" t="n"/>
      <c r="E296" s="4" t="n"/>
      <c r="F296" s="4" t="n"/>
      <c r="G296" s="5" t="n"/>
      <c r="H296" s="5" t="n"/>
      <c r="I296" s="5" t="n"/>
      <c r="J296" s="5" t="n"/>
    </row>
    <row r="297">
      <c r="A297" t="n">
        <v>294</v>
      </c>
      <c r="B297" s="8" t="n"/>
      <c r="C297" s="4" t="n"/>
      <c r="D297" s="4" t="n"/>
      <c r="E297" s="4" t="n"/>
      <c r="F297" s="4" t="n"/>
      <c r="G297" s="5" t="n"/>
      <c r="H297" s="5" t="n"/>
      <c r="I297" s="5" t="n"/>
      <c r="J297" s="5" t="n"/>
    </row>
    <row r="298">
      <c r="A298" t="n">
        <v>295</v>
      </c>
      <c r="B298" s="8" t="n"/>
      <c r="C298" s="4" t="n"/>
      <c r="D298" s="4" t="n"/>
      <c r="E298" s="4" t="n"/>
      <c r="F298" s="4" t="n"/>
      <c r="G298" s="5" t="n"/>
      <c r="H298" s="5" t="n"/>
      <c r="I298" s="5" t="n"/>
      <c r="J298" s="5" t="n"/>
    </row>
    <row r="299">
      <c r="A299" t="n">
        <v>296</v>
      </c>
      <c r="B299" s="8" t="n"/>
      <c r="C299" s="4" t="n"/>
      <c r="D299" s="4" t="n"/>
      <c r="E299" s="4" t="n"/>
      <c r="F299" s="4" t="n"/>
      <c r="G299" s="5" t="n"/>
      <c r="H299" s="5" t="n"/>
      <c r="I299" s="5" t="n"/>
      <c r="J299" s="5" t="n"/>
    </row>
    <row r="300">
      <c r="A300" t="n">
        <v>297</v>
      </c>
      <c r="B300" s="8" t="n"/>
      <c r="C300" s="4" t="n"/>
      <c r="D300" s="4" t="n"/>
      <c r="E300" s="4" t="n"/>
      <c r="F300" s="4" t="n"/>
      <c r="G300" s="5" t="n"/>
      <c r="H300" s="5" t="n"/>
      <c r="I300" s="5" t="n"/>
      <c r="J300" s="5" t="n"/>
    </row>
    <row r="301">
      <c r="A301" t="n">
        <v>298</v>
      </c>
      <c r="B301" s="8" t="n"/>
      <c r="C301" s="4" t="n"/>
      <c r="D301" s="4" t="n"/>
      <c r="E301" s="4" t="n"/>
      <c r="F301" s="4" t="n"/>
      <c r="G301" s="5" t="n"/>
      <c r="H301" s="5" t="n"/>
      <c r="I301" s="5" t="n"/>
      <c r="J301" s="5" t="n"/>
    </row>
    <row r="302">
      <c r="A302" t="n">
        <v>299</v>
      </c>
      <c r="B302" s="8" t="n"/>
      <c r="C302" s="4" t="n"/>
      <c r="D302" s="4" t="n"/>
      <c r="E302" s="4" t="n"/>
      <c r="F302" s="4" t="n"/>
      <c r="G302" s="5" t="n"/>
      <c r="H302" s="5" t="n"/>
      <c r="I302" s="5" t="n"/>
      <c r="J302" s="5" t="n"/>
    </row>
    <row r="303">
      <c r="A303" t="n">
        <v>300</v>
      </c>
      <c r="B303" s="8" t="n"/>
      <c r="C303" s="4" t="n"/>
      <c r="D303" s="4" t="n"/>
      <c r="E303" s="4" t="n"/>
      <c r="F303" s="4" t="n"/>
      <c r="G303" s="5" t="n"/>
      <c r="H303" s="5" t="n"/>
      <c r="I303" s="5" t="n"/>
      <c r="J303" s="5" t="n"/>
    </row>
    <row r="304">
      <c r="A304" t="n">
        <v>301</v>
      </c>
      <c r="B304" s="8" t="n"/>
      <c r="C304" s="4" t="n"/>
      <c r="D304" s="4" t="n"/>
      <c r="E304" s="4" t="n"/>
      <c r="F304" s="4" t="n"/>
      <c r="G304" s="5" t="n"/>
      <c r="H304" s="5" t="n"/>
      <c r="I304" s="5" t="n"/>
      <c r="J304" s="5" t="n"/>
    </row>
    <row r="305">
      <c r="A305" t="n">
        <v>302</v>
      </c>
      <c r="B305" s="8" t="n"/>
      <c r="C305" s="4" t="n"/>
      <c r="D305" s="4" t="n"/>
      <c r="E305" s="4" t="n"/>
      <c r="F305" s="4" t="n"/>
      <c r="G305" s="5" t="n"/>
      <c r="H305" s="5" t="n"/>
      <c r="I305" s="5" t="n"/>
      <c r="J305" s="5" t="n"/>
    </row>
    <row r="306">
      <c r="A306" t="n">
        <v>303</v>
      </c>
      <c r="B306" s="8" t="n"/>
      <c r="C306" s="4" t="n"/>
      <c r="D306" s="4" t="n"/>
      <c r="E306" s="4" t="n"/>
      <c r="F306" s="4" t="n"/>
      <c r="G306" s="5" t="n"/>
      <c r="H306" s="5" t="n"/>
      <c r="I306" s="5" t="n"/>
      <c r="J306" s="5" t="n"/>
    </row>
    <row r="307">
      <c r="A307" t="n">
        <v>304</v>
      </c>
      <c r="B307" s="8" t="n"/>
      <c r="C307" s="4" t="n"/>
      <c r="D307" s="4" t="n"/>
      <c r="E307" s="4" t="n"/>
      <c r="F307" s="4" t="n"/>
      <c r="G307" s="5" t="n"/>
      <c r="H307" s="5" t="n"/>
      <c r="I307" s="5" t="n"/>
      <c r="J307" s="5" t="n"/>
    </row>
    <row r="308">
      <c r="A308" t="n">
        <v>305</v>
      </c>
      <c r="B308" s="8" t="n"/>
      <c r="C308" s="4" t="n"/>
      <c r="D308" s="4" t="n"/>
      <c r="E308" s="4" t="n"/>
      <c r="F308" s="4" t="n"/>
      <c r="G308" s="5" t="n"/>
      <c r="H308" s="5" t="n"/>
      <c r="I308" s="5" t="n"/>
      <c r="J308" s="5" t="n"/>
    </row>
    <row r="309">
      <c r="A309" t="n">
        <v>306</v>
      </c>
      <c r="B309" s="8" t="n"/>
      <c r="C309" s="4" t="n"/>
      <c r="D309" s="4" t="n"/>
      <c r="E309" s="4" t="n"/>
      <c r="F309" s="4" t="n"/>
      <c r="G309" s="5" t="n"/>
      <c r="H309" s="5" t="n"/>
      <c r="I309" s="5" t="n"/>
      <c r="J309" s="5" t="n"/>
    </row>
    <row r="310">
      <c r="A310" t="n">
        <v>307</v>
      </c>
      <c r="B310" s="8" t="n"/>
      <c r="C310" s="4" t="n"/>
      <c r="D310" s="4" t="n"/>
      <c r="E310" s="4" t="n"/>
      <c r="F310" s="4" t="n"/>
      <c r="G310" s="5" t="n"/>
      <c r="H310" s="5" t="n"/>
      <c r="I310" s="5" t="n"/>
      <c r="J310" s="5" t="n"/>
    </row>
    <row r="311">
      <c r="A311" t="n">
        <v>308</v>
      </c>
      <c r="B311" s="8" t="n"/>
      <c r="C311" s="4" t="n"/>
      <c r="D311" s="4" t="n"/>
      <c r="E311" s="4" t="n"/>
      <c r="F311" s="4" t="n"/>
      <c r="G311" s="5" t="n"/>
      <c r="H311" s="5" t="n"/>
      <c r="I311" s="5" t="n"/>
      <c r="J311" s="5" t="n"/>
    </row>
    <row r="312">
      <c r="A312" t="n">
        <v>309</v>
      </c>
      <c r="B312" s="8" t="n"/>
      <c r="C312" s="4" t="n"/>
      <c r="D312" s="4" t="n"/>
      <c r="E312" s="4" t="n"/>
      <c r="F312" s="4" t="n"/>
      <c r="G312" s="5" t="n"/>
      <c r="H312" s="5" t="n"/>
      <c r="I312" s="5" t="n"/>
      <c r="J312" s="5" t="n"/>
    </row>
    <row r="313">
      <c r="A313" t="n">
        <v>310</v>
      </c>
      <c r="B313" s="8" t="n"/>
      <c r="C313" s="4" t="n"/>
      <c r="D313" s="4" t="n"/>
      <c r="E313" s="4" t="n"/>
      <c r="F313" s="4" t="n"/>
      <c r="G313" s="5" t="n"/>
      <c r="H313" s="5" t="n"/>
      <c r="I313" s="5" t="n"/>
      <c r="J313" s="5" t="n"/>
    </row>
    <row r="314">
      <c r="A314" t="n">
        <v>311</v>
      </c>
      <c r="B314" s="8" t="n"/>
      <c r="C314" s="4" t="n"/>
      <c r="D314" s="4" t="n"/>
      <c r="E314" s="4" t="n"/>
      <c r="F314" s="4" t="n"/>
      <c r="G314" s="5" t="n"/>
      <c r="H314" s="5" t="n"/>
      <c r="I314" s="5" t="n"/>
      <c r="J314" s="5" t="n"/>
    </row>
    <row r="315">
      <c r="A315" t="n">
        <v>312</v>
      </c>
      <c r="B315" s="8" t="n"/>
      <c r="C315" s="4" t="n"/>
      <c r="D315" s="4" t="n"/>
      <c r="E315" s="4" t="n"/>
      <c r="F315" s="4" t="n"/>
      <c r="G315" s="5" t="n"/>
      <c r="H315" s="5" t="n"/>
      <c r="I315" s="5" t="n"/>
      <c r="J315" s="5" t="n"/>
    </row>
    <row r="316">
      <c r="A316" t="n">
        <v>313</v>
      </c>
      <c r="B316" s="8" t="n"/>
      <c r="C316" s="4" t="n"/>
      <c r="D316" s="4" t="n"/>
      <c r="E316" s="4" t="n"/>
      <c r="F316" s="4" t="n"/>
      <c r="G316" s="5" t="n"/>
      <c r="H316" s="5" t="n"/>
      <c r="I316" s="5" t="n"/>
      <c r="J316" s="5" t="n"/>
    </row>
    <row r="317">
      <c r="A317" t="n">
        <v>314</v>
      </c>
      <c r="B317" s="8" t="n"/>
      <c r="C317" s="4" t="n"/>
      <c r="D317" s="4" t="n"/>
      <c r="E317" s="4" t="n"/>
      <c r="F317" s="4" t="n"/>
      <c r="G317" s="5" t="n"/>
      <c r="H317" s="5" t="n"/>
      <c r="I317" s="5" t="n"/>
      <c r="J317" s="5" t="n"/>
    </row>
    <row r="318">
      <c r="A318" t="n">
        <v>315</v>
      </c>
      <c r="B318" s="8" t="n"/>
      <c r="C318" s="4" t="n"/>
      <c r="D318" s="4" t="n"/>
      <c r="E318" s="4" t="n"/>
      <c r="F318" s="4" t="n"/>
      <c r="G318" s="5" t="n"/>
      <c r="H318" s="5" t="n"/>
      <c r="I318" s="5" t="n"/>
      <c r="J318" s="5" t="n"/>
    </row>
    <row r="319">
      <c r="A319" t="n">
        <v>316</v>
      </c>
      <c r="B319" s="8" t="n"/>
      <c r="C319" s="4" t="n"/>
      <c r="D319" s="4" t="n"/>
      <c r="E319" s="4" t="n"/>
      <c r="F319" s="4" t="n"/>
      <c r="G319" s="5" t="n"/>
      <c r="H319" s="5" t="n"/>
      <c r="I319" s="5" t="n"/>
      <c r="J319" s="5" t="n"/>
    </row>
    <row r="320">
      <c r="A320" t="n">
        <v>317</v>
      </c>
      <c r="B320" s="8" t="n"/>
      <c r="C320" s="4" t="n"/>
      <c r="D320" s="4" t="n"/>
      <c r="E320" s="4" t="n"/>
      <c r="F320" s="4" t="n"/>
      <c r="G320" s="5" t="n"/>
      <c r="H320" s="5" t="n"/>
      <c r="I320" s="5" t="n"/>
      <c r="J320" s="5" t="n"/>
    </row>
    <row r="321">
      <c r="A321" t="n">
        <v>318</v>
      </c>
      <c r="B321" s="8" t="n"/>
      <c r="C321" s="4" t="n"/>
      <c r="D321" s="4" t="n"/>
      <c r="E321" s="4" t="n"/>
      <c r="F321" s="4" t="n"/>
      <c r="G321" s="5" t="n"/>
      <c r="H321" s="5" t="n"/>
      <c r="I321" s="5" t="n"/>
      <c r="J321" s="5" t="n"/>
    </row>
    <row r="322">
      <c r="A322" t="n">
        <v>319</v>
      </c>
      <c r="B322" s="8" t="n"/>
      <c r="C322" s="4" t="n"/>
      <c r="D322" s="4" t="n"/>
      <c r="E322" s="4" t="n"/>
      <c r="F322" s="4" t="n"/>
      <c r="G322" s="5" t="n"/>
      <c r="H322" s="5" t="n"/>
      <c r="I322" s="5" t="n"/>
      <c r="J322" s="5" t="n"/>
    </row>
    <row r="323">
      <c r="A323" t="n">
        <v>320</v>
      </c>
      <c r="B323" s="8" t="n"/>
      <c r="C323" s="4" t="n"/>
      <c r="D323" s="4" t="n"/>
      <c r="E323" s="4" t="n"/>
      <c r="F323" s="4" t="n"/>
      <c r="G323" s="5" t="n"/>
      <c r="H323" s="5" t="n"/>
      <c r="I323" s="5" t="n"/>
      <c r="J323" s="5" t="n"/>
    </row>
    <row r="324">
      <c r="A324" t="n">
        <v>321</v>
      </c>
      <c r="B324" s="8" t="n"/>
      <c r="C324" s="4" t="n"/>
      <c r="D324" s="4" t="n"/>
      <c r="E324" s="4" t="n"/>
      <c r="F324" s="4" t="n"/>
      <c r="G324" s="5" t="n"/>
      <c r="H324" s="5" t="n"/>
      <c r="I324" s="5" t="n"/>
      <c r="J324" s="5" t="n"/>
    </row>
    <row r="325">
      <c r="A325" t="n">
        <v>322</v>
      </c>
      <c r="B325" s="8" t="n"/>
      <c r="C325" s="4" t="n"/>
      <c r="D325" s="4" t="n"/>
      <c r="E325" s="4" t="n"/>
      <c r="F325" s="4" t="n"/>
      <c r="G325" s="5" t="n"/>
      <c r="H325" s="5" t="n"/>
      <c r="I325" s="5" t="n"/>
      <c r="J325" s="5" t="n"/>
    </row>
    <row r="326">
      <c r="A326" t="n">
        <v>323</v>
      </c>
      <c r="B326" s="8" t="n"/>
      <c r="C326" s="4" t="n"/>
      <c r="D326" s="4" t="n"/>
      <c r="E326" s="4" t="n"/>
      <c r="F326" s="4" t="n"/>
      <c r="G326" s="5" t="n"/>
      <c r="H326" s="5" t="n"/>
      <c r="I326" s="5" t="n"/>
      <c r="J326" s="5" t="n"/>
    </row>
    <row r="327">
      <c r="A327" t="n">
        <v>324</v>
      </c>
      <c r="B327" s="8" t="n"/>
      <c r="C327" s="4" t="n"/>
      <c r="D327" s="4" t="n"/>
      <c r="E327" s="4" t="n"/>
      <c r="F327" s="4" t="n"/>
      <c r="G327" s="5" t="n"/>
      <c r="H327" s="5" t="n"/>
      <c r="I327" s="5" t="n"/>
      <c r="J327" s="5" t="n"/>
    </row>
    <row r="328">
      <c r="A328" t="n">
        <v>325</v>
      </c>
      <c r="B328" s="8" t="n"/>
      <c r="C328" s="4" t="n"/>
      <c r="D328" s="4" t="n"/>
      <c r="E328" s="4" t="n"/>
      <c r="F328" s="4" t="n"/>
      <c r="G328" s="5" t="n"/>
      <c r="H328" s="5" t="n"/>
      <c r="I328" s="5" t="n"/>
      <c r="J328" s="5" t="n"/>
    </row>
    <row r="329">
      <c r="A329" t="n">
        <v>326</v>
      </c>
      <c r="B329" s="8" t="n"/>
      <c r="C329" s="4" t="n"/>
      <c r="D329" s="4" t="n"/>
      <c r="E329" s="4" t="n"/>
      <c r="F329" s="4" t="n"/>
      <c r="G329" s="5" t="n"/>
      <c r="H329" s="5" t="n"/>
      <c r="I329" s="5" t="n"/>
      <c r="J329" s="5" t="n"/>
    </row>
    <row r="330">
      <c r="A330" t="n">
        <v>327</v>
      </c>
      <c r="B330" s="8" t="n"/>
      <c r="C330" s="4" t="n"/>
      <c r="D330" s="4" t="n"/>
      <c r="E330" s="4" t="n"/>
      <c r="F330" s="4" t="n"/>
      <c r="G330" s="5" t="n"/>
      <c r="H330" s="5" t="n"/>
      <c r="I330" s="5" t="n"/>
      <c r="J330" s="5" t="n"/>
    </row>
    <row r="331">
      <c r="A331" t="n">
        <v>328</v>
      </c>
      <c r="B331" s="8" t="n"/>
      <c r="C331" s="4" t="n"/>
      <c r="D331" s="4" t="n"/>
      <c r="E331" s="4" t="n"/>
      <c r="F331" s="4" t="n"/>
      <c r="G331" s="5" t="n"/>
      <c r="H331" s="5" t="n"/>
      <c r="I331" s="5" t="n"/>
      <c r="J331" s="5" t="n"/>
    </row>
    <row r="332">
      <c r="A332" t="n">
        <v>329</v>
      </c>
      <c r="B332" s="8" t="n"/>
      <c r="C332" s="4" t="n"/>
      <c r="D332" s="4" t="n"/>
      <c r="E332" s="4" t="n"/>
      <c r="F332" s="4" t="n"/>
      <c r="G332" s="5" t="n"/>
      <c r="H332" s="5" t="n"/>
      <c r="I332" s="5" t="n"/>
      <c r="J332" s="5" t="n"/>
    </row>
    <row r="333">
      <c r="A333" t="n">
        <v>330</v>
      </c>
      <c r="B333" s="8" t="n"/>
      <c r="C333" s="4" t="n"/>
      <c r="D333" s="4" t="n"/>
      <c r="E333" s="4" t="n"/>
      <c r="F333" s="4" t="n"/>
      <c r="G333" s="5" t="n"/>
      <c r="H333" s="5" t="n"/>
      <c r="I333" s="5" t="n"/>
      <c r="J333" s="5" t="n"/>
    </row>
    <row r="334">
      <c r="A334" t="n">
        <v>331</v>
      </c>
      <c r="B334" s="8" t="n"/>
      <c r="C334" s="4" t="n"/>
      <c r="D334" s="4" t="n"/>
      <c r="E334" s="4" t="n"/>
      <c r="F334" s="4" t="n"/>
      <c r="G334" s="5" t="n"/>
      <c r="H334" s="5" t="n"/>
      <c r="I334" s="5" t="n"/>
      <c r="J334" s="5" t="n"/>
    </row>
    <row r="335">
      <c r="A335" t="n">
        <v>332</v>
      </c>
      <c r="B335" s="8" t="n"/>
      <c r="C335" s="4" t="n"/>
      <c r="D335" s="4" t="n"/>
      <c r="E335" s="4" t="n"/>
      <c r="F335" s="4" t="n"/>
      <c r="G335" s="5" t="n"/>
      <c r="H335" s="5" t="n"/>
      <c r="I335" s="5" t="n"/>
      <c r="J335" s="5" t="n"/>
    </row>
    <row r="336">
      <c r="A336" t="n">
        <v>333</v>
      </c>
      <c r="B336" s="8" t="n"/>
      <c r="C336" s="4" t="n"/>
      <c r="D336" s="4" t="n"/>
      <c r="E336" s="4" t="n"/>
      <c r="F336" s="4" t="n"/>
      <c r="G336" s="5" t="n"/>
      <c r="H336" s="5" t="n"/>
      <c r="I336" s="5" t="n"/>
      <c r="J336" s="5" t="n"/>
    </row>
    <row r="337">
      <c r="A337" t="n">
        <v>334</v>
      </c>
      <c r="B337" s="8" t="n"/>
      <c r="C337" s="4" t="n"/>
      <c r="D337" s="4" t="n"/>
      <c r="E337" s="4" t="n"/>
      <c r="F337" s="4" t="n"/>
      <c r="G337" s="5" t="n"/>
      <c r="H337" s="5" t="n"/>
      <c r="I337" s="5" t="n"/>
      <c r="J337" s="5" t="n"/>
    </row>
    <row r="338">
      <c r="A338" t="n">
        <v>335</v>
      </c>
      <c r="B338" s="8" t="n"/>
      <c r="C338" s="4" t="n"/>
      <c r="D338" s="4" t="n"/>
      <c r="E338" s="4" t="n"/>
      <c r="F338" s="4" t="n"/>
      <c r="G338" s="5" t="n"/>
      <c r="H338" s="5" t="n"/>
      <c r="I338" s="5" t="n"/>
      <c r="J338" s="5" t="n"/>
    </row>
    <row r="339">
      <c r="A339" t="n">
        <v>336</v>
      </c>
      <c r="B339" s="8" t="n"/>
      <c r="C339" s="4" t="n"/>
      <c r="D339" s="4" t="n"/>
      <c r="E339" s="4" t="n"/>
      <c r="F339" s="4" t="n"/>
      <c r="G339" s="5" t="n"/>
      <c r="H339" s="5" t="n"/>
      <c r="I339" s="5" t="n"/>
      <c r="J339" s="5" t="n"/>
    </row>
    <row r="340">
      <c r="A340" t="n">
        <v>337</v>
      </c>
      <c r="B340" s="8" t="n"/>
      <c r="C340" s="4" t="n"/>
      <c r="D340" s="4" t="n"/>
      <c r="E340" s="4" t="n"/>
      <c r="F340" s="4" t="n"/>
      <c r="G340" s="5" t="n"/>
      <c r="H340" s="5" t="n"/>
      <c r="I340" s="5" t="n"/>
      <c r="J340" s="5" t="n"/>
    </row>
    <row r="341">
      <c r="A341" t="n">
        <v>338</v>
      </c>
      <c r="B341" s="8" t="n"/>
      <c r="C341" s="4" t="n"/>
      <c r="D341" s="4" t="n"/>
      <c r="E341" s="4" t="n"/>
      <c r="F341" s="4" t="n"/>
      <c r="G341" s="5" t="n"/>
      <c r="H341" s="5" t="n"/>
      <c r="I341" s="5" t="n"/>
      <c r="J341" s="5" t="n"/>
    </row>
    <row r="342">
      <c r="A342" t="n">
        <v>339</v>
      </c>
      <c r="B342" s="8" t="n"/>
      <c r="C342" s="4" t="n"/>
      <c r="D342" s="4" t="n"/>
      <c r="E342" s="4" t="n"/>
      <c r="F342" s="4" t="n"/>
      <c r="G342" s="5" t="n"/>
      <c r="H342" s="5" t="n"/>
      <c r="I342" s="5" t="n"/>
      <c r="J342" s="5" t="n"/>
    </row>
    <row r="343">
      <c r="A343" t="n">
        <v>340</v>
      </c>
      <c r="B343" s="8" t="n"/>
      <c r="C343" s="4" t="n"/>
      <c r="D343" s="4" t="n"/>
      <c r="E343" s="4" t="n"/>
      <c r="F343" s="4" t="n"/>
      <c r="G343" s="5" t="n"/>
      <c r="H343" s="5" t="n"/>
      <c r="I343" s="5" t="n"/>
      <c r="J343" s="5" t="n"/>
    </row>
    <row r="344">
      <c r="A344" t="n">
        <v>341</v>
      </c>
      <c r="B344" s="8" t="n"/>
      <c r="C344" s="4" t="n"/>
      <c r="D344" s="4" t="n"/>
      <c r="E344" s="4" t="n"/>
      <c r="F344" s="4" t="n"/>
      <c r="G344" s="5" t="n"/>
      <c r="H344" s="5" t="n"/>
      <c r="I344" s="5" t="n"/>
      <c r="J344" s="5" t="n"/>
    </row>
    <row r="345">
      <c r="A345" t="n">
        <v>342</v>
      </c>
      <c r="B345" s="8" t="n"/>
      <c r="C345" s="4" t="n"/>
      <c r="D345" s="4" t="n"/>
      <c r="E345" s="4" t="n"/>
      <c r="F345" s="4" t="n"/>
      <c r="G345" s="5" t="n"/>
      <c r="H345" s="5" t="n"/>
      <c r="I345" s="5" t="n"/>
      <c r="J345" s="5" t="n"/>
    </row>
    <row r="346">
      <c r="A346" t="n">
        <v>343</v>
      </c>
      <c r="B346" s="8" t="n"/>
      <c r="C346" s="4" t="n"/>
      <c r="D346" s="4" t="n"/>
      <c r="E346" s="4" t="n"/>
      <c r="F346" s="4" t="n"/>
      <c r="G346" s="5" t="n"/>
      <c r="H346" s="5" t="n"/>
      <c r="I346" s="5" t="n"/>
      <c r="J346" s="5" t="n"/>
    </row>
    <row r="347">
      <c r="A347" t="n">
        <v>344</v>
      </c>
      <c r="B347" s="8" t="n"/>
      <c r="C347" s="4" t="n"/>
      <c r="D347" s="4" t="n"/>
      <c r="E347" s="4" t="n"/>
      <c r="F347" s="4" t="n"/>
      <c r="G347" s="5" t="n"/>
      <c r="H347" s="5" t="n"/>
      <c r="I347" s="5" t="n"/>
      <c r="J347" s="5" t="n"/>
    </row>
    <row r="348">
      <c r="A348" t="n">
        <v>345</v>
      </c>
      <c r="B348" s="8" t="n"/>
      <c r="C348" s="4" t="n"/>
      <c r="D348" s="4" t="n"/>
      <c r="E348" s="4" t="n"/>
      <c r="F348" s="4" t="n"/>
      <c r="G348" s="5" t="n"/>
      <c r="H348" s="5" t="n"/>
      <c r="I348" s="5" t="n"/>
      <c r="J348" s="5" t="n"/>
    </row>
    <row r="349">
      <c r="A349" t="n">
        <v>346</v>
      </c>
      <c r="B349" s="8" t="n"/>
      <c r="C349" s="4" t="n"/>
      <c r="D349" s="4" t="n"/>
      <c r="E349" s="4" t="n"/>
      <c r="F349" s="4" t="n"/>
      <c r="G349" s="5" t="n"/>
      <c r="H349" s="5" t="n"/>
      <c r="I349" s="5" t="n"/>
      <c r="J349" s="5" t="n"/>
    </row>
    <row r="350">
      <c r="A350" t="n">
        <v>347</v>
      </c>
      <c r="B350" s="8" t="n"/>
      <c r="C350" s="4" t="n"/>
      <c r="D350" s="4" t="n"/>
      <c r="E350" s="4" t="n"/>
      <c r="F350" s="4" t="n"/>
      <c r="G350" s="5" t="n"/>
      <c r="H350" s="5" t="n"/>
      <c r="I350" s="5" t="n"/>
      <c r="J350" s="5" t="n"/>
    </row>
    <row r="351">
      <c r="A351" t="n">
        <v>348</v>
      </c>
      <c r="B351" s="8" t="n"/>
      <c r="C351" s="4" t="n"/>
      <c r="D351" s="4" t="n"/>
      <c r="E351" s="4" t="n"/>
      <c r="F351" s="4" t="n"/>
      <c r="G351" s="5" t="n"/>
      <c r="H351" s="5" t="n"/>
      <c r="I351" s="5" t="n"/>
      <c r="J351" s="5" t="n"/>
    </row>
    <row r="352">
      <c r="A352" t="n">
        <v>349</v>
      </c>
      <c r="B352" s="8" t="n"/>
      <c r="C352" s="4" t="n"/>
      <c r="D352" s="4" t="n"/>
      <c r="E352" s="4" t="n"/>
      <c r="F352" s="4" t="n"/>
      <c r="G352" s="5" t="n"/>
      <c r="H352" s="5" t="n"/>
      <c r="I352" s="5" t="n"/>
      <c r="J352" s="5" t="n"/>
    </row>
    <row r="353">
      <c r="A353" t="n">
        <v>350</v>
      </c>
      <c r="B353" s="8" t="n"/>
      <c r="C353" s="4" t="n"/>
      <c r="D353" s="4" t="n"/>
      <c r="E353" s="4" t="n"/>
      <c r="F353" s="4" t="n"/>
      <c r="G353" s="5" t="n"/>
      <c r="H353" s="5" t="n"/>
      <c r="I353" s="5" t="n"/>
      <c r="J353" s="5" t="n"/>
    </row>
    <row r="354">
      <c r="A354" t="n">
        <v>351</v>
      </c>
      <c r="B354" s="8" t="n"/>
      <c r="C354" s="4" t="n"/>
      <c r="D354" s="4" t="n"/>
      <c r="E354" s="4" t="n"/>
      <c r="F354" s="4" t="n"/>
      <c r="G354" s="5" t="n"/>
      <c r="H354" s="5" t="n"/>
      <c r="I354" s="5" t="n"/>
      <c r="J354" s="5" t="n"/>
    </row>
    <row r="355">
      <c r="A355" t="n">
        <v>352</v>
      </c>
      <c r="B355" s="8" t="n"/>
      <c r="C355" s="4" t="n"/>
      <c r="D355" s="4" t="n"/>
      <c r="E355" s="4" t="n"/>
      <c r="F355" s="4" t="n"/>
      <c r="G355" s="5" t="n"/>
      <c r="H355" s="5" t="n"/>
      <c r="I355" s="5" t="n"/>
      <c r="J355" s="5" t="n"/>
    </row>
    <row r="356">
      <c r="A356" t="n">
        <v>353</v>
      </c>
      <c r="B356" s="8" t="n"/>
      <c r="C356" s="4" t="n"/>
      <c r="D356" s="4" t="n"/>
      <c r="E356" s="4" t="n"/>
      <c r="F356" s="4" t="n"/>
      <c r="G356" s="5" t="n"/>
      <c r="H356" s="5" t="n"/>
      <c r="I356" s="5" t="n"/>
      <c r="J356" s="5" t="n"/>
    </row>
    <row r="357">
      <c r="A357" t="n">
        <v>354</v>
      </c>
      <c r="B357" s="8" t="n"/>
      <c r="C357" s="4" t="n"/>
      <c r="D357" s="4" t="n"/>
      <c r="E357" s="4" t="n"/>
      <c r="F357" s="4" t="n"/>
      <c r="G357" s="5" t="n"/>
      <c r="H357" s="5" t="n"/>
      <c r="I357" s="5" t="n"/>
      <c r="J357" s="5" t="n"/>
    </row>
    <row r="358">
      <c r="A358" t="n">
        <v>355</v>
      </c>
      <c r="B358" s="8" t="n"/>
      <c r="C358" s="4" t="n"/>
      <c r="D358" s="4" t="n"/>
      <c r="E358" s="4" t="n"/>
      <c r="F358" s="4" t="n"/>
      <c r="G358" s="5" t="n"/>
      <c r="H358" s="5" t="n"/>
      <c r="I358" s="5" t="n"/>
      <c r="J358" s="5" t="n"/>
    </row>
    <row r="359">
      <c r="A359" t="n">
        <v>356</v>
      </c>
      <c r="B359" s="8" t="n"/>
      <c r="C359" s="4" t="n"/>
      <c r="D359" s="4" t="n"/>
      <c r="E359" s="4" t="n"/>
      <c r="F359" s="4" t="n"/>
      <c r="G359" s="5" t="n"/>
      <c r="H359" s="5" t="n"/>
      <c r="I359" s="5" t="n"/>
      <c r="J359" s="5" t="n"/>
    </row>
    <row r="360">
      <c r="A360" t="n">
        <v>357</v>
      </c>
      <c r="B360" s="8" t="n"/>
      <c r="C360" s="4" t="n"/>
      <c r="D360" s="4" t="n"/>
      <c r="E360" s="4" t="n"/>
      <c r="F360" s="4" t="n"/>
      <c r="G360" s="5" t="n"/>
      <c r="H360" s="5" t="n"/>
      <c r="I360" s="5" t="n"/>
      <c r="J360" s="5" t="n"/>
    </row>
    <row r="361">
      <c r="A361" t="n">
        <v>358</v>
      </c>
      <c r="B361" s="8" t="n"/>
      <c r="C361" s="4" t="n"/>
      <c r="D361" s="4" t="n"/>
      <c r="E361" s="4" t="n"/>
      <c r="F361" s="4" t="n"/>
      <c r="G361" s="5" t="n"/>
      <c r="H361" s="5" t="n"/>
      <c r="I361" s="5" t="n"/>
      <c r="J361" s="5" t="n"/>
    </row>
    <row r="362">
      <c r="A362" t="n">
        <v>359</v>
      </c>
      <c r="B362" s="8" t="n"/>
      <c r="C362" s="4" t="n"/>
      <c r="D362" s="4" t="n"/>
      <c r="E362" s="4" t="n"/>
      <c r="F362" s="4" t="n"/>
      <c r="G362" s="5" t="n"/>
      <c r="H362" s="5" t="n"/>
      <c r="I362" s="5" t="n"/>
      <c r="J362" s="5" t="n"/>
    </row>
    <row r="363">
      <c r="A363" t="n">
        <v>360</v>
      </c>
      <c r="B363" s="8" t="n"/>
      <c r="C363" s="4" t="n"/>
      <c r="D363" s="4" t="n"/>
      <c r="E363" s="4" t="n"/>
      <c r="F363" s="4" t="n"/>
      <c r="G363" s="5" t="n"/>
      <c r="H363" s="5" t="n"/>
      <c r="I363" s="5" t="n"/>
      <c r="J363" s="5" t="n"/>
    </row>
    <row r="364">
      <c r="A364" t="n">
        <v>361</v>
      </c>
      <c r="B364" s="8" t="n"/>
      <c r="C364" s="4" t="n"/>
      <c r="D364" s="4" t="n"/>
      <c r="E364" s="4" t="n"/>
      <c r="F364" s="4" t="n"/>
      <c r="G364" s="5" t="n"/>
      <c r="H364" s="5" t="n"/>
      <c r="I364" s="5" t="n"/>
      <c r="J364" s="5" t="n"/>
    </row>
    <row r="365">
      <c r="A365" t="n">
        <v>362</v>
      </c>
      <c r="B365" s="8" t="n"/>
      <c r="C365" s="4" t="n"/>
      <c r="D365" s="4" t="n"/>
      <c r="E365" s="4" t="n"/>
      <c r="F365" s="4" t="n"/>
      <c r="G365" s="5" t="n"/>
      <c r="H365" s="5" t="n"/>
      <c r="I365" s="5" t="n"/>
      <c r="J365" s="5" t="n"/>
    </row>
    <row r="366">
      <c r="A366" t="n">
        <v>363</v>
      </c>
      <c r="B366" s="8" t="n"/>
      <c r="C366" s="4" t="n"/>
      <c r="D366" s="4" t="n"/>
      <c r="E366" s="4" t="n"/>
      <c r="F366" s="4" t="n"/>
      <c r="G366" s="5" t="n"/>
      <c r="H366" s="5" t="n"/>
      <c r="I366" s="5" t="n"/>
      <c r="J366" s="5" t="n"/>
    </row>
    <row r="367">
      <c r="A367" t="n">
        <v>364</v>
      </c>
      <c r="B367" s="8" t="n"/>
      <c r="C367" s="4" t="n"/>
      <c r="D367" s="4" t="n"/>
      <c r="E367" s="4" t="n"/>
      <c r="F367" s="4" t="n"/>
      <c r="G367" s="5" t="n"/>
      <c r="H367" s="5" t="n"/>
      <c r="I367" s="5" t="n"/>
      <c r="J367" s="5" t="n"/>
    </row>
    <row r="368">
      <c r="A368" t="n">
        <v>365</v>
      </c>
      <c r="B368" s="8" t="n"/>
      <c r="C368" s="4" t="n"/>
      <c r="D368" s="4" t="n"/>
      <c r="E368" s="4" t="n"/>
      <c r="F368" s="4" t="n"/>
      <c r="G368" s="5" t="n"/>
      <c r="H368" s="5" t="n"/>
      <c r="I368" s="5" t="n"/>
      <c r="J368" s="5" t="n"/>
    </row>
    <row r="369">
      <c r="A369" t="n">
        <v>366</v>
      </c>
      <c r="B369" s="8" t="n"/>
      <c r="C369" s="4" t="n"/>
      <c r="D369" s="4" t="n"/>
      <c r="E369" s="4" t="n"/>
      <c r="F369" s="4" t="n"/>
      <c r="G369" s="5" t="n"/>
      <c r="H369" s="5" t="n"/>
      <c r="I369" s="5" t="n"/>
      <c r="J369" s="5" t="n"/>
    </row>
    <row r="370">
      <c r="A370" t="n">
        <v>367</v>
      </c>
      <c r="B370" s="8" t="n"/>
      <c r="C370" s="4" t="n"/>
      <c r="D370" s="4" t="n"/>
      <c r="E370" s="4" t="n"/>
      <c r="F370" s="4" t="n"/>
      <c r="G370" s="5" t="n"/>
      <c r="H370" s="5" t="n"/>
      <c r="I370" s="5" t="n"/>
      <c r="J370" s="5" t="n"/>
    </row>
    <row r="371">
      <c r="A371" t="n">
        <v>368</v>
      </c>
      <c r="B371" s="8" t="n"/>
      <c r="C371" s="4" t="n"/>
      <c r="D371" s="4" t="n"/>
      <c r="E371" s="4" t="n"/>
      <c r="F371" s="4" t="n"/>
      <c r="G371" s="5" t="n"/>
      <c r="H371" s="5" t="n"/>
      <c r="I371" s="5" t="n"/>
      <c r="J371" s="5" t="n"/>
    </row>
    <row r="372">
      <c r="A372" t="n">
        <v>369</v>
      </c>
      <c r="B372" s="8" t="n"/>
      <c r="C372" s="4" t="n"/>
      <c r="D372" s="4" t="n"/>
      <c r="E372" s="4" t="n"/>
      <c r="F372" s="4" t="n"/>
      <c r="G372" s="5" t="n"/>
      <c r="H372" s="5" t="n"/>
      <c r="I372" s="5" t="n"/>
      <c r="J372" s="5" t="n"/>
    </row>
    <row r="373">
      <c r="A373" t="n">
        <v>370</v>
      </c>
      <c r="B373" s="8" t="n"/>
      <c r="C373" s="4" t="n"/>
      <c r="D373" s="4" t="n"/>
      <c r="E373" s="4" t="n"/>
      <c r="F373" s="4" t="n"/>
      <c r="G373" s="5" t="n"/>
      <c r="H373" s="5" t="n"/>
      <c r="I373" s="5" t="n"/>
      <c r="J373" s="5" t="n"/>
    </row>
    <row r="374">
      <c r="A374" t="n">
        <v>371</v>
      </c>
      <c r="B374" s="8" t="n"/>
      <c r="C374" s="4" t="n"/>
      <c r="D374" s="4" t="n"/>
      <c r="E374" s="4" t="n"/>
      <c r="F374" s="4" t="n"/>
      <c r="G374" s="5" t="n"/>
      <c r="H374" s="5" t="n"/>
      <c r="I374" s="5" t="n"/>
      <c r="J374" s="5" t="n"/>
    </row>
    <row r="375">
      <c r="A375" t="n">
        <v>372</v>
      </c>
      <c r="B375" s="8" t="n"/>
      <c r="C375" s="4" t="n"/>
      <c r="D375" s="4" t="n"/>
      <c r="E375" s="4" t="n"/>
      <c r="F375" s="4" t="n"/>
      <c r="G375" s="5" t="n"/>
      <c r="H375" s="5" t="n"/>
      <c r="I375" s="5" t="n"/>
      <c r="J375" s="5" t="n"/>
    </row>
    <row r="376">
      <c r="A376" t="n">
        <v>373</v>
      </c>
      <c r="B376" s="8" t="n"/>
      <c r="C376" s="4" t="n"/>
      <c r="D376" s="4" t="n"/>
      <c r="E376" s="4" t="n"/>
      <c r="F376" s="4" t="n"/>
      <c r="G376" s="5" t="n"/>
      <c r="H376" s="5" t="n"/>
      <c r="I376" s="5" t="n"/>
      <c r="J376" s="5" t="n"/>
    </row>
    <row r="377">
      <c r="A377" t="n">
        <v>374</v>
      </c>
      <c r="B377" s="8" t="n"/>
      <c r="C377" s="4" t="n"/>
      <c r="D377" s="4" t="n"/>
      <c r="E377" s="4" t="n"/>
      <c r="F377" s="4" t="n"/>
      <c r="G377" s="5" t="n"/>
      <c r="H377" s="5" t="n"/>
      <c r="I377" s="5" t="n"/>
      <c r="J377" s="5" t="n"/>
    </row>
    <row r="378">
      <c r="A378" t="n">
        <v>375</v>
      </c>
      <c r="B378" s="8" t="n"/>
      <c r="C378" s="4" t="n"/>
      <c r="D378" s="4" t="n"/>
      <c r="E378" s="4" t="n"/>
      <c r="F378" s="4" t="n"/>
      <c r="G378" s="5" t="n"/>
      <c r="H378" s="5" t="n"/>
      <c r="I378" s="5" t="n"/>
      <c r="J378" s="5" t="n"/>
    </row>
    <row r="379">
      <c r="A379" t="n">
        <v>376</v>
      </c>
      <c r="B379" s="8" t="n"/>
      <c r="C379" s="4" t="n"/>
      <c r="D379" s="4" t="n"/>
      <c r="E379" s="4" t="n"/>
      <c r="F379" s="4" t="n"/>
      <c r="G379" s="5" t="n"/>
      <c r="H379" s="5" t="n"/>
      <c r="I379" s="5" t="n"/>
      <c r="J379" s="5" t="n"/>
    </row>
    <row r="380">
      <c r="A380" t="n">
        <v>377</v>
      </c>
      <c r="B380" s="8" t="n"/>
      <c r="C380" s="4" t="n"/>
      <c r="D380" s="4" t="n"/>
      <c r="E380" s="4" t="n"/>
      <c r="F380" s="4" t="n"/>
      <c r="G380" s="5" t="n"/>
      <c r="H380" s="5" t="n"/>
      <c r="I380" s="5" t="n"/>
      <c r="J380" s="5" t="n"/>
    </row>
    <row r="381">
      <c r="A381" t="n">
        <v>378</v>
      </c>
      <c r="B381" s="8" t="n"/>
      <c r="C381" s="4" t="n"/>
      <c r="D381" s="4" t="n"/>
      <c r="E381" s="4" t="n"/>
      <c r="F381" s="4" t="n"/>
      <c r="G381" s="5" t="n"/>
      <c r="H381" s="5" t="n"/>
      <c r="I381" s="5" t="n"/>
      <c r="J381" s="5" t="n"/>
    </row>
    <row r="382">
      <c r="A382" t="n">
        <v>379</v>
      </c>
      <c r="B382" s="8" t="n"/>
      <c r="C382" s="4" t="n"/>
      <c r="D382" s="4" t="n"/>
      <c r="E382" s="4" t="n"/>
      <c r="F382" s="4" t="n"/>
      <c r="G382" s="5" t="n"/>
      <c r="H382" s="5" t="n"/>
      <c r="I382" s="5" t="n"/>
      <c r="J382" s="5" t="n"/>
    </row>
    <row r="383">
      <c r="A383" t="n">
        <v>380</v>
      </c>
      <c r="B383" s="8" t="n"/>
      <c r="C383" s="4" t="n"/>
      <c r="D383" s="4" t="n"/>
      <c r="E383" s="4" t="n"/>
      <c r="F383" s="4" t="n"/>
      <c r="G383" s="5" t="n"/>
      <c r="H383" s="5" t="n"/>
      <c r="I383" s="5" t="n"/>
      <c r="J383" s="5" t="n"/>
    </row>
    <row r="384">
      <c r="A384" t="n">
        <v>381</v>
      </c>
      <c r="B384" s="8" t="n"/>
      <c r="C384" s="4" t="n"/>
      <c r="D384" s="4" t="n"/>
      <c r="E384" s="4" t="n"/>
      <c r="F384" s="4" t="n"/>
      <c r="G384" s="5" t="n"/>
      <c r="H384" s="5" t="n"/>
      <c r="I384" s="5" t="n"/>
      <c r="J384" s="5" t="n"/>
    </row>
    <row r="385">
      <c r="A385" t="n">
        <v>382</v>
      </c>
      <c r="B385" s="8" t="n"/>
      <c r="C385" s="4" t="n"/>
      <c r="D385" s="4" t="n"/>
      <c r="E385" s="4" t="n"/>
      <c r="F385" s="4" t="n"/>
      <c r="G385" s="5" t="n"/>
      <c r="H385" s="5" t="n"/>
      <c r="I385" s="5" t="n"/>
      <c r="J385" s="5" t="n"/>
    </row>
    <row r="386">
      <c r="A386" t="n">
        <v>383</v>
      </c>
      <c r="B386" s="8" t="n"/>
      <c r="C386" s="4" t="n"/>
      <c r="D386" s="4" t="n"/>
      <c r="E386" s="4" t="n"/>
      <c r="F386" s="4" t="n"/>
      <c r="G386" s="5" t="n"/>
      <c r="H386" s="5" t="n"/>
      <c r="I386" s="5" t="n"/>
      <c r="J386" s="5" t="n"/>
    </row>
    <row r="387">
      <c r="A387" t="n">
        <v>384</v>
      </c>
      <c r="B387" s="8" t="n"/>
      <c r="C387" s="4" t="n"/>
      <c r="D387" s="4" t="n"/>
      <c r="E387" s="4" t="n"/>
      <c r="F387" s="4" t="n"/>
      <c r="G387" s="5" t="n"/>
      <c r="H387" s="5" t="n"/>
      <c r="I387" s="5" t="n"/>
      <c r="J387" s="5" t="n"/>
    </row>
    <row r="388">
      <c r="A388" t="n">
        <v>385</v>
      </c>
      <c r="B388" s="8" t="n"/>
      <c r="C388" s="4" t="n"/>
      <c r="D388" s="4" t="n"/>
      <c r="E388" s="4" t="n"/>
      <c r="F388" s="4" t="n"/>
      <c r="G388" s="5" t="n"/>
      <c r="H388" s="5" t="n"/>
      <c r="I388" s="5" t="n"/>
      <c r="J388" s="5" t="n"/>
    </row>
    <row r="389">
      <c r="A389" t="n">
        <v>386</v>
      </c>
      <c r="B389" s="8" t="n"/>
      <c r="C389" s="4" t="n"/>
      <c r="D389" s="4" t="n"/>
      <c r="E389" s="4" t="n"/>
      <c r="F389" s="4" t="n"/>
      <c r="G389" s="5" t="n"/>
      <c r="H389" s="5" t="n"/>
      <c r="I389" s="5" t="n"/>
      <c r="J389" s="5" t="n"/>
    </row>
    <row r="390">
      <c r="A390" t="n">
        <v>387</v>
      </c>
      <c r="B390" s="8" t="n"/>
      <c r="C390" s="4" t="n"/>
      <c r="D390" s="4" t="n"/>
      <c r="E390" s="4" t="n"/>
      <c r="F390" s="4" t="n"/>
      <c r="G390" s="5" t="n"/>
      <c r="H390" s="5" t="n"/>
      <c r="I390" s="5" t="n"/>
      <c r="J390" s="5" t="n"/>
    </row>
    <row r="391">
      <c r="A391" t="n">
        <v>388</v>
      </c>
      <c r="B391" s="8" t="n"/>
      <c r="C391" s="4" t="n"/>
      <c r="D391" s="4" t="n"/>
      <c r="E391" s="4" t="n"/>
      <c r="F391" s="4" t="n"/>
      <c r="G391" s="5" t="n"/>
      <c r="H391" s="5" t="n"/>
      <c r="I391" s="5" t="n"/>
      <c r="J391" s="5" t="n"/>
    </row>
    <row r="392">
      <c r="A392" t="n">
        <v>389</v>
      </c>
      <c r="B392" s="8" t="n"/>
      <c r="C392" s="4" t="n"/>
      <c r="D392" s="4" t="n"/>
      <c r="E392" s="4" t="n"/>
      <c r="F392" s="4" t="n"/>
      <c r="G392" s="5" t="n"/>
      <c r="H392" s="5" t="n"/>
      <c r="I392" s="5" t="n"/>
      <c r="J392" s="5" t="n"/>
    </row>
    <row r="393">
      <c r="A393" t="n">
        <v>390</v>
      </c>
      <c r="B393" s="8" t="n"/>
      <c r="C393" s="4" t="n"/>
      <c r="D393" s="4" t="n"/>
      <c r="E393" s="4" t="n"/>
      <c r="F393" s="4" t="n"/>
      <c r="G393" s="5" t="n"/>
      <c r="H393" s="5" t="n"/>
      <c r="I393" s="5" t="n"/>
      <c r="J393" s="5" t="n"/>
    </row>
    <row r="394">
      <c r="A394" t="n">
        <v>391</v>
      </c>
      <c r="B394" s="8" t="n"/>
      <c r="C394" s="4" t="n"/>
      <c r="D394" s="4" t="n"/>
      <c r="E394" s="4" t="n"/>
      <c r="F394" s="4" t="n"/>
      <c r="G394" s="5" t="n"/>
      <c r="H394" s="5" t="n"/>
      <c r="I394" s="5" t="n"/>
      <c r="J394" s="5" t="n"/>
    </row>
    <row r="395">
      <c r="A395" t="n">
        <v>392</v>
      </c>
      <c r="B395" s="8" t="n"/>
      <c r="C395" s="4" t="n"/>
      <c r="D395" s="4" t="n"/>
      <c r="E395" s="4" t="n"/>
      <c r="F395" s="4" t="n"/>
      <c r="G395" s="5" t="n"/>
      <c r="H395" s="5" t="n"/>
      <c r="I395" s="5" t="n"/>
      <c r="J395" s="5" t="n"/>
    </row>
    <row r="396">
      <c r="A396" t="n">
        <v>393</v>
      </c>
      <c r="B396" s="8" t="n"/>
      <c r="C396" s="4" t="n"/>
      <c r="D396" s="4" t="n"/>
      <c r="E396" s="4" t="n"/>
      <c r="F396" s="4" t="n"/>
      <c r="G396" s="5" t="n"/>
      <c r="H396" s="5" t="n"/>
      <c r="I396" s="5" t="n"/>
      <c r="J396" s="5" t="n"/>
    </row>
    <row r="397">
      <c r="A397" t="n">
        <v>394</v>
      </c>
      <c r="B397" s="8" t="n"/>
      <c r="C397" s="4" t="n"/>
      <c r="D397" s="4" t="n"/>
      <c r="E397" s="4" t="n"/>
      <c r="F397" s="4" t="n"/>
      <c r="G397" s="5" t="n"/>
      <c r="H397" s="5" t="n"/>
      <c r="I397" s="5" t="n"/>
      <c r="J397" s="5" t="n"/>
    </row>
    <row r="398">
      <c r="A398" t="n">
        <v>395</v>
      </c>
      <c r="B398" s="8" t="n"/>
      <c r="C398" s="4" t="n"/>
      <c r="D398" s="4" t="n"/>
      <c r="E398" s="4" t="n"/>
      <c r="F398" s="4" t="n"/>
      <c r="G398" s="5" t="n"/>
      <c r="H398" s="5" t="n"/>
      <c r="I398" s="5" t="n"/>
      <c r="J398" s="5" t="n"/>
    </row>
    <row r="399">
      <c r="A399" t="n">
        <v>396</v>
      </c>
      <c r="B399" s="8" t="n"/>
      <c r="C399" s="4" t="n"/>
      <c r="D399" s="4" t="n"/>
      <c r="E399" s="4" t="n"/>
      <c r="F399" s="4" t="n"/>
      <c r="G399" s="5" t="n"/>
      <c r="H399" s="5" t="n"/>
      <c r="I399" s="5" t="n"/>
      <c r="J399" s="5" t="n"/>
    </row>
    <row r="400">
      <c r="A400" t="n">
        <v>397</v>
      </c>
      <c r="B400" s="8" t="n"/>
      <c r="C400" s="4" t="n"/>
      <c r="D400" s="4" t="n"/>
      <c r="E400" s="4" t="n"/>
      <c r="F400" s="4" t="n"/>
      <c r="G400" s="5" t="n"/>
      <c r="H400" s="5" t="n"/>
      <c r="I400" s="5" t="n"/>
      <c r="J400" s="5" t="n"/>
    </row>
    <row r="401">
      <c r="A401" t="n">
        <v>398</v>
      </c>
      <c r="B401" s="8" t="n"/>
      <c r="C401" s="4" t="n"/>
      <c r="D401" s="4" t="n"/>
      <c r="E401" s="4" t="n"/>
      <c r="F401" s="4" t="n"/>
      <c r="G401" s="5" t="n"/>
      <c r="H401" s="5" t="n"/>
      <c r="I401" s="5" t="n"/>
      <c r="J401" s="5" t="n"/>
    </row>
    <row r="402">
      <c r="A402" t="n">
        <v>399</v>
      </c>
      <c r="B402" s="8" t="n"/>
      <c r="C402" s="4" t="n"/>
      <c r="D402" s="4" t="n"/>
      <c r="E402" s="4" t="n"/>
      <c r="F402" s="4" t="n"/>
      <c r="G402" s="5" t="n"/>
      <c r="H402" s="5" t="n"/>
      <c r="I402" s="5" t="n"/>
      <c r="J402" s="5" t="n"/>
    </row>
    <row r="403">
      <c r="A403" t="n">
        <v>400</v>
      </c>
      <c r="B403" s="8" t="n"/>
      <c r="C403" s="4" t="n"/>
      <c r="D403" s="4" t="n"/>
      <c r="E403" s="4" t="n"/>
      <c r="F403" s="4" t="n"/>
      <c r="G403" s="5" t="n"/>
      <c r="H403" s="5" t="n"/>
      <c r="I403" s="5" t="n"/>
      <c r="J403" s="5" t="n"/>
    </row>
    <row r="404">
      <c r="A404" t="n">
        <v>401</v>
      </c>
      <c r="B404" s="8" t="n"/>
      <c r="C404" s="4" t="n"/>
      <c r="D404" s="4" t="n"/>
      <c r="E404" s="4" t="n"/>
      <c r="F404" s="4" t="n"/>
      <c r="G404" s="5" t="n"/>
      <c r="H404" s="5" t="n"/>
      <c r="I404" s="5" t="n"/>
      <c r="J404" s="5" t="n"/>
    </row>
    <row r="405">
      <c r="A405" t="n">
        <v>402</v>
      </c>
      <c r="B405" s="8" t="n"/>
      <c r="C405" s="4" t="n"/>
      <c r="D405" s="4" t="n"/>
      <c r="E405" s="4" t="n"/>
      <c r="F405" s="4" t="n"/>
      <c r="G405" s="5" t="n"/>
      <c r="H405" s="5" t="n"/>
      <c r="I405" s="5" t="n"/>
      <c r="J405" s="5" t="n"/>
    </row>
    <row r="406">
      <c r="A406" t="n">
        <v>403</v>
      </c>
      <c r="B406" s="8" t="n"/>
      <c r="C406" s="4" t="n"/>
      <c r="D406" s="4" t="n"/>
      <c r="E406" s="4" t="n"/>
      <c r="F406" s="4" t="n"/>
      <c r="G406" s="5" t="n"/>
      <c r="H406" s="5" t="n"/>
      <c r="I406" s="5" t="n"/>
      <c r="J406" s="5" t="n"/>
    </row>
    <row r="407">
      <c r="A407" t="n">
        <v>404</v>
      </c>
      <c r="B407" s="8" t="n"/>
      <c r="C407" s="4" t="n"/>
      <c r="D407" s="4" t="n"/>
      <c r="E407" s="4" t="n"/>
      <c r="F407" s="4" t="n"/>
      <c r="G407" s="5" t="n"/>
      <c r="H407" s="5" t="n"/>
      <c r="I407" s="5" t="n"/>
      <c r="J407" s="5" t="n"/>
    </row>
    <row r="408">
      <c r="A408" t="n">
        <v>405</v>
      </c>
      <c r="B408" s="8" t="n"/>
      <c r="C408" s="4" t="n"/>
      <c r="D408" s="4" t="n"/>
      <c r="E408" s="4" t="n"/>
      <c r="F408" s="4" t="n"/>
      <c r="G408" s="5" t="n"/>
      <c r="H408" s="5" t="n"/>
      <c r="I408" s="5" t="n"/>
      <c r="J408" s="5" t="n"/>
    </row>
    <row r="409">
      <c r="A409" t="n">
        <v>406</v>
      </c>
      <c r="B409" s="8" t="n"/>
      <c r="C409" s="4" t="n"/>
      <c r="D409" s="4" t="n"/>
      <c r="E409" s="4" t="n"/>
      <c r="F409" s="4" t="n"/>
      <c r="G409" s="5" t="n"/>
      <c r="H409" s="5" t="n"/>
      <c r="I409" s="5" t="n"/>
      <c r="J409" s="5" t="n"/>
    </row>
    <row r="410">
      <c r="A410" t="n">
        <v>407</v>
      </c>
      <c r="B410" s="8" t="n"/>
      <c r="C410" s="4" t="n"/>
      <c r="D410" s="4" t="n"/>
      <c r="E410" s="4" t="n"/>
      <c r="F410" s="4" t="n"/>
      <c r="G410" s="5" t="n"/>
      <c r="H410" s="5" t="n"/>
      <c r="I410" s="5" t="n"/>
      <c r="J410" s="5" t="n"/>
    </row>
    <row r="411">
      <c r="A411" t="n">
        <v>408</v>
      </c>
      <c r="B411" s="8" t="n"/>
      <c r="C411" s="4" t="n"/>
      <c r="D411" s="4" t="n"/>
      <c r="E411" s="4" t="n"/>
      <c r="F411" s="4" t="n"/>
      <c r="G411" s="5" t="n"/>
      <c r="H411" s="5" t="n"/>
      <c r="I411" s="5" t="n"/>
      <c r="J411" s="5" t="n"/>
    </row>
    <row r="412">
      <c r="A412" t="n">
        <v>409</v>
      </c>
      <c r="B412" s="8" t="n"/>
      <c r="C412" s="4" t="n"/>
      <c r="D412" s="4" t="n"/>
      <c r="E412" s="4" t="n"/>
      <c r="F412" s="4" t="n"/>
      <c r="G412" s="5" t="n"/>
      <c r="H412" s="5" t="n"/>
      <c r="I412" s="5" t="n"/>
      <c r="J412" s="5" t="n"/>
    </row>
    <row r="413">
      <c r="A413" t="n">
        <v>410</v>
      </c>
      <c r="B413" s="8" t="n"/>
      <c r="C413" s="4" t="n"/>
      <c r="D413" s="4" t="n"/>
      <c r="E413" s="4" t="n"/>
      <c r="F413" s="4" t="n"/>
      <c r="G413" s="5" t="n"/>
      <c r="H413" s="5" t="n"/>
      <c r="I413" s="5" t="n"/>
      <c r="J413" s="5" t="n"/>
    </row>
    <row r="414">
      <c r="A414" t="n">
        <v>411</v>
      </c>
      <c r="B414" s="8" t="n"/>
      <c r="C414" s="4" t="n"/>
      <c r="D414" s="4" t="n"/>
      <c r="E414" s="4" t="n"/>
      <c r="F414" s="4" t="n"/>
      <c r="G414" s="5" t="n"/>
      <c r="H414" s="5" t="n"/>
      <c r="I414" s="5" t="n"/>
      <c r="J414" s="5" t="n"/>
    </row>
    <row r="415">
      <c r="A415" t="n">
        <v>412</v>
      </c>
      <c r="B415" s="8" t="n"/>
      <c r="C415" s="4" t="n"/>
      <c r="D415" s="4" t="n"/>
      <c r="E415" s="4" t="n"/>
      <c r="F415" s="4" t="n"/>
      <c r="G415" s="5" t="n"/>
      <c r="H415" s="5" t="n"/>
      <c r="I415" s="5" t="n"/>
      <c r="J415" s="5" t="n"/>
    </row>
    <row r="416">
      <c r="A416" t="n">
        <v>413</v>
      </c>
      <c r="B416" s="8" t="n"/>
      <c r="C416" s="4" t="n"/>
      <c r="D416" s="4" t="n"/>
      <c r="E416" s="4" t="n"/>
      <c r="F416" s="4" t="n"/>
      <c r="G416" s="5" t="n"/>
      <c r="H416" s="5" t="n"/>
      <c r="I416" s="5" t="n"/>
      <c r="J416" s="5" t="n"/>
    </row>
    <row r="417">
      <c r="A417" t="n">
        <v>414</v>
      </c>
      <c r="B417" s="8" t="n"/>
      <c r="C417" s="4" t="n"/>
      <c r="D417" s="4" t="n"/>
      <c r="E417" s="4" t="n"/>
      <c r="F417" s="4" t="n"/>
      <c r="G417" s="5" t="n"/>
      <c r="H417" s="5" t="n"/>
      <c r="I417" s="5" t="n"/>
      <c r="J417" s="5" t="n"/>
    </row>
    <row r="418">
      <c r="A418" t="n">
        <v>415</v>
      </c>
      <c r="B418" s="8" t="n"/>
      <c r="C418" s="4" t="n"/>
      <c r="D418" s="4" t="n"/>
      <c r="E418" s="4" t="n"/>
      <c r="F418" s="4" t="n"/>
      <c r="G418" s="5" t="n"/>
      <c r="H418" s="5" t="n"/>
      <c r="I418" s="5" t="n"/>
      <c r="J418" s="5" t="n"/>
    </row>
    <row r="419">
      <c r="A419" t="n">
        <v>416</v>
      </c>
      <c r="B419" s="8" t="n"/>
      <c r="C419" s="4" t="n"/>
      <c r="D419" s="4" t="n"/>
      <c r="E419" s="4" t="n"/>
      <c r="F419" s="4" t="n"/>
      <c r="G419" s="5" t="n"/>
      <c r="H419" s="5" t="n"/>
      <c r="I419" s="5" t="n"/>
      <c r="J419" s="5" t="n"/>
    </row>
    <row r="420">
      <c r="A420" t="n">
        <v>417</v>
      </c>
      <c r="B420" s="8" t="n"/>
      <c r="C420" s="4" t="n"/>
      <c r="D420" s="4" t="n"/>
      <c r="E420" s="4" t="n"/>
      <c r="F420" s="4" t="n"/>
      <c r="G420" s="5" t="n"/>
      <c r="H420" s="5" t="n"/>
      <c r="I420" s="5" t="n"/>
      <c r="J420" s="5" t="n"/>
    </row>
    <row r="421">
      <c r="A421" t="n">
        <v>418</v>
      </c>
      <c r="B421" s="8" t="n"/>
      <c r="C421" s="4" t="n"/>
      <c r="D421" s="4" t="n"/>
      <c r="E421" s="4" t="n"/>
      <c r="F421" s="4" t="n"/>
      <c r="G421" s="5" t="n"/>
      <c r="H421" s="5" t="n"/>
      <c r="I421" s="5" t="n"/>
      <c r="J421" s="5" t="n"/>
    </row>
    <row r="422">
      <c r="A422" t="n">
        <v>419</v>
      </c>
      <c r="B422" s="8" t="n"/>
      <c r="C422" s="4" t="n"/>
      <c r="D422" s="4" t="n"/>
      <c r="E422" s="4" t="n"/>
      <c r="F422" s="4" t="n"/>
      <c r="G422" s="5" t="n"/>
      <c r="H422" s="5" t="n"/>
      <c r="I422" s="5" t="n"/>
      <c r="J422" s="5" t="n"/>
    </row>
    <row r="423">
      <c r="A423" t="n">
        <v>420</v>
      </c>
      <c r="B423" s="8" t="n"/>
      <c r="C423" s="4" t="n"/>
      <c r="D423" s="4" t="n"/>
      <c r="E423" s="4" t="n"/>
      <c r="F423" s="4" t="n"/>
      <c r="G423" s="5" t="n"/>
      <c r="H423" s="5" t="n"/>
      <c r="I423" s="5" t="n"/>
      <c r="J423" s="5" t="n"/>
    </row>
    <row r="424">
      <c r="A424" t="n">
        <v>421</v>
      </c>
      <c r="B424" s="8" t="n"/>
      <c r="C424" s="4" t="n"/>
      <c r="D424" s="4" t="n"/>
      <c r="E424" s="4" t="n"/>
      <c r="F424" s="4" t="n"/>
      <c r="G424" s="5" t="n"/>
      <c r="H424" s="5" t="n"/>
      <c r="I424" s="5" t="n"/>
      <c r="J424" s="5" t="n"/>
    </row>
    <row r="425">
      <c r="A425" t="n">
        <v>422</v>
      </c>
      <c r="B425" s="8" t="n"/>
      <c r="C425" s="4" t="n"/>
      <c r="D425" s="4" t="n"/>
      <c r="E425" s="4" t="n"/>
      <c r="F425" s="4" t="n"/>
      <c r="G425" s="5" t="n"/>
      <c r="H425" s="5" t="n"/>
      <c r="I425" s="5" t="n"/>
      <c r="J425" s="5" t="n"/>
    </row>
    <row r="426">
      <c r="A426" t="n">
        <v>423</v>
      </c>
      <c r="B426" s="8" t="n"/>
      <c r="C426" s="4" t="n"/>
      <c r="D426" s="4" t="n"/>
      <c r="E426" s="4" t="n"/>
      <c r="F426" s="4" t="n"/>
      <c r="G426" s="5" t="n"/>
      <c r="H426" s="5" t="n"/>
      <c r="I426" s="5" t="n"/>
      <c r="J426" s="5" t="n"/>
    </row>
    <row r="427">
      <c r="A427" t="n">
        <v>424</v>
      </c>
      <c r="B427" s="8" t="n"/>
      <c r="C427" s="4" t="n"/>
      <c r="D427" s="4" t="n"/>
      <c r="E427" s="4" t="n"/>
      <c r="F427" s="4" t="n"/>
      <c r="G427" s="5" t="n"/>
      <c r="H427" s="5" t="n"/>
      <c r="I427" s="5" t="n"/>
      <c r="J427" s="5" t="n"/>
    </row>
    <row r="428">
      <c r="A428" t="n">
        <v>425</v>
      </c>
      <c r="B428" s="8" t="n"/>
      <c r="C428" s="4" t="n"/>
      <c r="D428" s="4" t="n"/>
      <c r="E428" s="4" t="n"/>
      <c r="F428" s="4" t="n"/>
      <c r="G428" s="5" t="n"/>
      <c r="H428" s="5" t="n"/>
      <c r="I428" s="5" t="n"/>
      <c r="J428" s="5" t="n"/>
    </row>
    <row r="429">
      <c r="A429" t="n">
        <v>426</v>
      </c>
      <c r="B429" s="8" t="n"/>
      <c r="C429" s="4" t="n"/>
      <c r="D429" s="4" t="n"/>
      <c r="E429" s="4" t="n"/>
      <c r="F429" s="4" t="n"/>
      <c r="G429" s="5" t="n"/>
      <c r="H429" s="5" t="n"/>
      <c r="I429" s="5" t="n"/>
      <c r="J429" s="5" t="n"/>
    </row>
    <row r="430">
      <c r="A430" t="n">
        <v>427</v>
      </c>
      <c r="B430" s="8" t="n"/>
      <c r="C430" s="4" t="n"/>
      <c r="D430" s="4" t="n"/>
      <c r="E430" s="4" t="n"/>
      <c r="F430" s="4" t="n"/>
      <c r="G430" s="5" t="n"/>
      <c r="H430" s="5" t="n"/>
      <c r="I430" s="5" t="n"/>
      <c r="J430" s="5" t="n"/>
    </row>
    <row r="431">
      <c r="A431" t="n">
        <v>428</v>
      </c>
      <c r="B431" s="8" t="n"/>
      <c r="C431" s="4" t="n"/>
      <c r="D431" s="4" t="n"/>
      <c r="E431" s="4" t="n"/>
      <c r="F431" s="4" t="n"/>
      <c r="G431" s="5" t="n"/>
      <c r="H431" s="5" t="n"/>
      <c r="I431" s="5" t="n"/>
      <c r="J431" s="5" t="n"/>
    </row>
    <row r="432">
      <c r="A432" t="n">
        <v>429</v>
      </c>
      <c r="B432" s="8" t="n"/>
      <c r="C432" s="4" t="n"/>
      <c r="D432" s="4" t="n"/>
      <c r="E432" s="4" t="n"/>
      <c r="F432" s="4" t="n"/>
      <c r="G432" s="5" t="n"/>
      <c r="H432" s="5" t="n"/>
      <c r="I432" s="5" t="n"/>
      <c r="J432" s="5" t="n"/>
    </row>
    <row r="433">
      <c r="A433" t="n">
        <v>430</v>
      </c>
      <c r="B433" s="8" t="n"/>
      <c r="C433" s="4" t="n"/>
      <c r="D433" s="4" t="n"/>
      <c r="E433" s="4" t="n"/>
      <c r="F433" s="4" t="n"/>
      <c r="G433" s="5" t="n"/>
      <c r="H433" s="5" t="n"/>
      <c r="I433" s="5" t="n"/>
      <c r="J433" s="5" t="n"/>
    </row>
    <row r="434">
      <c r="A434" t="n">
        <v>431</v>
      </c>
      <c r="B434" s="8" t="n"/>
      <c r="C434" s="4" t="n"/>
      <c r="D434" s="4" t="n"/>
      <c r="E434" s="4" t="n"/>
      <c r="F434" s="4" t="n"/>
      <c r="G434" s="5" t="n"/>
      <c r="H434" s="5" t="n"/>
      <c r="I434" s="5" t="n"/>
      <c r="J434" s="5" t="n"/>
    </row>
    <row r="435">
      <c r="A435" t="n">
        <v>432</v>
      </c>
      <c r="B435" s="8" t="n"/>
      <c r="C435" s="4" t="n"/>
      <c r="D435" s="4" t="n"/>
      <c r="E435" s="4" t="n"/>
      <c r="F435" s="4" t="n"/>
      <c r="G435" s="5" t="n"/>
      <c r="H435" s="5" t="n"/>
      <c r="I435" s="5" t="n"/>
      <c r="J435" s="5" t="n"/>
    </row>
    <row r="436">
      <c r="A436" t="n">
        <v>433</v>
      </c>
      <c r="B436" s="8" t="n"/>
      <c r="C436" s="4" t="n"/>
      <c r="D436" s="4" t="n"/>
      <c r="E436" s="4" t="n"/>
      <c r="F436" s="4" t="n"/>
      <c r="G436" s="5" t="n"/>
      <c r="H436" s="5" t="n"/>
      <c r="I436" s="5" t="n"/>
      <c r="J436" s="5" t="n"/>
    </row>
    <row r="437">
      <c r="A437" t="n">
        <v>434</v>
      </c>
      <c r="B437" s="8" t="n"/>
      <c r="C437" s="4" t="n"/>
      <c r="D437" s="4" t="n"/>
      <c r="E437" s="4" t="n"/>
      <c r="F437" s="4" t="n"/>
      <c r="G437" s="5" t="n"/>
      <c r="H437" s="5" t="n"/>
      <c r="I437" s="5" t="n"/>
      <c r="J437" s="5" t="n"/>
    </row>
    <row r="438">
      <c r="A438" t="n">
        <v>435</v>
      </c>
      <c r="B438" s="8" t="n"/>
      <c r="C438" s="4" t="n"/>
      <c r="D438" s="4" t="n"/>
      <c r="E438" s="4" t="n"/>
      <c r="F438" s="4" t="n"/>
      <c r="G438" s="5" t="n"/>
      <c r="H438" s="5" t="n"/>
      <c r="I438" s="5" t="n"/>
      <c r="J438" s="5" t="n"/>
    </row>
    <row r="439">
      <c r="A439" t="n">
        <v>436</v>
      </c>
      <c r="B439" s="8" t="n"/>
      <c r="C439" s="4" t="n"/>
      <c r="D439" s="4" t="n"/>
      <c r="E439" s="4" t="n"/>
      <c r="F439" s="4" t="n"/>
      <c r="G439" s="5" t="n"/>
      <c r="H439" s="5" t="n"/>
      <c r="I439" s="5" t="n"/>
      <c r="J439" s="5" t="n"/>
    </row>
    <row r="440">
      <c r="A440" t="n">
        <v>437</v>
      </c>
      <c r="B440" s="8" t="n"/>
      <c r="C440" s="4" t="n"/>
      <c r="D440" s="4" t="n"/>
      <c r="E440" s="4" t="n"/>
      <c r="F440" s="4" t="n"/>
      <c r="G440" s="5" t="n"/>
      <c r="H440" s="5" t="n"/>
      <c r="I440" s="5" t="n"/>
      <c r="J440" s="5" t="n"/>
    </row>
    <row r="441">
      <c r="A441" t="n">
        <v>438</v>
      </c>
      <c r="B441" s="8" t="n"/>
      <c r="C441" s="4" t="n"/>
      <c r="D441" s="4" t="n"/>
      <c r="E441" s="4" t="n"/>
      <c r="F441" s="4" t="n"/>
      <c r="G441" s="5" t="n"/>
      <c r="H441" s="5" t="n"/>
      <c r="I441" s="5" t="n"/>
      <c r="J441" s="5" t="n"/>
    </row>
    <row r="442">
      <c r="A442" t="n">
        <v>439</v>
      </c>
      <c r="B442" s="8" t="n"/>
      <c r="C442" s="4" t="n"/>
      <c r="D442" s="4" t="n"/>
      <c r="E442" s="4" t="n"/>
      <c r="F442" s="4" t="n"/>
      <c r="G442" s="5" t="n"/>
      <c r="H442" s="5" t="n"/>
      <c r="I442" s="5" t="n"/>
      <c r="J442" s="5" t="n"/>
    </row>
    <row r="443">
      <c r="A443" t="n">
        <v>440</v>
      </c>
      <c r="B443" s="8" t="n"/>
      <c r="C443" s="4" t="n"/>
      <c r="D443" s="4" t="n"/>
      <c r="E443" s="4" t="n"/>
      <c r="F443" s="4" t="n"/>
      <c r="G443" s="5" t="n"/>
      <c r="H443" s="5" t="n"/>
      <c r="I443" s="5" t="n"/>
      <c r="J443" s="5" t="n"/>
    </row>
    <row r="444">
      <c r="A444" t="n">
        <v>441</v>
      </c>
      <c r="B444" s="8" t="n"/>
      <c r="C444" s="4" t="n"/>
      <c r="D444" s="4" t="n"/>
      <c r="E444" s="4" t="n"/>
      <c r="F444" s="4" t="n"/>
      <c r="G444" s="5" t="n"/>
      <c r="H444" s="5" t="n"/>
      <c r="I444" s="5" t="n"/>
      <c r="J444" s="5" t="n"/>
    </row>
    <row r="445">
      <c r="A445" t="n">
        <v>442</v>
      </c>
      <c r="B445" s="8" t="n"/>
      <c r="C445" s="4" t="n"/>
      <c r="D445" s="4" t="n"/>
      <c r="E445" s="4" t="n"/>
      <c r="F445" s="4" t="n"/>
      <c r="G445" s="5" t="n"/>
      <c r="H445" s="5" t="n"/>
      <c r="I445" s="5" t="n"/>
      <c r="J445" s="5" t="n"/>
    </row>
    <row r="446">
      <c r="A446" t="n">
        <v>443</v>
      </c>
      <c r="B446" s="8" t="n"/>
      <c r="C446" s="4" t="n"/>
      <c r="D446" s="4" t="n"/>
      <c r="E446" s="4" t="n"/>
      <c r="F446" s="4" t="n"/>
      <c r="G446" s="5" t="n"/>
      <c r="H446" s="5" t="n"/>
      <c r="I446" s="5" t="n"/>
      <c r="J446" s="5" t="n"/>
    </row>
    <row r="447">
      <c r="A447" t="n">
        <v>444</v>
      </c>
      <c r="B447" s="8" t="n"/>
      <c r="C447" s="4" t="n"/>
      <c r="D447" s="4" t="n"/>
      <c r="E447" s="4" t="n"/>
      <c r="F447" s="4" t="n"/>
      <c r="G447" s="5" t="n"/>
      <c r="H447" s="5" t="n"/>
      <c r="I447" s="5" t="n"/>
      <c r="J447" s="5" t="n"/>
    </row>
    <row r="448">
      <c r="A448" t="n">
        <v>445</v>
      </c>
      <c r="B448" s="8" t="n"/>
      <c r="C448" s="4" t="n"/>
      <c r="D448" s="4" t="n"/>
      <c r="E448" s="4" t="n"/>
      <c r="F448" s="4" t="n"/>
      <c r="G448" s="5" t="n"/>
      <c r="H448" s="5" t="n"/>
      <c r="I448" s="5" t="n"/>
      <c r="J448" s="5" t="n"/>
    </row>
    <row r="449">
      <c r="A449" t="n">
        <v>446</v>
      </c>
      <c r="B449" s="8" t="n"/>
      <c r="C449" s="4" t="n"/>
      <c r="D449" s="4" t="n"/>
      <c r="E449" s="4" t="n"/>
      <c r="F449" s="4" t="n"/>
      <c r="G449" s="5" t="n"/>
      <c r="H449" s="5" t="n"/>
      <c r="I449" s="5" t="n"/>
      <c r="J449" s="5" t="n"/>
    </row>
    <row r="450">
      <c r="A450" t="n">
        <v>447</v>
      </c>
      <c r="B450" s="8" t="n"/>
      <c r="C450" s="4" t="n"/>
      <c r="D450" s="4" t="n"/>
      <c r="E450" s="4" t="n"/>
      <c r="F450" s="4" t="n"/>
      <c r="G450" s="5" t="n"/>
      <c r="H450" s="5" t="n"/>
      <c r="I450" s="5" t="n"/>
      <c r="J450" s="5" t="n"/>
    </row>
    <row r="451">
      <c r="A451" t="n">
        <v>448</v>
      </c>
      <c r="B451" s="8" t="n"/>
      <c r="C451" s="4" t="n"/>
      <c r="D451" s="4" t="n"/>
      <c r="E451" s="4" t="n"/>
      <c r="F451" s="4" t="n"/>
      <c r="G451" s="5" t="n"/>
      <c r="H451" s="5" t="n"/>
      <c r="I451" s="5" t="n"/>
      <c r="J451" s="5" t="n"/>
    </row>
    <row r="452">
      <c r="A452" t="n">
        <v>449</v>
      </c>
      <c r="B452" s="8" t="n"/>
      <c r="C452" s="4" t="n"/>
      <c r="D452" s="4" t="n"/>
      <c r="E452" s="4" t="n"/>
      <c r="F452" s="4" t="n"/>
      <c r="G452" s="5" t="n"/>
      <c r="H452" s="5" t="n"/>
      <c r="I452" s="5" t="n"/>
      <c r="J452" s="5" t="n"/>
    </row>
    <row r="453">
      <c r="A453" t="n">
        <v>450</v>
      </c>
      <c r="B453" s="8" t="n"/>
      <c r="C453" s="4" t="n"/>
      <c r="D453" s="4" t="n"/>
      <c r="E453" s="4" t="n"/>
      <c r="F453" s="4" t="n"/>
      <c r="G453" s="5" t="n"/>
      <c r="H453" s="5" t="n"/>
      <c r="I453" s="5" t="n"/>
      <c r="J453" s="5" t="n"/>
    </row>
    <row r="454">
      <c r="A454" t="n">
        <v>451</v>
      </c>
      <c r="B454" s="8" t="n"/>
      <c r="C454" s="4" t="n"/>
      <c r="D454" s="4" t="n"/>
      <c r="E454" s="4" t="n"/>
      <c r="F454" s="4" t="n"/>
      <c r="G454" s="5" t="n"/>
      <c r="H454" s="5" t="n"/>
      <c r="I454" s="5" t="n"/>
      <c r="J454" s="5" t="n"/>
    </row>
    <row r="455">
      <c r="A455" t="n">
        <v>452</v>
      </c>
      <c r="B455" s="8" t="n"/>
      <c r="C455" s="4" t="n"/>
      <c r="D455" s="4" t="n"/>
      <c r="E455" s="4" t="n"/>
      <c r="F455" s="4" t="n"/>
      <c r="G455" s="5" t="n"/>
      <c r="H455" s="5" t="n"/>
      <c r="I455" s="5" t="n"/>
      <c r="J455" s="5" t="n"/>
    </row>
    <row r="456">
      <c r="A456" t="n">
        <v>453</v>
      </c>
      <c r="B456" s="8" t="n"/>
      <c r="C456" s="4" t="n"/>
      <c r="D456" s="4" t="n"/>
      <c r="E456" s="4" t="n"/>
      <c r="F456" s="4" t="n"/>
      <c r="G456" s="5" t="n"/>
      <c r="H456" s="5" t="n"/>
      <c r="I456" s="5" t="n"/>
      <c r="J456" s="5" t="n"/>
    </row>
    <row r="457">
      <c r="A457" t="n">
        <v>454</v>
      </c>
      <c r="B457" s="8" t="n"/>
      <c r="C457" s="4" t="n"/>
      <c r="D457" s="4" t="n"/>
      <c r="E457" s="4" t="n"/>
      <c r="F457" s="4" t="n"/>
      <c r="G457" s="5" t="n"/>
      <c r="H457" s="5" t="n"/>
      <c r="I457" s="5" t="n"/>
      <c r="J457" s="5" t="n"/>
    </row>
    <row r="458">
      <c r="A458" t="n">
        <v>455</v>
      </c>
      <c r="B458" s="8" t="n"/>
      <c r="C458" s="4" t="n"/>
      <c r="D458" s="4" t="n"/>
      <c r="E458" s="4" t="n"/>
      <c r="F458" s="4" t="n"/>
      <c r="G458" s="5" t="n"/>
      <c r="H458" s="5" t="n"/>
      <c r="I458" s="5" t="n"/>
      <c r="J458" s="5" t="n"/>
    </row>
    <row r="459">
      <c r="A459" t="n">
        <v>456</v>
      </c>
      <c r="B459" s="8" t="n"/>
      <c r="C459" s="4" t="n"/>
      <c r="D459" s="4" t="n"/>
      <c r="E459" s="4" t="n"/>
      <c r="F459" s="4" t="n"/>
      <c r="G459" s="5" t="n"/>
      <c r="H459" s="5" t="n"/>
      <c r="I459" s="5" t="n"/>
      <c r="J459" s="5" t="n"/>
    </row>
    <row r="460">
      <c r="A460" t="n">
        <v>457</v>
      </c>
      <c r="B460" s="8" t="n"/>
      <c r="C460" s="4" t="n"/>
      <c r="D460" s="4" t="n"/>
      <c r="E460" s="4" t="n"/>
      <c r="F460" s="4" t="n"/>
      <c r="G460" s="5" t="n"/>
      <c r="H460" s="5" t="n"/>
      <c r="I460" s="5" t="n"/>
      <c r="J460" s="5" t="n"/>
    </row>
    <row r="461">
      <c r="A461" t="n">
        <v>458</v>
      </c>
      <c r="B461" s="8" t="n"/>
      <c r="C461" s="4" t="n"/>
      <c r="D461" s="4" t="n"/>
      <c r="E461" s="4" t="n"/>
      <c r="F461" s="4" t="n"/>
      <c r="G461" s="5" t="n"/>
      <c r="H461" s="5" t="n"/>
      <c r="I461" s="5" t="n"/>
      <c r="J461" s="5" t="n"/>
    </row>
    <row r="462">
      <c r="A462" t="n">
        <v>459</v>
      </c>
      <c r="B462" s="8" t="n"/>
      <c r="C462" s="4" t="n"/>
      <c r="D462" s="4" t="n"/>
      <c r="E462" s="4" t="n"/>
      <c r="F462" s="4" t="n"/>
      <c r="G462" s="5" t="n"/>
      <c r="H462" s="5" t="n"/>
      <c r="I462" s="5" t="n"/>
      <c r="J462" s="5" t="n"/>
    </row>
    <row r="463">
      <c r="A463" t="n">
        <v>460</v>
      </c>
      <c r="B463" s="8" t="n"/>
      <c r="C463" s="4" t="n"/>
      <c r="D463" s="4" t="n"/>
      <c r="E463" s="4" t="n"/>
      <c r="F463" s="4" t="n"/>
      <c r="G463" s="5" t="n"/>
      <c r="H463" s="5" t="n"/>
      <c r="I463" s="5" t="n"/>
      <c r="J463" s="5" t="n"/>
    </row>
    <row r="464">
      <c r="A464" t="n">
        <v>461</v>
      </c>
      <c r="B464" s="8" t="n"/>
      <c r="C464" s="4" t="n"/>
      <c r="D464" s="4" t="n"/>
      <c r="E464" s="4" t="n"/>
      <c r="F464" s="4" t="n"/>
      <c r="G464" s="5" t="n"/>
      <c r="H464" s="5" t="n"/>
      <c r="I464" s="5" t="n"/>
      <c r="J464" s="5" t="n"/>
    </row>
    <row r="465">
      <c r="A465" t="n">
        <v>462</v>
      </c>
      <c r="B465" s="8" t="n"/>
      <c r="C465" s="4" t="n"/>
      <c r="D465" s="4" t="n"/>
      <c r="E465" s="4" t="n"/>
      <c r="F465" s="4" t="n"/>
      <c r="G465" s="5" t="n"/>
      <c r="H465" s="5" t="n"/>
      <c r="I465" s="5" t="n"/>
      <c r="J465" s="5" t="n"/>
    </row>
    <row r="466">
      <c r="A466" t="n">
        <v>463</v>
      </c>
      <c r="B466" s="8" t="n"/>
      <c r="C466" s="4" t="n"/>
      <c r="D466" s="4" t="n"/>
      <c r="E466" s="4" t="n"/>
      <c r="F466" s="4" t="n"/>
      <c r="G466" s="5" t="n"/>
      <c r="H466" s="5" t="n"/>
      <c r="I466" s="5" t="n"/>
      <c r="J466" s="5" t="n"/>
    </row>
    <row r="467">
      <c r="A467" t="n">
        <v>464</v>
      </c>
      <c r="B467" s="8" t="n"/>
      <c r="C467" s="4" t="n"/>
      <c r="D467" s="4" t="n"/>
      <c r="E467" s="4" t="n"/>
      <c r="F467" s="4" t="n"/>
      <c r="G467" s="5" t="n"/>
      <c r="H467" s="5" t="n"/>
      <c r="I467" s="5" t="n"/>
      <c r="J467" s="5" t="n"/>
    </row>
    <row r="468">
      <c r="A468" t="n">
        <v>465</v>
      </c>
      <c r="B468" s="8" t="n"/>
      <c r="C468" s="4" t="n"/>
      <c r="D468" s="4" t="n"/>
      <c r="E468" s="4" t="n"/>
      <c r="F468" s="4" t="n"/>
      <c r="G468" s="5" t="n"/>
      <c r="H468" s="5" t="n"/>
      <c r="I468" s="5" t="n"/>
      <c r="J468" s="5" t="n"/>
    </row>
    <row r="469">
      <c r="A469" t="n">
        <v>466</v>
      </c>
      <c r="B469" s="8" t="n"/>
      <c r="C469" s="4" t="n"/>
      <c r="D469" s="4" t="n"/>
      <c r="E469" s="4" t="n"/>
      <c r="F469" s="4" t="n"/>
      <c r="G469" s="5" t="n"/>
      <c r="H469" s="5" t="n"/>
      <c r="I469" s="5" t="n"/>
      <c r="J469" s="5" t="n"/>
    </row>
    <row r="470">
      <c r="A470" t="n">
        <v>467</v>
      </c>
      <c r="B470" s="8" t="n"/>
      <c r="C470" s="4" t="n"/>
      <c r="D470" s="4" t="n"/>
      <c r="E470" s="4" t="n"/>
      <c r="F470" s="4" t="n"/>
      <c r="G470" s="5" t="n"/>
      <c r="H470" s="5" t="n"/>
      <c r="I470" s="5" t="n"/>
      <c r="J470" s="5" t="n"/>
    </row>
    <row r="471">
      <c r="A471" t="n">
        <v>468</v>
      </c>
      <c r="B471" s="8" t="n"/>
      <c r="C471" s="4" t="n"/>
      <c r="D471" s="4" t="n"/>
      <c r="E471" s="4" t="n"/>
      <c r="F471" s="4" t="n"/>
      <c r="G471" s="5" t="n"/>
      <c r="H471" s="5" t="n"/>
      <c r="I471" s="5" t="n"/>
      <c r="J471" s="5" t="n"/>
    </row>
    <row r="472">
      <c r="A472" t="n">
        <v>469</v>
      </c>
      <c r="B472" s="8" t="n"/>
      <c r="C472" s="4" t="n"/>
      <c r="D472" s="4" t="n"/>
      <c r="E472" s="4" t="n"/>
      <c r="F472" s="4" t="n"/>
      <c r="G472" s="5" t="n"/>
      <c r="H472" s="5" t="n"/>
      <c r="I472" s="5" t="n"/>
      <c r="J472" s="5" t="n"/>
    </row>
    <row r="473">
      <c r="A473" t="n">
        <v>470</v>
      </c>
      <c r="B473" s="8" t="n"/>
      <c r="C473" s="4" t="n"/>
      <c r="D473" s="4" t="n"/>
      <c r="E473" s="4" t="n"/>
      <c r="F473" s="4" t="n"/>
      <c r="G473" s="5" t="n"/>
      <c r="H473" s="5" t="n"/>
      <c r="I473" s="5" t="n"/>
      <c r="J473" s="5" t="n"/>
    </row>
    <row r="474">
      <c r="A474" t="n">
        <v>471</v>
      </c>
      <c r="B474" s="8" t="n"/>
      <c r="C474" s="4" t="n"/>
      <c r="D474" s="4" t="n"/>
      <c r="E474" s="4" t="n"/>
      <c r="F474" s="4" t="n"/>
      <c r="G474" s="5" t="n"/>
      <c r="H474" s="5" t="n"/>
      <c r="I474" s="5" t="n"/>
      <c r="J474" s="5" t="n"/>
    </row>
    <row r="475">
      <c r="A475" t="n">
        <v>472</v>
      </c>
      <c r="B475" s="8" t="n"/>
      <c r="C475" s="4" t="n"/>
      <c r="D475" s="4" t="n"/>
      <c r="E475" s="4" t="n"/>
      <c r="F475" s="4" t="n"/>
      <c r="G475" s="5" t="n"/>
      <c r="H475" s="5" t="n"/>
      <c r="I475" s="5" t="n"/>
      <c r="J475" s="5" t="n"/>
    </row>
    <row r="476">
      <c r="A476" t="n">
        <v>473</v>
      </c>
      <c r="B476" s="8" t="n"/>
      <c r="C476" s="4" t="n"/>
      <c r="D476" s="4" t="n"/>
      <c r="E476" s="4" t="n"/>
      <c r="F476" s="4" t="n"/>
      <c r="G476" s="5" t="n"/>
      <c r="H476" s="5" t="n"/>
      <c r="I476" s="5" t="n"/>
      <c r="J476" s="5" t="n"/>
    </row>
    <row r="477">
      <c r="A477" t="n">
        <v>474</v>
      </c>
      <c r="B477" s="8" t="n"/>
      <c r="C477" s="4" t="n"/>
      <c r="D477" s="4" t="n"/>
      <c r="E477" s="4" t="n"/>
      <c r="F477" s="4" t="n"/>
      <c r="G477" s="5" t="n"/>
      <c r="H477" s="5" t="n"/>
      <c r="I477" s="5" t="n"/>
      <c r="J477" s="5" t="n"/>
    </row>
    <row r="478">
      <c r="A478" t="n">
        <v>475</v>
      </c>
      <c r="B478" s="8" t="n"/>
      <c r="C478" s="4" t="n"/>
      <c r="D478" s="4" t="n"/>
      <c r="E478" s="4" t="n"/>
      <c r="F478" s="4" t="n"/>
      <c r="G478" s="5" t="n"/>
      <c r="H478" s="5" t="n"/>
      <c r="I478" s="5" t="n"/>
      <c r="J478" s="5" t="n"/>
    </row>
    <row r="479">
      <c r="A479" t="n">
        <v>476</v>
      </c>
      <c r="B479" s="8" t="n"/>
      <c r="C479" s="4" t="n"/>
      <c r="D479" s="4" t="n"/>
      <c r="E479" s="4" t="n"/>
      <c r="F479" s="4" t="n"/>
      <c r="G479" s="5" t="n"/>
      <c r="H479" s="5" t="n"/>
      <c r="I479" s="5" t="n"/>
      <c r="J479" s="5" t="n"/>
    </row>
    <row r="480">
      <c r="A480" t="n">
        <v>477</v>
      </c>
      <c r="B480" s="8" t="n"/>
      <c r="C480" s="4" t="n"/>
      <c r="D480" s="4" t="n"/>
      <c r="E480" s="4" t="n"/>
      <c r="F480" s="4" t="n"/>
      <c r="G480" s="5" t="n"/>
      <c r="H480" s="5" t="n"/>
      <c r="I480" s="5" t="n"/>
      <c r="J480" s="5" t="n"/>
    </row>
    <row r="481">
      <c r="A481" t="n">
        <v>478</v>
      </c>
      <c r="B481" s="8" t="n"/>
      <c r="C481" s="4" t="n"/>
      <c r="D481" s="4" t="n"/>
      <c r="E481" s="4" t="n"/>
      <c r="F481" s="4" t="n"/>
      <c r="G481" s="5" t="n"/>
      <c r="H481" s="5" t="n"/>
      <c r="I481" s="5" t="n"/>
      <c r="J481" s="5" t="n"/>
    </row>
    <row r="482">
      <c r="A482" t="n">
        <v>479</v>
      </c>
      <c r="B482" s="8" t="n"/>
      <c r="C482" s="4" t="n"/>
      <c r="D482" s="4" t="n"/>
      <c r="E482" s="4" t="n"/>
      <c r="F482" s="4" t="n"/>
      <c r="G482" s="5" t="n"/>
      <c r="H482" s="5" t="n"/>
      <c r="I482" s="5" t="n"/>
      <c r="J482" s="5" t="n"/>
    </row>
    <row r="483">
      <c r="A483" t="n">
        <v>480</v>
      </c>
      <c r="B483" s="8" t="n"/>
      <c r="C483" s="4" t="n"/>
      <c r="D483" s="4" t="n"/>
      <c r="E483" s="4" t="n"/>
      <c r="F483" s="4" t="n"/>
      <c r="G483" s="5" t="n"/>
      <c r="H483" s="5" t="n"/>
      <c r="I483" s="5" t="n"/>
      <c r="J483" s="5" t="n"/>
    </row>
    <row r="484">
      <c r="A484" t="n">
        <v>481</v>
      </c>
      <c r="B484" s="8" t="n"/>
      <c r="C484" s="4" t="n"/>
      <c r="D484" s="4" t="n"/>
      <c r="E484" s="4" t="n"/>
      <c r="F484" s="4" t="n"/>
      <c r="G484" s="5" t="n"/>
      <c r="H484" s="5" t="n"/>
      <c r="I484" s="5" t="n"/>
      <c r="J484" s="5" t="n"/>
    </row>
    <row r="485">
      <c r="A485" t="n">
        <v>482</v>
      </c>
      <c r="B485" s="8" t="n"/>
      <c r="C485" s="4" t="n"/>
      <c r="D485" s="4" t="n"/>
      <c r="E485" s="4" t="n"/>
      <c r="F485" s="4" t="n"/>
      <c r="G485" s="5" t="n"/>
      <c r="H485" s="5" t="n"/>
      <c r="I485" s="5" t="n"/>
      <c r="J485" s="5" t="n"/>
    </row>
    <row r="486">
      <c r="A486" t="n">
        <v>483</v>
      </c>
      <c r="B486" s="8" t="n"/>
      <c r="C486" s="4" t="n"/>
      <c r="D486" s="4" t="n"/>
      <c r="E486" s="4" t="n"/>
      <c r="F486" s="4" t="n"/>
      <c r="G486" s="5" t="n"/>
      <c r="H486" s="5" t="n"/>
      <c r="I486" s="5" t="n"/>
      <c r="J486" s="5" t="n"/>
    </row>
    <row r="487">
      <c r="A487" t="n">
        <v>484</v>
      </c>
      <c r="B487" s="8" t="n"/>
      <c r="C487" s="4" t="n"/>
      <c r="D487" s="4" t="n"/>
      <c r="E487" s="4" t="n"/>
      <c r="F487" s="4" t="n"/>
      <c r="G487" s="5" t="n"/>
      <c r="H487" s="5" t="n"/>
      <c r="I487" s="5" t="n"/>
      <c r="J487" s="5" t="n"/>
    </row>
    <row r="488">
      <c r="A488" t="n">
        <v>485</v>
      </c>
      <c r="B488" s="8" t="n"/>
      <c r="C488" s="4" t="n"/>
      <c r="D488" s="4" t="n"/>
      <c r="E488" s="4" t="n"/>
      <c r="F488" s="4" t="n"/>
      <c r="G488" s="5" t="n"/>
      <c r="H488" s="5" t="n"/>
      <c r="I488" s="5" t="n"/>
      <c r="J488" s="5" t="n"/>
    </row>
    <row r="489">
      <c r="A489" t="n">
        <v>486</v>
      </c>
      <c r="B489" s="8" t="n"/>
      <c r="C489" s="4" t="n"/>
      <c r="D489" s="4" t="n"/>
      <c r="E489" s="4" t="n"/>
      <c r="F489" s="4" t="n"/>
      <c r="G489" s="5" t="n"/>
      <c r="H489" s="5" t="n"/>
      <c r="I489" s="5" t="n"/>
      <c r="J489" s="5" t="n"/>
    </row>
    <row r="490">
      <c r="A490" t="n">
        <v>487</v>
      </c>
      <c r="B490" s="8" t="n"/>
      <c r="C490" s="4" t="n"/>
      <c r="D490" s="4" t="n"/>
      <c r="E490" s="4" t="n"/>
      <c r="F490" s="4" t="n"/>
      <c r="G490" s="5" t="n"/>
      <c r="H490" s="5" t="n"/>
      <c r="I490" s="5" t="n"/>
      <c r="J490" s="5" t="n"/>
    </row>
    <row r="491">
      <c r="A491" t="n">
        <v>488</v>
      </c>
      <c r="B491" s="8" t="n"/>
      <c r="C491" s="4" t="n"/>
      <c r="D491" s="4" t="n"/>
      <c r="E491" s="4" t="n"/>
      <c r="F491" s="4" t="n"/>
      <c r="G491" s="5" t="n"/>
      <c r="H491" s="5" t="n"/>
      <c r="I491" s="5" t="n"/>
      <c r="J491" s="5" t="n"/>
    </row>
    <row r="492">
      <c r="A492" t="n">
        <v>489</v>
      </c>
      <c r="B492" s="8" t="n"/>
      <c r="C492" s="4" t="n"/>
      <c r="D492" s="4" t="n"/>
      <c r="E492" s="4" t="n"/>
      <c r="F492" s="4" t="n"/>
      <c r="G492" s="5" t="n"/>
      <c r="H492" s="5" t="n"/>
      <c r="I492" s="5" t="n"/>
      <c r="J492" s="5" t="n"/>
    </row>
    <row r="493">
      <c r="A493" t="n">
        <v>490</v>
      </c>
      <c r="B493" s="8" t="n"/>
      <c r="C493" s="4" t="n"/>
      <c r="D493" s="4" t="n"/>
      <c r="E493" s="4" t="n"/>
      <c r="F493" s="4" t="n"/>
      <c r="G493" s="5" t="n"/>
      <c r="H493" s="5" t="n"/>
      <c r="I493" s="5" t="n"/>
      <c r="J493" s="5" t="n"/>
    </row>
    <row r="494">
      <c r="A494" t="n">
        <v>491</v>
      </c>
      <c r="B494" s="8" t="n"/>
      <c r="C494" s="4" t="n"/>
      <c r="D494" s="4" t="n"/>
      <c r="E494" s="4" t="n"/>
      <c r="F494" s="4" t="n"/>
      <c r="G494" s="5" t="n"/>
      <c r="H494" s="5" t="n"/>
      <c r="I494" s="5" t="n"/>
      <c r="J494" s="5" t="n"/>
    </row>
    <row r="495">
      <c r="A495" t="n">
        <v>492</v>
      </c>
      <c r="B495" s="8" t="n"/>
      <c r="C495" s="4" t="n"/>
      <c r="D495" s="4" t="n"/>
      <c r="E495" s="4" t="n"/>
      <c r="F495" s="4" t="n"/>
      <c r="G495" s="5" t="n"/>
      <c r="H495" s="5" t="n"/>
      <c r="I495" s="5" t="n"/>
      <c r="J495" s="5" t="n"/>
    </row>
    <row r="496">
      <c r="A496" t="n">
        <v>493</v>
      </c>
      <c r="B496" s="8" t="n"/>
      <c r="C496" s="4" t="n"/>
      <c r="D496" s="4" t="n"/>
      <c r="E496" s="4" t="n"/>
      <c r="F496" s="4" t="n"/>
      <c r="G496" s="5" t="n"/>
      <c r="H496" s="5" t="n"/>
      <c r="I496" s="5" t="n"/>
      <c r="J496" s="5" t="n"/>
    </row>
    <row r="497">
      <c r="A497" t="n">
        <v>494</v>
      </c>
      <c r="B497" s="8" t="n"/>
      <c r="C497" s="4" t="n"/>
      <c r="D497" s="4" t="n"/>
      <c r="E497" s="4" t="n"/>
      <c r="F497" s="4" t="n"/>
      <c r="G497" s="5" t="n"/>
      <c r="H497" s="5" t="n"/>
      <c r="I497" s="5" t="n"/>
      <c r="J497" s="5" t="n"/>
    </row>
    <row r="498">
      <c r="A498" t="n">
        <v>495</v>
      </c>
      <c r="B498" s="8" t="n"/>
      <c r="C498" s="4" t="n"/>
      <c r="D498" s="4" t="n"/>
      <c r="E498" s="4" t="n"/>
      <c r="F498" s="4" t="n"/>
      <c r="G498" s="5" t="n"/>
      <c r="H498" s="5" t="n"/>
      <c r="I498" s="5" t="n"/>
      <c r="J498" s="5" t="n"/>
    </row>
    <row r="499">
      <c r="A499" t="n">
        <v>496</v>
      </c>
      <c r="B499" s="8" t="n"/>
      <c r="C499" s="4" t="n"/>
      <c r="D499" s="4" t="n"/>
      <c r="E499" s="4" t="n"/>
      <c r="F499" s="4" t="n"/>
      <c r="G499" s="5" t="n"/>
      <c r="H499" s="5" t="n"/>
      <c r="I499" s="5" t="n"/>
      <c r="J499" s="5" t="n"/>
    </row>
    <row r="500">
      <c r="A500" t="n">
        <v>497</v>
      </c>
      <c r="B500" s="8" t="n"/>
      <c r="C500" s="4" t="n"/>
      <c r="D500" s="4" t="n"/>
      <c r="E500" s="4" t="n"/>
      <c r="F500" s="4" t="n"/>
      <c r="G500" s="5" t="n"/>
      <c r="H500" s="5" t="n"/>
      <c r="I500" s="5" t="n"/>
      <c r="J500" s="5" t="n"/>
    </row>
    <row r="501">
      <c r="A501" t="n">
        <v>498</v>
      </c>
      <c r="B501" s="8" t="n"/>
      <c r="C501" s="4" t="n"/>
      <c r="D501" s="4" t="n"/>
      <c r="E501" s="4" t="n"/>
      <c r="F501" s="4" t="n"/>
      <c r="G501" s="5" t="n"/>
      <c r="H501" s="5" t="n"/>
      <c r="I501" s="5" t="n"/>
      <c r="J501" s="5" t="n"/>
    </row>
    <row r="502">
      <c r="A502" t="n">
        <v>499</v>
      </c>
      <c r="B502" s="8" t="n"/>
      <c r="C502" s="4" t="n"/>
      <c r="D502" s="4" t="n"/>
      <c r="E502" s="4" t="n"/>
      <c r="F502" s="4" t="n"/>
      <c r="G502" s="5" t="n"/>
      <c r="H502" s="5" t="n"/>
      <c r="I502" s="5" t="n"/>
      <c r="J502" s="5" t="n"/>
    </row>
    <row r="503">
      <c r="A503" t="n">
        <v>500</v>
      </c>
      <c r="B503" s="8" t="n"/>
      <c r="C503" s="4" t="n"/>
      <c r="D503" s="4" t="n"/>
      <c r="E503" s="4" t="n"/>
      <c r="F503" s="4" t="n"/>
      <c r="G503" s="5" t="n"/>
      <c r="H503" s="5" t="n"/>
      <c r="I503" s="5" t="n"/>
      <c r="J503" s="5" t="n"/>
    </row>
    <row r="504">
      <c r="A504" t="n">
        <v>501</v>
      </c>
      <c r="B504" s="8" t="n"/>
      <c r="C504" s="4" t="n"/>
      <c r="D504" s="4" t="n"/>
      <c r="E504" s="4" t="n"/>
      <c r="F504" s="4" t="n"/>
      <c r="G504" s="5" t="n"/>
      <c r="H504" s="5" t="n"/>
      <c r="I504" s="5" t="n"/>
      <c r="J504" s="5" t="n"/>
    </row>
    <row r="505">
      <c r="A505" t="n">
        <v>502</v>
      </c>
      <c r="B505" s="8" t="n"/>
      <c r="C505" s="4" t="n"/>
      <c r="D505" s="4" t="n"/>
      <c r="E505" s="4" t="n"/>
      <c r="F505" s="4" t="n"/>
      <c r="G505" s="5" t="n"/>
      <c r="H505" s="5" t="n"/>
      <c r="I505" s="5" t="n"/>
      <c r="J505" s="5" t="n"/>
    </row>
    <row r="506">
      <c r="A506" t="n">
        <v>503</v>
      </c>
      <c r="B506" s="8" t="n"/>
      <c r="C506" s="4" t="n"/>
      <c r="D506" s="4" t="n"/>
      <c r="E506" s="4" t="n"/>
      <c r="F506" s="4" t="n"/>
      <c r="G506" s="5" t="n"/>
      <c r="H506" s="5" t="n"/>
      <c r="I506" s="5" t="n"/>
      <c r="J506" s="5" t="n"/>
    </row>
    <row r="507">
      <c r="A507" t="n">
        <v>504</v>
      </c>
      <c r="B507" s="8" t="n"/>
      <c r="C507" s="4" t="n"/>
      <c r="D507" s="4" t="n"/>
      <c r="E507" s="4" t="n"/>
      <c r="F507" s="4" t="n"/>
      <c r="G507" s="5" t="n"/>
      <c r="H507" s="5" t="n"/>
      <c r="I507" s="5" t="n"/>
      <c r="J507" s="5" t="n"/>
    </row>
    <row r="508">
      <c r="A508" t="n">
        <v>505</v>
      </c>
      <c r="B508" s="8" t="n"/>
      <c r="C508" s="4" t="n"/>
      <c r="D508" s="4" t="n"/>
      <c r="E508" s="4" t="n"/>
      <c r="F508" s="4" t="n"/>
      <c r="G508" s="5" t="n"/>
      <c r="H508" s="5" t="n"/>
      <c r="I508" s="5" t="n"/>
      <c r="J508" s="5" t="n"/>
    </row>
    <row r="509">
      <c r="A509" t="n">
        <v>506</v>
      </c>
      <c r="B509" s="8" t="n"/>
      <c r="C509" s="4" t="n"/>
      <c r="D509" s="4" t="n"/>
      <c r="E509" s="4" t="n"/>
      <c r="F509" s="4" t="n"/>
      <c r="G509" s="5" t="n"/>
      <c r="H509" s="5" t="n"/>
      <c r="I509" s="5" t="n"/>
      <c r="J509" s="5" t="n"/>
    </row>
    <row r="510">
      <c r="A510" t="n">
        <v>507</v>
      </c>
      <c r="B510" s="8" t="n"/>
      <c r="C510" s="4" t="n"/>
      <c r="D510" s="4" t="n"/>
      <c r="E510" s="4" t="n"/>
      <c r="F510" s="4" t="n"/>
      <c r="G510" s="5" t="n"/>
      <c r="H510" s="5" t="n"/>
      <c r="I510" s="5" t="n"/>
      <c r="J510" s="5" t="n"/>
    </row>
    <row r="511">
      <c r="A511" t="n">
        <v>508</v>
      </c>
      <c r="B511" s="8" t="n"/>
      <c r="C511" s="4" t="n"/>
      <c r="D511" s="4" t="n"/>
      <c r="E511" s="4" t="n"/>
      <c r="F511" s="4" t="n"/>
      <c r="G511" s="5" t="n"/>
      <c r="H511" s="5" t="n"/>
      <c r="I511" s="5" t="n"/>
      <c r="J511" s="5" t="n"/>
    </row>
    <row r="512">
      <c r="A512" t="n">
        <v>509</v>
      </c>
      <c r="B512" s="8" t="n"/>
      <c r="C512" s="4" t="n"/>
      <c r="D512" s="4" t="n"/>
      <c r="E512" s="4" t="n"/>
      <c r="F512" s="4" t="n"/>
      <c r="G512" s="5" t="n"/>
      <c r="H512" s="5" t="n"/>
      <c r="I512" s="5" t="n"/>
      <c r="J512" s="5" t="n"/>
    </row>
    <row r="513">
      <c r="A513" t="n">
        <v>510</v>
      </c>
      <c r="B513" s="8" t="n"/>
      <c r="C513" s="4" t="n"/>
      <c r="D513" s="4" t="n"/>
      <c r="E513" s="4" t="n"/>
      <c r="F513" s="4" t="n"/>
      <c r="G513" s="5" t="n"/>
      <c r="H513" s="5" t="n"/>
      <c r="I513" s="5" t="n"/>
      <c r="J513" s="5" t="n"/>
    </row>
    <row r="514">
      <c r="A514" t="n">
        <v>511</v>
      </c>
      <c r="B514" s="8" t="n"/>
      <c r="C514" s="4" t="n"/>
      <c r="D514" s="4" t="n"/>
      <c r="E514" s="4" t="n"/>
      <c r="F514" s="4" t="n"/>
      <c r="G514" s="5" t="n"/>
      <c r="H514" s="5" t="n"/>
      <c r="I514" s="5" t="n"/>
      <c r="J514" s="5" t="n"/>
    </row>
    <row r="515">
      <c r="A515" t="n">
        <v>512</v>
      </c>
      <c r="B515" s="8" t="n"/>
      <c r="C515" s="4" t="n"/>
      <c r="D515" s="4" t="n"/>
      <c r="E515" s="4" t="n"/>
      <c r="F515" s="4" t="n"/>
      <c r="G515" s="5" t="n"/>
      <c r="H515" s="5" t="n"/>
      <c r="I515" s="5" t="n"/>
      <c r="J515" s="5" t="n"/>
    </row>
    <row r="516">
      <c r="A516" t="n">
        <v>513</v>
      </c>
      <c r="B516" s="8" t="n"/>
      <c r="C516" s="4" t="n"/>
      <c r="D516" s="4" t="n"/>
      <c r="E516" s="4" t="n"/>
      <c r="F516" s="4" t="n"/>
      <c r="G516" s="5" t="n"/>
      <c r="H516" s="5" t="n"/>
      <c r="I516" s="5" t="n"/>
      <c r="J516" s="5" t="n"/>
    </row>
    <row r="517">
      <c r="A517" t="n">
        <v>514</v>
      </c>
      <c r="B517" s="8" t="n"/>
      <c r="C517" s="4" t="n"/>
      <c r="D517" s="4" t="n"/>
      <c r="E517" s="4" t="n"/>
      <c r="F517" s="4" t="n"/>
      <c r="G517" s="5" t="n"/>
      <c r="H517" s="5" t="n"/>
      <c r="I517" s="5" t="n"/>
      <c r="J517" s="5" t="n"/>
    </row>
    <row r="518">
      <c r="A518" t="n">
        <v>515</v>
      </c>
      <c r="B518" s="8" t="n"/>
      <c r="C518" s="4" t="n"/>
      <c r="D518" s="4" t="n"/>
      <c r="E518" s="4" t="n"/>
      <c r="F518" s="4" t="n"/>
      <c r="G518" s="5" t="n"/>
      <c r="H518" s="5" t="n"/>
      <c r="I518" s="5" t="n"/>
      <c r="J518" s="5" t="n"/>
    </row>
    <row r="519">
      <c r="A519" t="n">
        <v>516</v>
      </c>
      <c r="B519" s="8" t="n"/>
      <c r="C519" s="4" t="n"/>
      <c r="D519" s="4" t="n"/>
      <c r="E519" s="4" t="n"/>
      <c r="F519" s="4" t="n"/>
      <c r="G519" s="5" t="n"/>
      <c r="H519" s="5" t="n"/>
      <c r="I519" s="5" t="n"/>
      <c r="J519" s="5" t="n"/>
    </row>
    <row r="520">
      <c r="A520" t="n">
        <v>517</v>
      </c>
      <c r="B520" s="8" t="n"/>
      <c r="C520" s="4" t="n"/>
      <c r="D520" s="4" t="n"/>
      <c r="E520" s="4" t="n"/>
      <c r="F520" s="4" t="n"/>
      <c r="G520" s="5" t="n"/>
      <c r="H520" s="5" t="n"/>
      <c r="I520" s="5" t="n"/>
      <c r="J520" s="5" t="n"/>
    </row>
    <row r="521">
      <c r="A521" t="n">
        <v>518</v>
      </c>
      <c r="B521" s="8" t="n"/>
      <c r="C521" s="4" t="n"/>
      <c r="D521" s="4" t="n"/>
      <c r="E521" s="4" t="n"/>
      <c r="F521" s="4" t="n"/>
      <c r="G521" s="5" t="n"/>
      <c r="H521" s="5" t="n"/>
      <c r="I521" s="5" t="n"/>
      <c r="J521" s="5" t="n"/>
    </row>
    <row r="522">
      <c r="A522" t="n">
        <v>519</v>
      </c>
      <c r="B522" s="8" t="n"/>
      <c r="C522" s="4" t="n"/>
      <c r="D522" s="4" t="n"/>
      <c r="E522" s="4" t="n"/>
      <c r="F522" s="4" t="n"/>
      <c r="G522" s="5" t="n"/>
      <c r="H522" s="5" t="n"/>
      <c r="I522" s="5" t="n"/>
      <c r="J522" s="5" t="n"/>
    </row>
    <row r="523">
      <c r="A523" t="n">
        <v>520</v>
      </c>
      <c r="B523" s="8" t="n"/>
      <c r="C523" s="4" t="n"/>
      <c r="D523" s="4" t="n"/>
      <c r="E523" s="4" t="n"/>
      <c r="F523" s="4" t="n"/>
      <c r="G523" s="5" t="n"/>
      <c r="H523" s="5" t="n"/>
      <c r="I523" s="5" t="n"/>
      <c r="J523" s="5" t="n"/>
    </row>
    <row r="524">
      <c r="A524" t="n">
        <v>521</v>
      </c>
      <c r="B524" s="8" t="n"/>
      <c r="C524" s="4" t="n"/>
      <c r="D524" s="4" t="n"/>
      <c r="E524" s="4" t="n"/>
      <c r="F524" s="4" t="n"/>
      <c r="G524" s="5" t="n"/>
      <c r="H524" s="5" t="n"/>
      <c r="I524" s="5" t="n"/>
      <c r="J524" s="5" t="n"/>
    </row>
    <row r="525">
      <c r="A525" t="n">
        <v>522</v>
      </c>
      <c r="B525" s="8" t="n"/>
      <c r="C525" s="4" t="n"/>
      <c r="D525" s="4" t="n"/>
      <c r="E525" s="4" t="n"/>
      <c r="F525" s="4" t="n"/>
      <c r="G525" s="5" t="n"/>
      <c r="H525" s="5" t="n"/>
      <c r="I525" s="5" t="n"/>
      <c r="J525" s="5" t="n"/>
    </row>
    <row r="526">
      <c r="A526" t="n">
        <v>523</v>
      </c>
      <c r="B526" s="8" t="n"/>
      <c r="C526" s="4" t="n"/>
      <c r="D526" s="4" t="n"/>
      <c r="E526" s="4" t="n"/>
      <c r="F526" s="4" t="n"/>
      <c r="G526" s="5" t="n"/>
      <c r="H526" s="5" t="n"/>
      <c r="I526" s="5" t="n"/>
      <c r="J526" s="5" t="n"/>
    </row>
    <row r="527">
      <c r="A527" t="n">
        <v>524</v>
      </c>
      <c r="B527" s="8" t="n"/>
      <c r="C527" s="4" t="n"/>
      <c r="D527" s="4" t="n"/>
      <c r="E527" s="4" t="n"/>
      <c r="F527" s="4" t="n"/>
      <c r="G527" s="5" t="n"/>
      <c r="H527" s="5" t="n"/>
      <c r="I527" s="5" t="n"/>
      <c r="J527" s="5" t="n"/>
    </row>
    <row r="528">
      <c r="A528" t="n">
        <v>525</v>
      </c>
      <c r="B528" s="8" t="n"/>
      <c r="C528" s="4" t="n"/>
      <c r="D528" s="4" t="n"/>
      <c r="E528" s="4" t="n"/>
      <c r="F528" s="4" t="n"/>
      <c r="G528" s="5" t="n"/>
      <c r="H528" s="5" t="n"/>
      <c r="I528" s="5" t="n"/>
      <c r="J528" s="5" t="n"/>
    </row>
    <row r="529">
      <c r="A529" t="n">
        <v>526</v>
      </c>
      <c r="B529" s="8" t="n"/>
      <c r="C529" s="4" t="n"/>
      <c r="D529" s="4" t="n"/>
      <c r="E529" s="4" t="n"/>
      <c r="F529" s="4" t="n"/>
      <c r="G529" s="5" t="n"/>
      <c r="H529" s="5" t="n"/>
      <c r="I529" s="5" t="n"/>
      <c r="J529" s="5" t="n"/>
    </row>
    <row r="530">
      <c r="A530" t="n">
        <v>527</v>
      </c>
      <c r="B530" s="8" t="n"/>
      <c r="C530" s="4" t="n"/>
      <c r="D530" s="4" t="n"/>
      <c r="E530" s="4" t="n"/>
      <c r="F530" s="4" t="n"/>
      <c r="G530" s="5" t="n"/>
      <c r="H530" s="5" t="n"/>
      <c r="I530" s="5" t="n"/>
      <c r="J530" s="5" t="n"/>
    </row>
    <row r="531">
      <c r="A531" t="n">
        <v>528</v>
      </c>
      <c r="B531" s="8" t="n"/>
      <c r="C531" s="4" t="n"/>
      <c r="D531" s="4" t="n"/>
      <c r="E531" s="4" t="n"/>
      <c r="F531" s="4" t="n"/>
      <c r="G531" s="5" t="n"/>
      <c r="H531" s="5" t="n"/>
      <c r="I531" s="5" t="n"/>
      <c r="J531" s="5" t="n"/>
    </row>
    <row r="532">
      <c r="A532" t="n">
        <v>529</v>
      </c>
      <c r="B532" s="8" t="n"/>
      <c r="C532" s="4" t="n"/>
      <c r="D532" s="4" t="n"/>
      <c r="E532" s="4" t="n"/>
      <c r="F532" s="4" t="n"/>
      <c r="G532" s="5" t="n"/>
      <c r="H532" s="5" t="n"/>
      <c r="I532" s="5" t="n"/>
      <c r="J532" s="5" t="n"/>
    </row>
    <row r="533">
      <c r="A533" t="n">
        <v>530</v>
      </c>
      <c r="B533" s="8" t="n"/>
      <c r="C533" s="4" t="n"/>
      <c r="D533" s="4" t="n"/>
      <c r="E533" s="4" t="n"/>
      <c r="F533" s="4" t="n"/>
      <c r="G533" s="5" t="n"/>
      <c r="H533" s="5" t="n"/>
      <c r="I533" s="5" t="n"/>
      <c r="J533" s="5" t="n"/>
    </row>
    <row r="534">
      <c r="A534" t="n">
        <v>531</v>
      </c>
      <c r="B534" s="8" t="n"/>
      <c r="C534" s="4" t="n"/>
      <c r="D534" s="4" t="n"/>
      <c r="E534" s="4" t="n"/>
      <c r="F534" s="4" t="n"/>
      <c r="G534" s="5" t="n"/>
      <c r="H534" s="5" t="n"/>
      <c r="I534" s="5" t="n"/>
      <c r="J534" s="5" t="n"/>
    </row>
    <row r="535">
      <c r="A535" t="n">
        <v>532</v>
      </c>
      <c r="B535" s="8" t="n"/>
      <c r="C535" s="4" t="n"/>
      <c r="D535" s="4" t="n"/>
      <c r="E535" s="4" t="n"/>
      <c r="F535" s="4" t="n"/>
      <c r="G535" s="5" t="n"/>
      <c r="H535" s="5" t="n"/>
      <c r="I535" s="5" t="n"/>
      <c r="J535" s="5" t="n"/>
    </row>
    <row r="536">
      <c r="A536" t="n">
        <v>533</v>
      </c>
      <c r="B536" s="8" t="n"/>
      <c r="C536" s="4" t="n"/>
      <c r="D536" s="4" t="n"/>
      <c r="E536" s="4" t="n"/>
      <c r="F536" s="4" t="n"/>
      <c r="G536" s="5" t="n"/>
      <c r="H536" s="5" t="n"/>
      <c r="I536" s="5" t="n"/>
      <c r="J536" s="5" t="n"/>
    </row>
    <row r="537">
      <c r="A537" t="n">
        <v>534</v>
      </c>
      <c r="B537" s="8" t="n"/>
      <c r="C537" s="4" t="n"/>
      <c r="D537" s="4" t="n"/>
      <c r="E537" s="4" t="n"/>
      <c r="F537" s="4" t="n"/>
      <c r="G537" s="5" t="n"/>
      <c r="H537" s="5" t="n"/>
      <c r="I537" s="5" t="n"/>
      <c r="J537" s="5" t="n"/>
    </row>
    <row r="538">
      <c r="A538" t="n">
        <v>535</v>
      </c>
      <c r="B538" s="8" t="n"/>
      <c r="C538" s="4" t="n"/>
      <c r="D538" s="4" t="n"/>
      <c r="E538" s="4" t="n"/>
      <c r="F538" s="4" t="n"/>
      <c r="G538" s="5" t="n"/>
      <c r="H538" s="5" t="n"/>
      <c r="I538" s="5" t="n"/>
      <c r="J538" s="5" t="n"/>
    </row>
    <row r="539">
      <c r="A539" t="n">
        <v>536</v>
      </c>
      <c r="B539" s="8" t="n"/>
      <c r="C539" s="4" t="n"/>
      <c r="D539" s="4" t="n"/>
      <c r="E539" s="4" t="n"/>
      <c r="F539" s="4" t="n"/>
      <c r="G539" s="5" t="n"/>
      <c r="H539" s="5" t="n"/>
      <c r="I539" s="5" t="n"/>
      <c r="J539" s="5" t="n"/>
    </row>
    <row r="540">
      <c r="A540" t="n">
        <v>537</v>
      </c>
      <c r="B540" s="8" t="n"/>
      <c r="C540" s="4" t="n"/>
      <c r="D540" s="4" t="n"/>
      <c r="E540" s="4" t="n"/>
      <c r="F540" s="4" t="n"/>
      <c r="G540" s="5" t="n"/>
      <c r="H540" s="5" t="n"/>
      <c r="I540" s="5" t="n"/>
      <c r="J540" s="5" t="n"/>
    </row>
    <row r="541">
      <c r="A541" t="n">
        <v>538</v>
      </c>
      <c r="B541" s="8" t="n"/>
      <c r="C541" s="4" t="n"/>
      <c r="D541" s="4" t="n"/>
      <c r="E541" s="4" t="n"/>
      <c r="F541" s="4" t="n"/>
      <c r="G541" s="5" t="n"/>
      <c r="H541" s="5" t="n"/>
      <c r="I541" s="5" t="n"/>
      <c r="J541" s="5" t="n"/>
    </row>
    <row r="542">
      <c r="A542" t="n">
        <v>539</v>
      </c>
      <c r="B542" s="8" t="n"/>
      <c r="C542" s="4" t="n"/>
      <c r="D542" s="4" t="n"/>
      <c r="E542" s="4" t="n"/>
      <c r="F542" s="4" t="n"/>
      <c r="G542" s="5" t="n"/>
      <c r="H542" s="5" t="n"/>
      <c r="I542" s="5" t="n"/>
      <c r="J542" s="5" t="n"/>
    </row>
    <row r="543">
      <c r="A543" t="n">
        <v>540</v>
      </c>
      <c r="B543" s="8" t="n"/>
      <c r="C543" s="4" t="n"/>
      <c r="D543" s="4" t="n"/>
      <c r="E543" s="4" t="n"/>
      <c r="F543" s="4" t="n"/>
      <c r="G543" s="5" t="n"/>
      <c r="H543" s="5" t="n"/>
      <c r="I543" s="5" t="n"/>
      <c r="J543" s="5" t="n"/>
    </row>
    <row r="544">
      <c r="A544" t="n">
        <v>541</v>
      </c>
      <c r="B544" s="8" t="n"/>
      <c r="C544" s="4" t="n"/>
      <c r="D544" s="4" t="n"/>
      <c r="E544" s="4" t="n"/>
      <c r="F544" s="4" t="n"/>
      <c r="G544" s="5" t="n"/>
      <c r="H544" s="5" t="n"/>
      <c r="I544" s="5" t="n"/>
      <c r="J544" s="5" t="n"/>
    </row>
    <row r="545">
      <c r="A545" t="n">
        <v>542</v>
      </c>
      <c r="B545" s="8" t="n"/>
      <c r="C545" s="4" t="n"/>
      <c r="D545" s="4" t="n"/>
      <c r="E545" s="4" t="n"/>
      <c r="F545" s="4" t="n"/>
      <c r="G545" s="5" t="n"/>
      <c r="H545" s="5" t="n"/>
      <c r="I545" s="5" t="n"/>
      <c r="J545" s="5" t="n"/>
    </row>
    <row r="546">
      <c r="A546" t="n">
        <v>543</v>
      </c>
      <c r="B546" s="8" t="n"/>
      <c r="C546" s="4" t="n"/>
      <c r="D546" s="4" t="n"/>
      <c r="E546" s="4" t="n"/>
      <c r="F546" s="4" t="n"/>
      <c r="G546" s="5" t="n"/>
      <c r="H546" s="5" t="n"/>
      <c r="I546" s="5" t="n"/>
      <c r="J546" s="5" t="n"/>
    </row>
    <row r="547">
      <c r="A547" t="n">
        <v>544</v>
      </c>
      <c r="B547" s="8" t="n"/>
      <c r="C547" s="4" t="n"/>
      <c r="D547" s="4" t="n"/>
      <c r="E547" s="4" t="n"/>
      <c r="F547" s="4" t="n"/>
      <c r="G547" s="5" t="n"/>
      <c r="H547" s="5" t="n"/>
      <c r="I547" s="5" t="n"/>
      <c r="J547" s="5" t="n"/>
    </row>
    <row r="548">
      <c r="A548" t="n">
        <v>545</v>
      </c>
      <c r="B548" s="8" t="n"/>
      <c r="C548" s="4" t="n"/>
      <c r="D548" s="4" t="n"/>
      <c r="E548" s="4" t="n"/>
      <c r="F548" s="4" t="n"/>
      <c r="G548" s="5" t="n"/>
      <c r="H548" s="5" t="n"/>
      <c r="I548" s="5" t="n"/>
      <c r="J548" s="5" t="n"/>
    </row>
    <row r="549">
      <c r="A549" t="n">
        <v>546</v>
      </c>
      <c r="B549" s="8" t="n"/>
      <c r="C549" s="4" t="n"/>
      <c r="D549" s="4" t="n"/>
      <c r="E549" s="4" t="n"/>
      <c r="F549" s="4" t="n"/>
      <c r="G549" s="5" t="n"/>
      <c r="H549" s="5" t="n"/>
      <c r="I549" s="5" t="n"/>
      <c r="J549" s="5" t="n"/>
    </row>
    <row r="550">
      <c r="A550" t="n">
        <v>547</v>
      </c>
      <c r="B550" s="8" t="n"/>
      <c r="C550" s="4" t="n"/>
      <c r="D550" s="4" t="n"/>
      <c r="E550" s="4" t="n"/>
      <c r="F550" s="4" t="n"/>
      <c r="G550" s="5" t="n"/>
      <c r="H550" s="5" t="n"/>
      <c r="I550" s="5" t="n"/>
      <c r="J550" s="5" t="n"/>
    </row>
    <row r="551">
      <c r="A551" t="n">
        <v>548</v>
      </c>
      <c r="B551" s="8" t="n"/>
      <c r="C551" s="4" t="n"/>
      <c r="D551" s="4" t="n"/>
      <c r="E551" s="4" t="n"/>
      <c r="F551" s="4" t="n"/>
      <c r="G551" s="5" t="n"/>
      <c r="H551" s="5" t="n"/>
      <c r="I551" s="5" t="n"/>
      <c r="J551" s="5" t="n"/>
    </row>
    <row r="552">
      <c r="A552" t="n">
        <v>549</v>
      </c>
      <c r="B552" s="8" t="n"/>
      <c r="C552" s="4" t="n"/>
      <c r="D552" s="4" t="n"/>
      <c r="E552" s="4" t="n"/>
      <c r="F552" s="4" t="n"/>
      <c r="G552" s="5" t="n"/>
      <c r="H552" s="5" t="n"/>
      <c r="I552" s="5" t="n"/>
      <c r="J552" s="5" t="n"/>
    </row>
    <row r="553">
      <c r="A553" t="n">
        <v>550</v>
      </c>
      <c r="B553" s="8" t="n"/>
      <c r="C553" s="4" t="n"/>
      <c r="D553" s="4" t="n"/>
      <c r="E553" s="4" t="n"/>
      <c r="F553" s="4" t="n"/>
      <c r="G553" s="5" t="n"/>
      <c r="H553" s="5" t="n"/>
      <c r="I553" s="5" t="n"/>
      <c r="J553" s="5" t="n"/>
    </row>
    <row r="554">
      <c r="A554" t="n">
        <v>551</v>
      </c>
      <c r="B554" s="8" t="n"/>
      <c r="C554" s="4" t="n"/>
      <c r="D554" s="4" t="n"/>
      <c r="E554" s="4" t="n"/>
      <c r="F554" s="4" t="n"/>
      <c r="G554" s="5" t="n"/>
      <c r="H554" s="5" t="n"/>
      <c r="I554" s="5" t="n"/>
      <c r="J554" s="5" t="n"/>
    </row>
    <row r="555">
      <c r="A555" t="n">
        <v>552</v>
      </c>
      <c r="B555" s="8" t="n"/>
      <c r="C555" s="4" t="n"/>
      <c r="D555" s="4" t="n"/>
      <c r="E555" s="4" t="n"/>
      <c r="F555" s="4" t="n"/>
      <c r="G555" s="5" t="n"/>
      <c r="H555" s="5" t="n"/>
      <c r="I555" s="5" t="n"/>
      <c r="J555" s="5" t="n"/>
    </row>
    <row r="556">
      <c r="A556" t="n">
        <v>553</v>
      </c>
      <c r="B556" s="8" t="n"/>
      <c r="C556" s="4" t="n"/>
      <c r="D556" s="4" t="n"/>
      <c r="E556" s="4" t="n"/>
      <c r="F556" s="4" t="n"/>
      <c r="G556" s="5" t="n"/>
      <c r="H556" s="5" t="n"/>
      <c r="I556" s="5" t="n"/>
      <c r="J556" s="5" t="n"/>
    </row>
    <row r="557">
      <c r="A557" t="n">
        <v>554</v>
      </c>
      <c r="B557" s="8" t="n"/>
      <c r="C557" s="4" t="n"/>
      <c r="D557" s="4" t="n"/>
      <c r="E557" s="4" t="n"/>
      <c r="F557" s="4" t="n"/>
      <c r="G557" s="5" t="n"/>
      <c r="H557" s="5" t="n"/>
      <c r="I557" s="5" t="n"/>
      <c r="J557" s="5" t="n"/>
    </row>
    <row r="558">
      <c r="A558" t="n">
        <v>555</v>
      </c>
      <c r="B558" s="8" t="n"/>
      <c r="C558" s="4" t="n"/>
      <c r="D558" s="4" t="n"/>
      <c r="E558" s="4" t="n"/>
      <c r="F558" s="4" t="n"/>
      <c r="G558" s="5" t="n"/>
      <c r="H558" s="5" t="n"/>
      <c r="I558" s="5" t="n"/>
      <c r="J558" s="5" t="n"/>
    </row>
    <row r="559">
      <c r="A559" t="n">
        <v>556</v>
      </c>
      <c r="B559" s="8" t="n"/>
      <c r="C559" s="4" t="n"/>
      <c r="D559" s="4" t="n"/>
      <c r="E559" s="4" t="n"/>
      <c r="F559" s="4" t="n"/>
      <c r="G559" s="5" t="n"/>
      <c r="H559" s="5" t="n"/>
      <c r="I559" s="5" t="n"/>
      <c r="J559" s="5" t="n"/>
    </row>
    <row r="560">
      <c r="A560" t="n">
        <v>557</v>
      </c>
      <c r="B560" s="8" t="n"/>
      <c r="C560" s="4" t="n"/>
      <c r="D560" s="4" t="n"/>
      <c r="E560" s="4" t="n"/>
      <c r="F560" s="4" t="n"/>
      <c r="G560" s="5" t="n"/>
      <c r="H560" s="5" t="n"/>
      <c r="I560" s="5" t="n"/>
      <c r="J560" s="5" t="n"/>
    </row>
    <row r="561">
      <c r="A561" t="n">
        <v>558</v>
      </c>
      <c r="B561" s="8" t="n"/>
      <c r="C561" s="4" t="n"/>
      <c r="D561" s="4" t="n"/>
      <c r="E561" s="4" t="n"/>
      <c r="F561" s="4" t="n"/>
      <c r="G561" s="5" t="n"/>
      <c r="H561" s="5" t="n"/>
      <c r="I561" s="5" t="n"/>
      <c r="J561" s="5" t="n"/>
    </row>
    <row r="562">
      <c r="A562" t="n">
        <v>559</v>
      </c>
      <c r="B562" s="8" t="n"/>
      <c r="C562" s="4" t="n"/>
      <c r="D562" s="4" t="n"/>
      <c r="E562" s="4" t="n"/>
      <c r="F562" s="4" t="n"/>
      <c r="G562" s="5" t="n"/>
      <c r="H562" s="5" t="n"/>
      <c r="I562" s="5" t="n"/>
      <c r="J562" s="5" t="n"/>
    </row>
    <row r="563">
      <c r="A563" t="n">
        <v>560</v>
      </c>
      <c r="B563" s="8" t="n"/>
      <c r="C563" s="4" t="n"/>
      <c r="D563" s="4" t="n"/>
      <c r="E563" s="4" t="n"/>
      <c r="F563" s="4" t="n"/>
      <c r="G563" s="5" t="n"/>
      <c r="H563" s="5" t="n"/>
      <c r="I563" s="5" t="n"/>
      <c r="J563" s="5" t="n"/>
    </row>
    <row r="564">
      <c r="A564" t="n">
        <v>561</v>
      </c>
      <c r="B564" s="8" t="n"/>
      <c r="C564" s="4" t="n"/>
      <c r="D564" s="4" t="n"/>
      <c r="E564" s="4" t="n"/>
      <c r="F564" s="4" t="n"/>
      <c r="G564" s="5" t="n"/>
      <c r="H564" s="5" t="n"/>
      <c r="I564" s="5" t="n"/>
      <c r="J564" s="5" t="n"/>
    </row>
    <row r="565">
      <c r="A565" t="n">
        <v>562</v>
      </c>
      <c r="B565" s="8" t="n"/>
      <c r="C565" s="4" t="n"/>
      <c r="D565" s="4" t="n"/>
      <c r="E565" s="4" t="n"/>
      <c r="F565" s="4" t="n"/>
      <c r="G565" s="5" t="n"/>
      <c r="H565" s="5" t="n"/>
      <c r="I565" s="5" t="n"/>
      <c r="J565" s="5" t="n"/>
    </row>
    <row r="566">
      <c r="A566" t="n">
        <v>563</v>
      </c>
      <c r="B566" s="8" t="n"/>
      <c r="C566" s="4" t="n"/>
      <c r="D566" s="4" t="n"/>
      <c r="E566" s="4" t="n"/>
      <c r="F566" s="4" t="n"/>
      <c r="G566" s="5" t="n"/>
      <c r="H566" s="5" t="n"/>
      <c r="I566" s="5" t="n"/>
      <c r="J566" s="5" t="n"/>
    </row>
    <row r="567">
      <c r="A567" t="n">
        <v>564</v>
      </c>
      <c r="B567" s="8" t="n"/>
      <c r="C567" s="4" t="n"/>
      <c r="D567" s="4" t="n"/>
      <c r="E567" s="4" t="n"/>
      <c r="F567" s="4" t="n"/>
      <c r="G567" s="5" t="n"/>
      <c r="H567" s="5" t="n"/>
      <c r="I567" s="5" t="n"/>
      <c r="J567" s="5" t="n"/>
    </row>
    <row r="568">
      <c r="A568" t="n">
        <v>565</v>
      </c>
      <c r="B568" s="8" t="n"/>
      <c r="C568" s="4" t="n"/>
      <c r="D568" s="4" t="n"/>
      <c r="E568" s="4" t="n"/>
      <c r="F568" s="4" t="n"/>
      <c r="G568" s="5" t="n"/>
      <c r="H568" s="5" t="n"/>
      <c r="I568" s="5" t="n"/>
      <c r="J568" s="5" t="n"/>
    </row>
    <row r="569">
      <c r="A569" t="n">
        <v>566</v>
      </c>
      <c r="B569" s="8" t="n"/>
      <c r="C569" s="4" t="n"/>
      <c r="D569" s="4" t="n"/>
      <c r="E569" s="4" t="n"/>
      <c r="F569" s="4" t="n"/>
      <c r="G569" s="5" t="n"/>
      <c r="H569" s="5" t="n"/>
      <c r="I569" s="5" t="n"/>
      <c r="J569" s="5" t="n"/>
    </row>
    <row r="570">
      <c r="A570" t="n">
        <v>567</v>
      </c>
      <c r="B570" s="8" t="n"/>
      <c r="C570" s="4" t="n"/>
      <c r="D570" s="4" t="n"/>
      <c r="E570" s="4" t="n"/>
      <c r="F570" s="4" t="n"/>
      <c r="G570" s="5" t="n"/>
      <c r="H570" s="5" t="n"/>
      <c r="I570" s="5" t="n"/>
      <c r="J570" s="5" t="n"/>
    </row>
    <row r="571">
      <c r="A571" t="n">
        <v>568</v>
      </c>
      <c r="B571" s="8" t="n"/>
      <c r="C571" s="4" t="n"/>
      <c r="D571" s="4" t="n"/>
      <c r="E571" s="4" t="n"/>
      <c r="F571" s="4" t="n"/>
      <c r="G571" s="5" t="n"/>
      <c r="H571" s="5" t="n"/>
      <c r="I571" s="5" t="n"/>
      <c r="J571" s="5" t="n"/>
    </row>
    <row r="572">
      <c r="A572" t="n">
        <v>569</v>
      </c>
      <c r="B572" s="8" t="n"/>
      <c r="C572" s="4" t="n"/>
      <c r="D572" s="4" t="n"/>
      <c r="E572" s="4" t="n"/>
      <c r="F572" s="4" t="n"/>
      <c r="G572" s="5" t="n"/>
      <c r="H572" s="5" t="n"/>
      <c r="I572" s="5" t="n"/>
      <c r="J572" s="5" t="n"/>
    </row>
    <row r="573">
      <c r="A573" t="n">
        <v>570</v>
      </c>
      <c r="B573" s="8" t="n"/>
      <c r="C573" s="4" t="n"/>
      <c r="D573" s="4" t="n"/>
      <c r="E573" s="4" t="n"/>
      <c r="F573" s="4" t="n"/>
      <c r="G573" s="5" t="n"/>
      <c r="H573" s="5" t="n"/>
      <c r="I573" s="5" t="n"/>
      <c r="J573" s="5" t="n"/>
    </row>
    <row r="574">
      <c r="A574" t="n">
        <v>571</v>
      </c>
      <c r="B574" s="8" t="n"/>
      <c r="C574" s="4" t="n"/>
      <c r="D574" s="4" t="n"/>
      <c r="E574" s="4" t="n"/>
      <c r="F574" s="4" t="n"/>
      <c r="G574" s="5" t="n"/>
      <c r="H574" s="5" t="n"/>
      <c r="I574" s="5" t="n"/>
      <c r="J574" s="5" t="n"/>
    </row>
    <row r="575">
      <c r="A575" t="n">
        <v>572</v>
      </c>
      <c r="B575" s="8" t="n"/>
      <c r="C575" s="4" t="n"/>
      <c r="D575" s="4" t="n"/>
      <c r="E575" s="4" t="n"/>
      <c r="F575" s="4" t="n"/>
      <c r="G575" s="5" t="n"/>
      <c r="H575" s="5" t="n"/>
      <c r="I575" s="5" t="n"/>
      <c r="J575" s="5" t="n"/>
    </row>
    <row r="576">
      <c r="A576" t="n">
        <v>573</v>
      </c>
      <c r="B576" s="8" t="n"/>
      <c r="C576" s="4" t="n"/>
      <c r="D576" s="4" t="n"/>
      <c r="E576" s="4" t="n"/>
      <c r="F576" s="4" t="n"/>
      <c r="G576" s="5" t="n"/>
      <c r="H576" s="5" t="n"/>
      <c r="I576" s="5" t="n"/>
      <c r="J576" s="5" t="n"/>
    </row>
    <row r="577">
      <c r="A577" t="n">
        <v>574</v>
      </c>
      <c r="B577" s="8" t="n"/>
      <c r="C577" s="4" t="n"/>
      <c r="D577" s="4" t="n"/>
      <c r="E577" s="4" t="n"/>
      <c r="F577" s="4" t="n"/>
      <c r="G577" s="5" t="n"/>
      <c r="H577" s="5" t="n"/>
      <c r="I577" s="5" t="n"/>
      <c r="J577" s="5" t="n"/>
    </row>
    <row r="578">
      <c r="A578" t="n">
        <v>575</v>
      </c>
      <c r="B578" s="8" t="n"/>
      <c r="C578" s="4" t="n"/>
      <c r="D578" s="4" t="n"/>
      <c r="E578" s="4" t="n"/>
      <c r="F578" s="4" t="n"/>
      <c r="G578" s="5" t="n"/>
      <c r="H578" s="5" t="n"/>
      <c r="I578" s="5" t="n"/>
      <c r="J578" s="5" t="n"/>
    </row>
    <row r="579">
      <c r="A579" t="n">
        <v>576</v>
      </c>
      <c r="B579" s="8" t="n"/>
      <c r="C579" s="4" t="n"/>
      <c r="D579" s="4" t="n"/>
      <c r="E579" s="4" t="n"/>
      <c r="F579" s="4" t="n"/>
      <c r="G579" s="5" t="n"/>
      <c r="H579" s="5" t="n"/>
      <c r="I579" s="5" t="n"/>
      <c r="J579" s="5" t="n"/>
    </row>
    <row r="580">
      <c r="A580" t="n">
        <v>577</v>
      </c>
      <c r="B580" s="8" t="n"/>
      <c r="C580" s="4" t="n"/>
      <c r="D580" s="4" t="n"/>
      <c r="E580" s="4" t="n"/>
      <c r="F580" s="4" t="n"/>
      <c r="G580" s="5" t="n"/>
      <c r="H580" s="5" t="n"/>
      <c r="I580" s="5" t="n"/>
      <c r="J580" s="5" t="n"/>
    </row>
    <row r="581">
      <c r="A581" t="n">
        <v>578</v>
      </c>
      <c r="B581" s="8" t="n"/>
      <c r="C581" s="4" t="n"/>
      <c r="D581" s="4" t="n"/>
      <c r="E581" s="4" t="n"/>
      <c r="F581" s="4" t="n"/>
      <c r="G581" s="5" t="n"/>
      <c r="H581" s="5" t="n"/>
      <c r="I581" s="5" t="n"/>
      <c r="J581" s="5" t="n"/>
    </row>
    <row r="582">
      <c r="A582" t="n">
        <v>579</v>
      </c>
      <c r="B582" s="8" t="n"/>
      <c r="C582" s="4" t="n"/>
      <c r="D582" s="4" t="n"/>
      <c r="E582" s="4" t="n"/>
      <c r="F582" s="4" t="n"/>
      <c r="G582" s="5" t="n"/>
      <c r="H582" s="5" t="n"/>
      <c r="I582" s="5" t="n"/>
      <c r="J582" s="5" t="n"/>
    </row>
    <row r="583">
      <c r="A583" t="n">
        <v>580</v>
      </c>
      <c r="B583" s="8" t="n"/>
      <c r="C583" s="4" t="n"/>
      <c r="D583" s="4" t="n"/>
      <c r="E583" s="4" t="n"/>
      <c r="F583" s="4" t="n"/>
      <c r="G583" s="5" t="n"/>
      <c r="H583" s="5" t="n"/>
      <c r="I583" s="5" t="n"/>
      <c r="J583" s="5" t="n"/>
    </row>
    <row r="584">
      <c r="A584" t="n">
        <v>581</v>
      </c>
      <c r="B584" s="8" t="n"/>
      <c r="C584" s="4" t="n"/>
      <c r="D584" s="4" t="n"/>
      <c r="E584" s="4" t="n"/>
      <c r="F584" s="4" t="n"/>
      <c r="G584" s="5" t="n"/>
      <c r="H584" s="5" t="n"/>
      <c r="I584" s="5" t="n"/>
      <c r="J584" s="5" t="n"/>
    </row>
    <row r="585">
      <c r="A585" t="n">
        <v>582</v>
      </c>
      <c r="B585" s="8" t="n"/>
      <c r="C585" s="4" t="n"/>
      <c r="D585" s="4" t="n"/>
      <c r="E585" s="4" t="n"/>
      <c r="F585" s="4" t="n"/>
      <c r="G585" s="5" t="n"/>
      <c r="H585" s="5" t="n"/>
      <c r="I585" s="5" t="n"/>
      <c r="J585" s="5" t="n"/>
    </row>
    <row r="586">
      <c r="A586" t="n">
        <v>583</v>
      </c>
      <c r="B586" s="8" t="n"/>
      <c r="C586" s="4" t="n"/>
      <c r="D586" s="4" t="n"/>
      <c r="E586" s="4" t="n"/>
      <c r="F586" s="4" t="n"/>
      <c r="G586" s="5" t="n"/>
      <c r="H586" s="5" t="n"/>
      <c r="I586" s="5" t="n"/>
      <c r="J586" s="5" t="n"/>
    </row>
    <row r="587">
      <c r="A587" t="n">
        <v>584</v>
      </c>
      <c r="B587" s="8" t="n"/>
      <c r="C587" s="4" t="n"/>
      <c r="D587" s="4" t="n"/>
      <c r="E587" s="4" t="n"/>
      <c r="F587" s="4" t="n"/>
      <c r="G587" s="5" t="n"/>
      <c r="H587" s="5" t="n"/>
      <c r="I587" s="5" t="n"/>
      <c r="J587" s="5" t="n"/>
    </row>
    <row r="588">
      <c r="A588" t="n">
        <v>585</v>
      </c>
      <c r="B588" s="8" t="n"/>
      <c r="C588" s="4" t="n"/>
      <c r="D588" s="4" t="n"/>
      <c r="E588" s="4" t="n"/>
      <c r="F588" s="4" t="n"/>
      <c r="G588" s="5" t="n"/>
      <c r="H588" s="5" t="n"/>
      <c r="I588" s="5" t="n"/>
      <c r="J588" s="5" t="n"/>
    </row>
    <row r="589">
      <c r="A589" t="n">
        <v>586</v>
      </c>
      <c r="B589" s="8" t="n"/>
      <c r="C589" s="4" t="n"/>
      <c r="D589" s="4" t="n"/>
      <c r="E589" s="4" t="n"/>
      <c r="F589" s="4" t="n"/>
      <c r="G589" s="5" t="n"/>
      <c r="H589" s="5" t="n"/>
      <c r="I589" s="5" t="n"/>
      <c r="J589" s="5" t="n"/>
    </row>
    <row r="590">
      <c r="A590" t="n">
        <v>587</v>
      </c>
      <c r="B590" s="8" t="n"/>
      <c r="C590" s="4" t="n"/>
      <c r="D590" s="4" t="n"/>
      <c r="E590" s="4" t="n"/>
      <c r="F590" s="4" t="n"/>
      <c r="G590" s="5" t="n"/>
      <c r="H590" s="5" t="n"/>
      <c r="I590" s="5" t="n"/>
      <c r="J590" s="5" t="n"/>
    </row>
    <row r="591">
      <c r="A591" t="n">
        <v>588</v>
      </c>
      <c r="B591" s="8" t="n"/>
      <c r="C591" s="4" t="n"/>
      <c r="D591" s="4" t="n"/>
      <c r="E591" s="4" t="n"/>
      <c r="F591" s="4" t="n"/>
      <c r="G591" s="5" t="n"/>
      <c r="H591" s="5" t="n"/>
      <c r="I591" s="5" t="n"/>
      <c r="J591" s="5" t="n"/>
    </row>
    <row r="592">
      <c r="A592" t="n">
        <v>589</v>
      </c>
      <c r="B592" s="8" t="n"/>
      <c r="C592" s="4" t="n"/>
      <c r="D592" s="4" t="n"/>
      <c r="E592" s="4" t="n"/>
      <c r="F592" s="4" t="n"/>
      <c r="G592" s="5" t="n"/>
      <c r="H592" s="5" t="n"/>
      <c r="I592" s="5" t="n"/>
      <c r="J592" s="5" t="n"/>
    </row>
    <row r="593">
      <c r="A593" t="n">
        <v>590</v>
      </c>
      <c r="B593" s="8" t="n"/>
      <c r="C593" s="4" t="n"/>
      <c r="D593" s="4" t="n"/>
      <c r="E593" s="4" t="n"/>
      <c r="F593" s="4" t="n"/>
      <c r="G593" s="5" t="n"/>
      <c r="H593" s="5" t="n"/>
      <c r="I593" s="5" t="n"/>
      <c r="J593" s="5" t="n"/>
    </row>
    <row r="594">
      <c r="A594" t="n">
        <v>591</v>
      </c>
      <c r="B594" s="8" t="n"/>
      <c r="C594" s="4" t="n"/>
      <c r="D594" s="4" t="n"/>
      <c r="E594" s="4" t="n"/>
      <c r="F594" s="4" t="n"/>
      <c r="G594" s="5" t="n"/>
      <c r="H594" s="5" t="n"/>
      <c r="I594" s="5" t="n"/>
      <c r="J594" s="5" t="n"/>
    </row>
    <row r="595">
      <c r="A595" t="n">
        <v>592</v>
      </c>
      <c r="B595" s="8" t="n"/>
      <c r="C595" s="4" t="n"/>
      <c r="D595" s="4" t="n"/>
      <c r="E595" s="4" t="n"/>
      <c r="F595" s="4" t="n"/>
      <c r="G595" s="5" t="n"/>
      <c r="H595" s="5" t="n"/>
      <c r="I595" s="5" t="n"/>
      <c r="J595" s="5" t="n"/>
    </row>
    <row r="596">
      <c r="A596" t="n">
        <v>593</v>
      </c>
      <c r="B596" s="8" t="n"/>
      <c r="C596" s="4" t="n"/>
      <c r="D596" s="4" t="n"/>
      <c r="E596" s="4" t="n"/>
      <c r="F596" s="4" t="n"/>
      <c r="G596" s="5" t="n"/>
      <c r="H596" s="5" t="n"/>
      <c r="I596" s="5" t="n"/>
      <c r="J596" s="5" t="n"/>
    </row>
    <row r="597">
      <c r="A597" t="n">
        <v>594</v>
      </c>
      <c r="B597" s="8" t="n"/>
      <c r="C597" s="4" t="n"/>
      <c r="D597" s="4" t="n"/>
      <c r="E597" s="4" t="n"/>
      <c r="F597" s="4" t="n"/>
      <c r="G597" s="5" t="n"/>
      <c r="H597" s="5" t="n"/>
      <c r="I597" s="5" t="n"/>
      <c r="J597" s="5" t="n"/>
    </row>
    <row r="598">
      <c r="A598" t="n">
        <v>595</v>
      </c>
      <c r="B598" s="8" t="n"/>
      <c r="C598" s="4" t="n"/>
      <c r="D598" s="4" t="n"/>
      <c r="E598" s="4" t="n"/>
      <c r="F598" s="4" t="n"/>
      <c r="G598" s="5" t="n"/>
      <c r="H598" s="5" t="n"/>
      <c r="I598" s="5" t="n"/>
      <c r="J598" s="5" t="n"/>
    </row>
    <row r="599">
      <c r="A599" t="n">
        <v>596</v>
      </c>
      <c r="B599" s="8" t="n"/>
      <c r="C599" s="4" t="n"/>
      <c r="D599" s="4" t="n"/>
      <c r="E599" s="4" t="n"/>
      <c r="F599" s="4" t="n"/>
      <c r="G599" s="5" t="n"/>
      <c r="H599" s="5" t="n"/>
      <c r="I599" s="5" t="n"/>
      <c r="J599" s="5" t="n"/>
    </row>
    <row r="600">
      <c r="A600" t="n">
        <v>597</v>
      </c>
      <c r="B600" s="8" t="n"/>
      <c r="C600" s="4" t="n"/>
      <c r="D600" s="4" t="n"/>
      <c r="E600" s="4" t="n"/>
      <c r="F600" s="4" t="n"/>
      <c r="G600" s="5" t="n"/>
      <c r="H600" s="5" t="n"/>
      <c r="I600" s="5" t="n"/>
      <c r="J600" s="5" t="n"/>
    </row>
    <row r="601">
      <c r="A601" t="n">
        <v>598</v>
      </c>
      <c r="B601" s="8" t="n"/>
      <c r="C601" s="4" t="n"/>
      <c r="D601" s="4" t="n"/>
      <c r="E601" s="4" t="n"/>
      <c r="F601" s="4" t="n"/>
      <c r="G601" s="5" t="n"/>
      <c r="H601" s="5" t="n"/>
      <c r="I601" s="5" t="n"/>
      <c r="J601" s="5" t="n"/>
    </row>
    <row r="602">
      <c r="A602" t="n">
        <v>599</v>
      </c>
      <c r="B602" s="8" t="n"/>
      <c r="C602" s="4" t="n"/>
      <c r="D602" s="4" t="n"/>
      <c r="E602" s="4" t="n"/>
      <c r="F602" s="4" t="n"/>
      <c r="G602" s="5" t="n"/>
      <c r="H602" s="5" t="n"/>
      <c r="I602" s="5" t="n"/>
      <c r="J602" s="5" t="n"/>
    </row>
    <row r="603">
      <c r="A603" t="n">
        <v>600</v>
      </c>
      <c r="B603" s="8" t="n"/>
      <c r="C603" s="4" t="n"/>
      <c r="D603" s="4" t="n"/>
      <c r="E603" s="4" t="n"/>
      <c r="F603" s="4" t="n"/>
      <c r="G603" s="5" t="n"/>
      <c r="H603" s="5" t="n"/>
      <c r="I603" s="5" t="n"/>
      <c r="J603" s="5" t="n"/>
    </row>
    <row r="604">
      <c r="A604" t="n">
        <v>601</v>
      </c>
      <c r="B604" s="8" t="n"/>
      <c r="C604" s="4" t="n"/>
      <c r="D604" s="4" t="n"/>
      <c r="E604" s="4" t="n"/>
      <c r="F604" s="4" t="n"/>
      <c r="G604" s="5" t="n"/>
      <c r="H604" s="5" t="n"/>
      <c r="I604" s="5" t="n"/>
      <c r="J604" s="5" t="n"/>
    </row>
    <row r="605">
      <c r="A605" t="n">
        <v>602</v>
      </c>
      <c r="B605" s="8" t="n"/>
      <c r="C605" s="4" t="n"/>
      <c r="D605" s="4" t="n"/>
      <c r="E605" s="4" t="n"/>
      <c r="F605" s="4" t="n"/>
      <c r="G605" s="5" t="n"/>
      <c r="H605" s="5" t="n"/>
      <c r="I605" s="5" t="n"/>
      <c r="J605" s="5" t="n"/>
    </row>
    <row r="606">
      <c r="A606" t="n">
        <v>603</v>
      </c>
      <c r="B606" s="8" t="n"/>
      <c r="C606" s="4" t="n"/>
      <c r="D606" s="4" t="n"/>
      <c r="E606" s="4" t="n"/>
      <c r="F606" s="4" t="n"/>
      <c r="G606" s="5" t="n"/>
      <c r="H606" s="5" t="n"/>
      <c r="I606" s="5" t="n"/>
      <c r="J606" s="5" t="n"/>
    </row>
    <row r="607">
      <c r="A607" t="n">
        <v>604</v>
      </c>
      <c r="B607" s="8" t="n"/>
      <c r="C607" s="4" t="n"/>
      <c r="D607" s="4" t="n"/>
      <c r="E607" s="4" t="n"/>
      <c r="F607" s="4" t="n"/>
      <c r="G607" s="5" t="n"/>
      <c r="H607" s="5" t="n"/>
      <c r="I607" s="5" t="n"/>
      <c r="J607" s="5" t="n"/>
    </row>
    <row r="608">
      <c r="A608" t="n">
        <v>605</v>
      </c>
      <c r="B608" s="8" t="n"/>
      <c r="C608" s="4" t="n"/>
      <c r="D608" s="4" t="n"/>
      <c r="E608" s="4" t="n"/>
      <c r="F608" s="4" t="n"/>
      <c r="G608" s="5" t="n"/>
      <c r="H608" s="5" t="n"/>
      <c r="I608" s="5" t="n"/>
      <c r="J608" s="5" t="n"/>
    </row>
    <row r="609">
      <c r="A609" t="n">
        <v>606</v>
      </c>
      <c r="B609" s="8" t="n"/>
      <c r="C609" s="4" t="n"/>
      <c r="D609" s="4" t="n"/>
      <c r="E609" s="4" t="n"/>
      <c r="F609" s="4" t="n"/>
      <c r="G609" s="5" t="n"/>
      <c r="H609" s="5" t="n"/>
      <c r="I609" s="5" t="n"/>
      <c r="J609" s="5" t="n"/>
    </row>
    <row r="610">
      <c r="A610" t="n">
        <v>607</v>
      </c>
      <c r="B610" s="8" t="n"/>
      <c r="C610" s="4" t="n"/>
      <c r="D610" s="4" t="n"/>
      <c r="E610" s="4" t="n"/>
      <c r="F610" s="4" t="n"/>
      <c r="G610" s="5" t="n"/>
      <c r="H610" s="5" t="n"/>
      <c r="I610" s="5" t="n"/>
      <c r="J610" s="5" t="n"/>
    </row>
    <row r="611">
      <c r="A611" t="n">
        <v>608</v>
      </c>
      <c r="B611" s="8" t="n"/>
      <c r="C611" s="4" t="n"/>
      <c r="D611" s="4" t="n"/>
      <c r="E611" s="4" t="n"/>
      <c r="F611" s="4" t="n"/>
      <c r="G611" s="5" t="n"/>
      <c r="H611" s="5" t="n"/>
      <c r="I611" s="5" t="n"/>
      <c r="J611" s="5" t="n"/>
    </row>
    <row r="612">
      <c r="A612" t="n">
        <v>609</v>
      </c>
      <c r="B612" s="8" t="n"/>
      <c r="C612" s="4" t="n"/>
      <c r="D612" s="4" t="n"/>
      <c r="E612" s="4" t="n"/>
      <c r="F612" s="4" t="n"/>
      <c r="G612" s="5" t="n"/>
      <c r="H612" s="5" t="n"/>
      <c r="I612" s="5" t="n"/>
      <c r="J612" s="5" t="n"/>
    </row>
    <row r="613">
      <c r="A613" t="n">
        <v>610</v>
      </c>
      <c r="B613" s="8" t="n"/>
      <c r="C613" s="4" t="n"/>
      <c r="D613" s="4" t="n"/>
      <c r="E613" s="4" t="n"/>
      <c r="F613" s="4" t="n"/>
      <c r="G613" s="5" t="n"/>
      <c r="H613" s="5" t="n"/>
      <c r="I613" s="5" t="n"/>
      <c r="J613" s="5" t="n"/>
    </row>
    <row r="614">
      <c r="A614" t="n">
        <v>611</v>
      </c>
      <c r="B614" s="8" t="n"/>
      <c r="C614" s="4" t="n"/>
      <c r="D614" s="4" t="n"/>
      <c r="E614" s="4" t="n"/>
      <c r="F614" s="4" t="n"/>
      <c r="G614" s="5" t="n"/>
      <c r="H614" s="5" t="n"/>
      <c r="I614" s="5" t="n"/>
      <c r="J614" s="5" t="n"/>
    </row>
    <row r="615">
      <c r="A615" t="n">
        <v>612</v>
      </c>
      <c r="B615" s="8" t="n"/>
      <c r="C615" s="4" t="n"/>
      <c r="D615" s="4" t="n"/>
      <c r="E615" s="4" t="n"/>
      <c r="F615" s="4" t="n"/>
      <c r="G615" s="5" t="n"/>
      <c r="H615" s="5" t="n"/>
      <c r="I615" s="5" t="n"/>
      <c r="J615" s="5" t="n"/>
    </row>
    <row r="616">
      <c r="A616" t="n">
        <v>613</v>
      </c>
      <c r="B616" s="8" t="n"/>
      <c r="C616" s="4" t="n"/>
      <c r="D616" s="4" t="n"/>
      <c r="E616" s="4" t="n"/>
      <c r="F616" s="4" t="n"/>
      <c r="G616" s="5" t="n"/>
      <c r="H616" s="5" t="n"/>
      <c r="I616" s="5" t="n"/>
      <c r="J616" s="5" t="n"/>
    </row>
    <row r="617">
      <c r="A617" t="n">
        <v>614</v>
      </c>
      <c r="B617" s="8" t="n"/>
      <c r="C617" s="4" t="n"/>
      <c r="D617" s="4" t="n"/>
      <c r="E617" s="4" t="n"/>
      <c r="F617" s="4" t="n"/>
      <c r="G617" s="5" t="n"/>
      <c r="H617" s="5" t="n"/>
      <c r="I617" s="5" t="n"/>
      <c r="J617" s="5" t="n"/>
    </row>
    <row r="618">
      <c r="A618" t="n">
        <v>615</v>
      </c>
      <c r="B618" s="8" t="n"/>
      <c r="C618" s="4" t="n"/>
      <c r="D618" s="4" t="n"/>
      <c r="E618" s="4" t="n"/>
      <c r="F618" s="4" t="n"/>
      <c r="G618" s="5" t="n"/>
      <c r="H618" s="5" t="n"/>
      <c r="I618" s="5" t="n"/>
      <c r="J618" s="5" t="n"/>
    </row>
    <row r="619">
      <c r="A619" t="n">
        <v>616</v>
      </c>
      <c r="B619" s="8" t="n"/>
      <c r="C619" s="4" t="n"/>
      <c r="D619" s="4" t="n"/>
      <c r="E619" s="4" t="n"/>
      <c r="F619" s="4" t="n"/>
      <c r="G619" s="5" t="n"/>
      <c r="H619" s="5" t="n"/>
      <c r="I619" s="5" t="n"/>
      <c r="J619" s="5" t="n"/>
    </row>
    <row r="620">
      <c r="A620" t="n">
        <v>617</v>
      </c>
      <c r="B620" s="8" t="n"/>
      <c r="C620" s="4" t="n"/>
      <c r="D620" s="4" t="n"/>
      <c r="E620" s="4" t="n"/>
      <c r="F620" s="4" t="n"/>
      <c r="G620" s="5" t="n"/>
      <c r="H620" s="5" t="n"/>
      <c r="I620" s="5" t="n"/>
      <c r="J620" s="5" t="n"/>
    </row>
    <row r="621">
      <c r="A621" t="n">
        <v>618</v>
      </c>
      <c r="B621" s="8" t="n"/>
      <c r="C621" s="4" t="n"/>
      <c r="D621" s="4" t="n"/>
      <c r="E621" s="4" t="n"/>
      <c r="F621" s="4" t="n"/>
      <c r="G621" s="5" t="n"/>
      <c r="H621" s="5" t="n"/>
      <c r="I621" s="5" t="n"/>
      <c r="J621" s="5" t="n"/>
    </row>
    <row r="622">
      <c r="A622" t="n">
        <v>619</v>
      </c>
      <c r="B622" s="8" t="n"/>
      <c r="C622" s="4" t="n"/>
      <c r="D622" s="4" t="n"/>
      <c r="E622" s="4" t="n"/>
      <c r="F622" s="4" t="n"/>
      <c r="G622" s="5" t="n"/>
      <c r="H622" s="5" t="n"/>
      <c r="I622" s="5" t="n"/>
      <c r="J622" s="5" t="n"/>
    </row>
    <row r="623">
      <c r="A623" t="n">
        <v>620</v>
      </c>
      <c r="B623" s="8" t="n"/>
      <c r="C623" s="4" t="n"/>
      <c r="D623" s="4" t="n"/>
      <c r="E623" s="4" t="n"/>
      <c r="F623" s="4" t="n"/>
      <c r="G623" s="5" t="n"/>
      <c r="H623" s="5" t="n"/>
      <c r="I623" s="5" t="n"/>
      <c r="J623" s="5" t="n"/>
    </row>
    <row r="624">
      <c r="A624" t="n">
        <v>621</v>
      </c>
      <c r="B624" s="8" t="n"/>
      <c r="C624" s="4" t="n"/>
      <c r="D624" s="4" t="n"/>
      <c r="E624" s="4" t="n"/>
      <c r="F624" s="4" t="n"/>
      <c r="G624" s="5" t="n"/>
      <c r="H624" s="5" t="n"/>
      <c r="I624" s="5" t="n"/>
      <c r="J624" s="5" t="n"/>
    </row>
    <row r="625">
      <c r="A625" t="n">
        <v>622</v>
      </c>
      <c r="B625" s="8" t="n"/>
      <c r="C625" s="4" t="n"/>
      <c r="D625" s="4" t="n"/>
      <c r="E625" s="4" t="n"/>
      <c r="F625" s="4" t="n"/>
      <c r="G625" s="5" t="n"/>
      <c r="H625" s="5" t="n"/>
      <c r="I625" s="5" t="n"/>
      <c r="J625" s="5" t="n"/>
    </row>
    <row r="626">
      <c r="A626" t="n">
        <v>623</v>
      </c>
      <c r="B626" s="8" t="n"/>
      <c r="C626" s="4" t="n"/>
      <c r="D626" s="4" t="n"/>
      <c r="E626" s="4" t="n"/>
      <c r="F626" s="4" t="n"/>
      <c r="G626" s="5" t="n"/>
      <c r="H626" s="5" t="n"/>
      <c r="I626" s="5" t="n"/>
      <c r="J626" s="5" t="n"/>
    </row>
    <row r="627">
      <c r="A627" t="n">
        <v>624</v>
      </c>
      <c r="B627" s="8" t="n"/>
      <c r="C627" s="4" t="n"/>
      <c r="D627" s="4" t="n"/>
      <c r="E627" s="4" t="n"/>
      <c r="F627" s="4" t="n"/>
      <c r="G627" s="5" t="n"/>
      <c r="H627" s="5" t="n"/>
      <c r="I627" s="5" t="n"/>
      <c r="J627" s="5" t="n"/>
    </row>
    <row r="628">
      <c r="A628" t="n">
        <v>625</v>
      </c>
      <c r="B628" s="8" t="n"/>
      <c r="C628" s="4" t="n"/>
      <c r="D628" s="4" t="n"/>
      <c r="E628" s="4" t="n"/>
      <c r="F628" s="4" t="n"/>
      <c r="G628" s="5" t="n"/>
      <c r="H628" s="5" t="n"/>
      <c r="I628" s="5" t="n"/>
      <c r="J628" s="5" t="n"/>
    </row>
    <row r="629">
      <c r="A629" t="n">
        <v>626</v>
      </c>
      <c r="B629" s="8" t="n"/>
      <c r="C629" s="4" t="n"/>
      <c r="D629" s="4" t="n"/>
      <c r="E629" s="4" t="n"/>
      <c r="F629" s="4" t="n"/>
      <c r="G629" s="5" t="n"/>
      <c r="H629" s="5" t="n"/>
      <c r="I629" s="5" t="n"/>
      <c r="J629" s="5" t="n"/>
    </row>
    <row r="630">
      <c r="A630" t="n">
        <v>627</v>
      </c>
      <c r="B630" s="8" t="n"/>
      <c r="C630" s="4" t="n"/>
      <c r="D630" s="4" t="n"/>
      <c r="E630" s="4" t="n"/>
      <c r="F630" s="4" t="n"/>
      <c r="G630" s="5" t="n"/>
      <c r="H630" s="5" t="n"/>
      <c r="I630" s="5" t="n"/>
      <c r="J630" s="5" t="n"/>
    </row>
    <row r="631">
      <c r="A631" t="n">
        <v>628</v>
      </c>
      <c r="B631" s="8" t="n"/>
      <c r="C631" s="4" t="n"/>
      <c r="D631" s="4" t="n"/>
      <c r="E631" s="4" t="n"/>
      <c r="F631" s="4" t="n"/>
      <c r="G631" s="5" t="n"/>
      <c r="H631" s="5" t="n"/>
      <c r="I631" s="5" t="n"/>
      <c r="J631" s="5" t="n"/>
    </row>
    <row r="632">
      <c r="A632" t="n">
        <v>629</v>
      </c>
      <c r="B632" s="8" t="n"/>
      <c r="C632" s="4" t="n"/>
      <c r="D632" s="4" t="n"/>
      <c r="E632" s="4" t="n"/>
      <c r="F632" s="4" t="n"/>
      <c r="G632" s="5" t="n"/>
      <c r="H632" s="5" t="n"/>
      <c r="I632" s="5" t="n"/>
      <c r="J632" s="5" t="n"/>
    </row>
    <row r="633">
      <c r="A633" t="n">
        <v>630</v>
      </c>
      <c r="B633" s="8" t="n"/>
      <c r="C633" s="4" t="n"/>
      <c r="D633" s="4" t="n"/>
      <c r="E633" s="4" t="n"/>
      <c r="F633" s="4" t="n"/>
      <c r="G633" s="5" t="n"/>
      <c r="H633" s="5" t="n"/>
      <c r="I633" s="5" t="n"/>
      <c r="J633" s="5" t="n"/>
    </row>
    <row r="634">
      <c r="A634" t="n">
        <v>631</v>
      </c>
      <c r="B634" s="8" t="n"/>
      <c r="C634" s="4" t="n"/>
      <c r="D634" s="4" t="n"/>
      <c r="E634" s="4" t="n"/>
      <c r="F634" s="4" t="n"/>
      <c r="G634" s="5" t="n"/>
      <c r="H634" s="5" t="n"/>
      <c r="I634" s="5" t="n"/>
      <c r="J634" s="5" t="n"/>
    </row>
    <row r="635">
      <c r="A635" t="n">
        <v>632</v>
      </c>
      <c r="B635" s="8" t="n"/>
      <c r="C635" s="4" t="n"/>
      <c r="D635" s="4" t="n"/>
      <c r="E635" s="4" t="n"/>
      <c r="F635" s="4" t="n"/>
      <c r="G635" s="5" t="n"/>
      <c r="H635" s="5" t="n"/>
      <c r="I635" s="5" t="n"/>
      <c r="J635" s="5" t="n"/>
    </row>
    <row r="636">
      <c r="A636" t="n">
        <v>633</v>
      </c>
      <c r="B636" s="8" t="n"/>
      <c r="C636" s="4" t="n"/>
      <c r="D636" s="4" t="n"/>
      <c r="E636" s="4" t="n"/>
      <c r="F636" s="4" t="n"/>
      <c r="G636" s="5" t="n"/>
      <c r="H636" s="5" t="n"/>
      <c r="I636" s="5" t="n"/>
      <c r="J636" s="5" t="n"/>
    </row>
    <row r="637">
      <c r="A637" t="n">
        <v>634</v>
      </c>
      <c r="B637" s="8" t="n"/>
      <c r="C637" s="4" t="n"/>
      <c r="D637" s="4" t="n"/>
      <c r="E637" s="4" t="n"/>
      <c r="F637" s="4" t="n"/>
      <c r="G637" s="5" t="n"/>
      <c r="H637" s="5" t="n"/>
      <c r="I637" s="5" t="n"/>
      <c r="J637" s="5" t="n"/>
    </row>
    <row r="638">
      <c r="A638" t="n">
        <v>635</v>
      </c>
      <c r="B638" s="8" t="n"/>
      <c r="C638" s="4" t="n"/>
      <c r="D638" s="4" t="n"/>
      <c r="E638" s="4" t="n"/>
      <c r="F638" s="4" t="n"/>
      <c r="G638" s="5" t="n"/>
      <c r="H638" s="5" t="n"/>
      <c r="I638" s="5" t="n"/>
      <c r="J638" s="5" t="n"/>
    </row>
    <row r="639">
      <c r="A639" t="n">
        <v>636</v>
      </c>
      <c r="B639" s="8" t="n"/>
      <c r="C639" s="4" t="n"/>
      <c r="D639" s="4" t="n"/>
      <c r="E639" s="4" t="n"/>
      <c r="F639" s="4" t="n"/>
      <c r="G639" s="5" t="n"/>
      <c r="H639" s="5" t="n"/>
      <c r="I639" s="5" t="n"/>
      <c r="J639" s="5" t="n"/>
    </row>
    <row r="640">
      <c r="A640" t="n">
        <v>637</v>
      </c>
      <c r="B640" s="8" t="n"/>
      <c r="C640" s="4" t="n"/>
      <c r="D640" s="4" t="n"/>
      <c r="E640" s="4" t="n"/>
      <c r="F640" s="4" t="n"/>
      <c r="G640" s="5" t="n"/>
      <c r="H640" s="5" t="n"/>
      <c r="I640" s="5" t="n"/>
      <c r="J640" s="5" t="n"/>
    </row>
    <row r="641">
      <c r="A641" t="n">
        <v>638</v>
      </c>
      <c r="B641" s="8" t="n"/>
      <c r="C641" s="4" t="n"/>
      <c r="D641" s="4" t="n"/>
      <c r="E641" s="4" t="n"/>
      <c r="F641" s="4" t="n"/>
      <c r="G641" s="5" t="n"/>
      <c r="H641" s="5" t="n"/>
      <c r="I641" s="5" t="n"/>
      <c r="J641" s="5" t="n"/>
    </row>
    <row r="642">
      <c r="A642" t="n">
        <v>639</v>
      </c>
      <c r="B642" s="8" t="n"/>
      <c r="C642" s="4" t="n"/>
      <c r="D642" s="4" t="n"/>
      <c r="E642" s="4" t="n"/>
      <c r="F642" s="4" t="n"/>
      <c r="G642" s="5" t="n"/>
      <c r="H642" s="5" t="n"/>
      <c r="I642" s="5" t="n"/>
      <c r="J642" s="5" t="n"/>
    </row>
    <row r="643">
      <c r="A643" t="n">
        <v>640</v>
      </c>
      <c r="B643" s="8" t="n"/>
      <c r="C643" s="4" t="n"/>
      <c r="D643" s="4" t="n"/>
      <c r="E643" s="4" t="n"/>
      <c r="F643" s="4" t="n"/>
      <c r="G643" s="5" t="n"/>
      <c r="H643" s="5" t="n"/>
      <c r="I643" s="5" t="n"/>
      <c r="J643" s="5" t="n"/>
    </row>
    <row r="644">
      <c r="A644" t="n">
        <v>641</v>
      </c>
      <c r="B644" s="8" t="n"/>
      <c r="C644" s="4" t="n"/>
      <c r="D644" s="4" t="n"/>
      <c r="E644" s="4" t="n"/>
      <c r="F644" s="4" t="n"/>
      <c r="G644" s="5" t="n"/>
      <c r="H644" s="5" t="n"/>
      <c r="I644" s="5" t="n"/>
      <c r="J644" s="5" t="n"/>
    </row>
    <row r="645">
      <c r="A645" t="n">
        <v>642</v>
      </c>
      <c r="B645" s="8" t="n"/>
      <c r="C645" s="4" t="n"/>
      <c r="D645" s="4" t="n"/>
      <c r="E645" s="4" t="n"/>
      <c r="F645" s="4" t="n"/>
      <c r="G645" s="5" t="n"/>
      <c r="H645" s="5" t="n"/>
      <c r="I645" s="5" t="n"/>
      <c r="J645" s="5" t="n"/>
    </row>
    <row r="646">
      <c r="A646" t="n">
        <v>643</v>
      </c>
      <c r="B646" s="8" t="n"/>
      <c r="C646" s="4" t="n"/>
      <c r="D646" s="4" t="n"/>
      <c r="E646" s="4" t="n"/>
      <c r="F646" s="4" t="n"/>
      <c r="G646" s="5" t="n"/>
      <c r="H646" s="5" t="n"/>
      <c r="I646" s="5" t="n"/>
      <c r="J646" s="5" t="n"/>
    </row>
    <row r="647">
      <c r="A647" t="n">
        <v>644</v>
      </c>
      <c r="B647" s="8" t="n"/>
      <c r="C647" s="4" t="n"/>
      <c r="D647" s="4" t="n"/>
      <c r="E647" s="4" t="n"/>
      <c r="F647" s="4" t="n"/>
      <c r="G647" s="5" t="n"/>
      <c r="H647" s="5" t="n"/>
      <c r="I647" s="5" t="n"/>
      <c r="J647" s="5" t="n"/>
    </row>
    <row r="648">
      <c r="A648" t="n">
        <v>645</v>
      </c>
      <c r="B648" s="8" t="n"/>
      <c r="C648" s="4" t="n"/>
      <c r="D648" s="4" t="n"/>
      <c r="E648" s="4" t="n"/>
      <c r="F648" s="4" t="n"/>
      <c r="G648" s="5" t="n"/>
      <c r="H648" s="5" t="n"/>
      <c r="I648" s="5" t="n"/>
      <c r="J648" s="5" t="n"/>
    </row>
    <row r="649">
      <c r="A649" t="n">
        <v>646</v>
      </c>
      <c r="B649" s="8" t="n"/>
      <c r="C649" s="4" t="n"/>
      <c r="D649" s="4" t="n"/>
      <c r="E649" s="4" t="n"/>
      <c r="F649" s="4" t="n"/>
      <c r="G649" s="5" t="n"/>
      <c r="H649" s="5" t="n"/>
      <c r="I649" s="5" t="n"/>
      <c r="J649" s="5" t="n"/>
    </row>
    <row r="650">
      <c r="A650" t="n">
        <v>647</v>
      </c>
      <c r="B650" s="8" t="n"/>
      <c r="C650" s="4" t="n"/>
      <c r="D650" s="4" t="n"/>
      <c r="E650" s="4" t="n"/>
      <c r="F650" s="4" t="n"/>
      <c r="G650" s="5" t="n"/>
      <c r="H650" s="5" t="n"/>
      <c r="I650" s="5" t="n"/>
      <c r="J650" s="5" t="n"/>
    </row>
    <row r="651">
      <c r="A651" t="n">
        <v>648</v>
      </c>
      <c r="B651" s="8" t="n"/>
      <c r="C651" s="4" t="n"/>
      <c r="D651" s="4" t="n"/>
      <c r="E651" s="4" t="n"/>
      <c r="F651" s="4" t="n"/>
      <c r="G651" s="5" t="n"/>
      <c r="H651" s="5" t="n"/>
      <c r="I651" s="5" t="n"/>
      <c r="J651" s="5" t="n"/>
    </row>
    <row r="652">
      <c r="A652" t="n">
        <v>649</v>
      </c>
      <c r="B652" s="8" t="n"/>
      <c r="C652" s="4" t="n"/>
      <c r="D652" s="4" t="n"/>
      <c r="E652" s="4" t="n"/>
      <c r="F652" s="4" t="n"/>
      <c r="G652" s="5" t="n"/>
      <c r="H652" s="5" t="n"/>
      <c r="I652" s="5" t="n"/>
      <c r="J652" s="5" t="n"/>
    </row>
    <row r="653">
      <c r="A653" t="n">
        <v>650</v>
      </c>
      <c r="B653" s="8" t="n"/>
      <c r="C653" s="4" t="n"/>
      <c r="D653" s="4" t="n"/>
      <c r="E653" s="4" t="n"/>
      <c r="F653" s="4" t="n"/>
      <c r="G653" s="5" t="n"/>
      <c r="H653" s="5" t="n"/>
      <c r="I653" s="5" t="n"/>
      <c r="J653" s="5" t="n"/>
    </row>
    <row r="654">
      <c r="A654" t="n">
        <v>651</v>
      </c>
      <c r="B654" s="8" t="n"/>
      <c r="C654" s="4" t="n"/>
      <c r="D654" s="4" t="n"/>
      <c r="E654" s="4" t="n"/>
      <c r="F654" s="4" t="n"/>
      <c r="G654" s="5" t="n"/>
      <c r="H654" s="5" t="n"/>
      <c r="I654" s="5" t="n"/>
      <c r="J654" s="5" t="n"/>
    </row>
    <row r="655">
      <c r="A655" t="n">
        <v>652</v>
      </c>
      <c r="B655" s="8" t="n"/>
      <c r="C655" s="4" t="n"/>
      <c r="D655" s="4" t="n"/>
      <c r="E655" s="4" t="n"/>
      <c r="F655" s="4" t="n"/>
      <c r="G655" s="5" t="n"/>
      <c r="H655" s="5" t="n"/>
      <c r="I655" s="5" t="n"/>
      <c r="J655" s="5" t="n"/>
    </row>
    <row r="656">
      <c r="A656" t="n">
        <v>653</v>
      </c>
      <c r="B656" s="8" t="n"/>
      <c r="C656" s="4" t="n"/>
      <c r="D656" s="4" t="n"/>
      <c r="E656" s="4" t="n"/>
      <c r="F656" s="4" t="n"/>
      <c r="G656" s="5" t="n"/>
      <c r="H656" s="5" t="n"/>
      <c r="I656" s="5" t="n"/>
      <c r="J656" s="5" t="n"/>
    </row>
    <row r="657">
      <c r="A657" t="n">
        <v>654</v>
      </c>
      <c r="B657" s="8" t="n"/>
      <c r="C657" s="4" t="n"/>
      <c r="D657" s="4" t="n"/>
      <c r="E657" s="4" t="n"/>
      <c r="F657" s="4" t="n"/>
      <c r="G657" s="5" t="n"/>
      <c r="H657" s="5" t="n"/>
      <c r="I657" s="5" t="n"/>
      <c r="J657" s="5" t="n"/>
    </row>
    <row r="658">
      <c r="A658" t="n">
        <v>655</v>
      </c>
      <c r="B658" s="8" t="n"/>
      <c r="C658" s="4" t="n"/>
      <c r="D658" s="4" t="n"/>
      <c r="E658" s="4" t="n"/>
      <c r="F658" s="4" t="n"/>
      <c r="G658" s="5" t="n"/>
      <c r="H658" s="5" t="n"/>
      <c r="I658" s="5" t="n"/>
      <c r="J658" s="5" t="n"/>
    </row>
    <row r="659">
      <c r="A659" t="n">
        <v>656</v>
      </c>
      <c r="B659" s="8" t="n"/>
      <c r="C659" s="4" t="n"/>
      <c r="D659" s="4" t="n"/>
      <c r="E659" s="4" t="n"/>
      <c r="F659" s="4" t="n"/>
      <c r="G659" s="5" t="n"/>
      <c r="H659" s="5" t="n"/>
      <c r="I659" s="5" t="n"/>
      <c r="J659" s="5" t="n"/>
    </row>
    <row r="660">
      <c r="A660" t="n">
        <v>657</v>
      </c>
      <c r="B660" s="8" t="n"/>
      <c r="C660" s="4" t="n"/>
      <c r="D660" s="4" t="n"/>
      <c r="E660" s="4" t="n"/>
      <c r="F660" s="4" t="n"/>
      <c r="G660" s="5" t="n"/>
      <c r="H660" s="5" t="n"/>
      <c r="I660" s="5" t="n"/>
      <c r="J660" s="5" t="n"/>
    </row>
    <row r="661">
      <c r="A661" t="n">
        <v>658</v>
      </c>
      <c r="B661" s="8" t="n"/>
      <c r="C661" s="4" t="n"/>
      <c r="D661" s="4" t="n"/>
      <c r="E661" s="4" t="n"/>
      <c r="F661" s="4" t="n"/>
      <c r="G661" s="5" t="n"/>
      <c r="H661" s="5" t="n"/>
      <c r="I661" s="5" t="n"/>
      <c r="J661" s="5" t="n"/>
    </row>
    <row r="662">
      <c r="A662" t="n">
        <v>659</v>
      </c>
      <c r="B662" s="8" t="n"/>
      <c r="C662" s="4" t="n"/>
      <c r="D662" s="4" t="n"/>
      <c r="E662" s="4" t="n"/>
      <c r="F662" s="4" t="n"/>
      <c r="G662" s="5" t="n"/>
      <c r="H662" s="5" t="n"/>
      <c r="I662" s="5" t="n"/>
      <c r="J662" s="5" t="n"/>
    </row>
    <row r="663">
      <c r="A663" t="n">
        <v>660</v>
      </c>
      <c r="B663" s="8" t="n"/>
      <c r="C663" s="4" t="n"/>
      <c r="D663" s="4" t="n"/>
      <c r="E663" s="4" t="n"/>
      <c r="F663" s="4" t="n"/>
      <c r="G663" s="5" t="n"/>
      <c r="H663" s="5" t="n"/>
      <c r="I663" s="5" t="n"/>
      <c r="J663" s="5" t="n"/>
    </row>
    <row r="664">
      <c r="A664" t="n">
        <v>661</v>
      </c>
      <c r="B664" s="8" t="n"/>
      <c r="C664" s="4" t="n"/>
      <c r="D664" s="4" t="n"/>
      <c r="E664" s="4" t="n"/>
      <c r="F664" s="4" t="n"/>
      <c r="G664" s="5" t="n"/>
      <c r="H664" s="5" t="n"/>
      <c r="I664" s="5" t="n"/>
      <c r="J664" s="5" t="n"/>
    </row>
    <row r="665">
      <c r="A665" t="n">
        <v>662</v>
      </c>
      <c r="B665" s="8" t="n"/>
      <c r="C665" s="4" t="n"/>
      <c r="D665" s="4" t="n"/>
      <c r="E665" s="4" t="n"/>
      <c r="F665" s="4" t="n"/>
      <c r="G665" s="5" t="n"/>
      <c r="H665" s="5" t="n"/>
      <c r="I665" s="5" t="n"/>
      <c r="J665" s="5" t="n"/>
    </row>
    <row r="666">
      <c r="A666" t="n">
        <v>663</v>
      </c>
      <c r="B666" s="8" t="n"/>
      <c r="C666" s="4" t="n"/>
      <c r="D666" s="4" t="n"/>
      <c r="E666" s="4" t="n"/>
      <c r="F666" s="4" t="n"/>
      <c r="G666" s="5" t="n"/>
      <c r="H666" s="5" t="n"/>
      <c r="I666" s="5" t="n"/>
      <c r="J666" s="5" t="n"/>
    </row>
    <row r="667">
      <c r="A667" t="n">
        <v>664</v>
      </c>
      <c r="B667" s="8" t="n"/>
      <c r="C667" s="4" t="n"/>
      <c r="D667" s="4" t="n"/>
      <c r="E667" s="4" t="n"/>
      <c r="F667" s="4" t="n"/>
      <c r="G667" s="5" t="n"/>
      <c r="H667" s="5" t="n"/>
      <c r="I667" s="5" t="n"/>
      <c r="J667" s="5" t="n"/>
    </row>
    <row r="668">
      <c r="A668" t="n">
        <v>665</v>
      </c>
      <c r="B668" s="8" t="n"/>
      <c r="C668" s="4" t="n"/>
      <c r="D668" s="4" t="n"/>
      <c r="E668" s="4" t="n"/>
      <c r="F668" s="4" t="n"/>
      <c r="G668" s="5" t="n"/>
      <c r="H668" s="5" t="n"/>
      <c r="I668" s="5" t="n"/>
      <c r="J668" s="5" t="n"/>
    </row>
    <row r="669">
      <c r="A669" t="n">
        <v>666</v>
      </c>
      <c r="B669" s="8" t="n"/>
      <c r="C669" s="4" t="n"/>
      <c r="D669" s="4" t="n"/>
      <c r="E669" s="4" t="n"/>
      <c r="F669" s="4" t="n"/>
      <c r="G669" s="5" t="n"/>
      <c r="H669" s="5" t="n"/>
      <c r="I669" s="5" t="n"/>
      <c r="J669" s="5" t="n"/>
    </row>
    <row r="670">
      <c r="A670" t="n">
        <v>667</v>
      </c>
      <c r="B670" s="8" t="n"/>
      <c r="C670" s="4" t="n"/>
      <c r="D670" s="4" t="n"/>
      <c r="E670" s="4" t="n"/>
      <c r="F670" s="4" t="n"/>
      <c r="G670" s="5" t="n"/>
      <c r="H670" s="5" t="n"/>
      <c r="I670" s="5" t="n"/>
      <c r="J670" s="5" t="n"/>
    </row>
    <row r="671">
      <c r="A671" t="n">
        <v>668</v>
      </c>
      <c r="B671" s="8" t="n"/>
      <c r="C671" s="4" t="n"/>
      <c r="D671" s="4" t="n"/>
      <c r="E671" s="4" t="n"/>
      <c r="F671" s="4" t="n"/>
      <c r="G671" s="5" t="n"/>
      <c r="H671" s="5" t="n"/>
      <c r="I671" s="5" t="n"/>
      <c r="J671" s="5" t="n"/>
    </row>
    <row r="672">
      <c r="A672" t="n">
        <v>669</v>
      </c>
      <c r="B672" s="8" t="n"/>
      <c r="C672" s="4" t="n"/>
      <c r="D672" s="4" t="n"/>
      <c r="E672" s="4" t="n"/>
      <c r="F672" s="4" t="n"/>
      <c r="G672" s="5" t="n"/>
      <c r="H672" s="5" t="n"/>
      <c r="I672" s="5" t="n"/>
      <c r="J672" s="5" t="n"/>
    </row>
    <row r="673">
      <c r="A673" t="n">
        <v>670</v>
      </c>
      <c r="B673" s="8" t="n"/>
      <c r="C673" s="4" t="n"/>
      <c r="D673" s="4" t="n"/>
      <c r="E673" s="4" t="n"/>
      <c r="F673" s="4" t="n"/>
      <c r="G673" s="5" t="n"/>
      <c r="H673" s="5" t="n"/>
      <c r="I673" s="5" t="n"/>
      <c r="J673" s="5" t="n"/>
    </row>
    <row r="674">
      <c r="A674" t="n">
        <v>671</v>
      </c>
      <c r="B674" s="8" t="n"/>
      <c r="C674" s="4" t="n"/>
      <c r="D674" s="4" t="n"/>
      <c r="E674" s="4" t="n"/>
      <c r="F674" s="4" t="n"/>
      <c r="G674" s="5" t="n"/>
      <c r="H674" s="5" t="n"/>
      <c r="I674" s="5" t="n"/>
      <c r="J674" s="5" t="n"/>
    </row>
    <row r="675">
      <c r="A675" t="n">
        <v>672</v>
      </c>
      <c r="B675" s="8" t="n"/>
      <c r="C675" s="4" t="n"/>
      <c r="D675" s="4" t="n"/>
      <c r="E675" s="4" t="n"/>
      <c r="F675" s="4" t="n"/>
      <c r="G675" s="5" t="n"/>
      <c r="H675" s="5" t="n"/>
      <c r="I675" s="5" t="n"/>
      <c r="J675" s="5" t="n"/>
    </row>
    <row r="676">
      <c r="A676" t="n">
        <v>673</v>
      </c>
      <c r="B676" s="8" t="n"/>
      <c r="C676" s="4" t="n"/>
      <c r="D676" s="4" t="n"/>
      <c r="E676" s="4" t="n"/>
      <c r="F676" s="4" t="n"/>
      <c r="G676" s="5" t="n"/>
      <c r="H676" s="5" t="n"/>
      <c r="I676" s="5" t="n"/>
      <c r="J676" s="5" t="n"/>
    </row>
    <row r="677">
      <c r="A677" t="n">
        <v>674</v>
      </c>
      <c r="B677" s="8" t="n"/>
      <c r="C677" s="4" t="n"/>
      <c r="D677" s="4" t="n"/>
      <c r="E677" s="4" t="n"/>
      <c r="F677" s="4" t="n"/>
      <c r="G677" s="5" t="n"/>
      <c r="H677" s="5" t="n"/>
      <c r="I677" s="5" t="n"/>
      <c r="J677" s="5" t="n"/>
    </row>
    <row r="678">
      <c r="A678" t="n">
        <v>675</v>
      </c>
      <c r="B678" s="8" t="n"/>
      <c r="C678" s="4" t="n"/>
      <c r="D678" s="4" t="n"/>
      <c r="E678" s="4" t="n"/>
      <c r="F678" s="4" t="n"/>
      <c r="G678" s="5" t="n"/>
      <c r="H678" s="5" t="n"/>
      <c r="I678" s="5" t="n"/>
      <c r="J678" s="5" t="n"/>
    </row>
    <row r="679">
      <c r="A679" t="n">
        <v>676</v>
      </c>
      <c r="B679" s="8" t="n"/>
      <c r="C679" s="4" t="n"/>
      <c r="D679" s="4" t="n"/>
      <c r="E679" s="4" t="n"/>
      <c r="F679" s="4" t="n"/>
      <c r="G679" s="5" t="n"/>
      <c r="H679" s="5" t="n"/>
      <c r="I679" s="5" t="n"/>
      <c r="J679" s="5" t="n"/>
    </row>
    <row r="680">
      <c r="A680" t="n">
        <v>677</v>
      </c>
      <c r="B680" s="8" t="n"/>
      <c r="C680" s="4" t="n"/>
      <c r="D680" s="4" t="n"/>
      <c r="E680" s="4" t="n"/>
      <c r="F680" s="4" t="n"/>
      <c r="G680" s="5" t="n"/>
      <c r="H680" s="5" t="n"/>
      <c r="I680" s="5" t="n"/>
      <c r="J680" s="5" t="n"/>
    </row>
    <row r="681">
      <c r="A681" t="n">
        <v>678</v>
      </c>
      <c r="B681" s="8" t="n"/>
      <c r="C681" s="4" t="n"/>
      <c r="D681" s="4" t="n"/>
      <c r="E681" s="4" t="n"/>
      <c r="F681" s="4" t="n"/>
      <c r="G681" s="5" t="n"/>
      <c r="H681" s="5" t="n"/>
      <c r="I681" s="5" t="n"/>
      <c r="J681" s="5" t="n"/>
    </row>
    <row r="682">
      <c r="A682" t="n">
        <v>679</v>
      </c>
      <c r="B682" s="8" t="n"/>
      <c r="C682" s="4" t="n"/>
      <c r="D682" s="4" t="n"/>
      <c r="E682" s="4" t="n"/>
      <c r="F682" s="4" t="n"/>
      <c r="G682" s="5" t="n"/>
      <c r="H682" s="5" t="n"/>
      <c r="I682" s="5" t="n"/>
      <c r="J682" s="5" t="n"/>
    </row>
    <row r="683">
      <c r="A683" t="n">
        <v>680</v>
      </c>
      <c r="B683" s="8" t="n"/>
      <c r="C683" s="4" t="n"/>
      <c r="D683" s="4" t="n"/>
      <c r="E683" s="4" t="n"/>
      <c r="F683" s="4" t="n"/>
      <c r="G683" s="5" t="n"/>
      <c r="H683" s="5" t="n"/>
      <c r="I683" s="5" t="n"/>
      <c r="J683" s="5" t="n"/>
    </row>
    <row r="684">
      <c r="A684" t="n">
        <v>681</v>
      </c>
      <c r="B684" s="8" t="n"/>
      <c r="C684" s="4" t="n"/>
      <c r="D684" s="4" t="n"/>
      <c r="E684" s="4" t="n"/>
      <c r="F684" s="4" t="n"/>
      <c r="G684" s="5" t="n"/>
      <c r="H684" s="5" t="n"/>
      <c r="I684" s="5" t="n"/>
      <c r="J684" s="5" t="n"/>
    </row>
    <row r="685">
      <c r="A685" t="n">
        <v>682</v>
      </c>
      <c r="B685" s="8" t="n"/>
      <c r="C685" s="4" t="n"/>
      <c r="D685" s="4" t="n"/>
      <c r="E685" s="4" t="n"/>
      <c r="F685" s="4" t="n"/>
      <c r="G685" s="5" t="n"/>
      <c r="H685" s="5" t="n"/>
      <c r="I685" s="5" t="n"/>
      <c r="J685" s="5" t="n"/>
    </row>
    <row r="686">
      <c r="A686" t="n">
        <v>683</v>
      </c>
      <c r="B686" s="8" t="n"/>
      <c r="C686" s="4" t="n"/>
      <c r="D686" s="4" t="n"/>
      <c r="E686" s="4" t="n"/>
      <c r="F686" s="4" t="n"/>
      <c r="G686" s="5" t="n"/>
      <c r="H686" s="5" t="n"/>
      <c r="I686" s="5" t="n"/>
      <c r="J686" s="5" t="n"/>
    </row>
    <row r="687">
      <c r="A687" t="n">
        <v>684</v>
      </c>
      <c r="B687" s="8" t="n"/>
      <c r="C687" s="4" t="n"/>
      <c r="D687" s="4" t="n"/>
      <c r="E687" s="4" t="n"/>
      <c r="F687" s="4" t="n"/>
      <c r="G687" s="5" t="n"/>
      <c r="H687" s="5" t="n"/>
      <c r="I687" s="5" t="n"/>
      <c r="J687" s="5" t="n"/>
    </row>
    <row r="688">
      <c r="A688" t="n">
        <v>685</v>
      </c>
      <c r="B688" s="8" t="n"/>
      <c r="C688" s="4" t="n"/>
      <c r="D688" s="4" t="n"/>
      <c r="E688" s="4" t="n"/>
      <c r="F688" s="4" t="n"/>
      <c r="G688" s="5" t="n"/>
      <c r="H688" s="5" t="n"/>
      <c r="I688" s="5" t="n"/>
      <c r="J688" s="5" t="n"/>
    </row>
    <row r="689">
      <c r="A689" t="n">
        <v>686</v>
      </c>
      <c r="B689" s="8" t="n"/>
      <c r="C689" s="4" t="n"/>
      <c r="D689" s="4" t="n"/>
      <c r="E689" s="4" t="n"/>
      <c r="F689" s="4" t="n"/>
      <c r="G689" s="5" t="n"/>
      <c r="H689" s="5" t="n"/>
      <c r="I689" s="5" t="n"/>
      <c r="J689" s="5" t="n"/>
    </row>
    <row r="690">
      <c r="A690" t="n">
        <v>687</v>
      </c>
      <c r="B690" s="8" t="n"/>
      <c r="C690" s="4" t="n"/>
      <c r="D690" s="4" t="n"/>
      <c r="E690" s="4" t="n"/>
      <c r="F690" s="4" t="n"/>
      <c r="G690" s="5" t="n"/>
      <c r="H690" s="5" t="n"/>
      <c r="I690" s="5" t="n"/>
      <c r="J690" s="5" t="n"/>
    </row>
    <row r="691">
      <c r="A691" t="n">
        <v>688</v>
      </c>
      <c r="B691" s="8" t="n"/>
      <c r="C691" s="4" t="n"/>
      <c r="D691" s="4" t="n"/>
      <c r="E691" s="4" t="n"/>
      <c r="F691" s="4" t="n"/>
      <c r="G691" s="5" t="n"/>
      <c r="H691" s="5" t="n"/>
      <c r="I691" s="5" t="n"/>
      <c r="J691" s="5" t="n"/>
    </row>
    <row r="692">
      <c r="A692" t="n">
        <v>689</v>
      </c>
      <c r="B692" s="8" t="n"/>
      <c r="C692" s="4" t="n"/>
      <c r="D692" s="4" t="n"/>
      <c r="E692" s="4" t="n"/>
      <c r="F692" s="4" t="n"/>
      <c r="G692" s="5" t="n"/>
      <c r="H692" s="5" t="n"/>
      <c r="I692" s="5" t="n"/>
      <c r="J692" s="5" t="n"/>
    </row>
    <row r="693">
      <c r="A693" t="n">
        <v>690</v>
      </c>
      <c r="B693" s="8" t="n"/>
      <c r="C693" s="4" t="n"/>
      <c r="D693" s="4" t="n"/>
      <c r="E693" s="4" t="n"/>
      <c r="F693" s="4" t="n"/>
      <c r="G693" s="5" t="n"/>
      <c r="H693" s="5" t="n"/>
      <c r="I693" s="5" t="n"/>
      <c r="J693" s="5" t="n"/>
    </row>
    <row r="694">
      <c r="A694" t="n">
        <v>691</v>
      </c>
      <c r="B694" s="8" t="n"/>
      <c r="C694" s="4" t="n"/>
      <c r="D694" s="4" t="n"/>
      <c r="E694" s="4" t="n"/>
      <c r="F694" s="4" t="n"/>
      <c r="G694" s="5" t="n"/>
      <c r="H694" s="5" t="n"/>
      <c r="I694" s="5" t="n"/>
      <c r="J694" s="5" t="n"/>
    </row>
    <row r="695">
      <c r="A695" t="n">
        <v>692</v>
      </c>
      <c r="B695" s="8" t="n"/>
      <c r="C695" s="4" t="n"/>
      <c r="D695" s="4" t="n"/>
      <c r="E695" s="4" t="n"/>
      <c r="F695" s="4" t="n"/>
      <c r="G695" s="5" t="n"/>
      <c r="H695" s="5" t="n"/>
      <c r="I695" s="5" t="n"/>
      <c r="J695" s="5" t="n"/>
    </row>
    <row r="696">
      <c r="A696" t="n">
        <v>693</v>
      </c>
      <c r="B696" s="8" t="n"/>
      <c r="C696" s="4" t="n"/>
      <c r="D696" s="4" t="n"/>
      <c r="E696" s="4" t="n"/>
      <c r="F696" s="4" t="n"/>
      <c r="G696" s="5" t="n"/>
      <c r="H696" s="5" t="n"/>
      <c r="I696" s="5" t="n"/>
      <c r="J696" s="5" t="n"/>
    </row>
    <row r="697">
      <c r="A697" t="n">
        <v>694</v>
      </c>
      <c r="B697" s="8" t="n"/>
      <c r="C697" s="4" t="n"/>
      <c r="D697" s="4" t="n"/>
      <c r="E697" s="4" t="n"/>
      <c r="F697" s="4" t="n"/>
      <c r="G697" s="5" t="n"/>
      <c r="H697" s="5" t="n"/>
      <c r="I697" s="5" t="n"/>
      <c r="J697" s="5" t="n"/>
    </row>
    <row r="698">
      <c r="A698" t="n">
        <v>695</v>
      </c>
      <c r="B698" s="8" t="n"/>
      <c r="C698" s="4" t="n"/>
      <c r="D698" s="4" t="n"/>
      <c r="E698" s="4" t="n"/>
      <c r="F698" s="4" t="n"/>
      <c r="G698" s="5" t="n"/>
      <c r="H698" s="5" t="n"/>
      <c r="I698" s="5" t="n"/>
      <c r="J698" s="5" t="n"/>
    </row>
    <row r="699">
      <c r="A699" t="n">
        <v>696</v>
      </c>
      <c r="B699" s="8" t="n"/>
      <c r="C699" s="4" t="n"/>
      <c r="D699" s="4" t="n"/>
      <c r="E699" s="4" t="n"/>
      <c r="F699" s="4" t="n"/>
      <c r="G699" s="5" t="n"/>
      <c r="H699" s="5" t="n"/>
      <c r="I699" s="5" t="n"/>
      <c r="J699" s="5" t="n"/>
    </row>
    <row r="700">
      <c r="A700" t="n">
        <v>697</v>
      </c>
      <c r="B700" s="8" t="n"/>
      <c r="C700" s="4" t="n"/>
      <c r="D700" s="4" t="n"/>
      <c r="E700" s="4" t="n"/>
      <c r="F700" s="4" t="n"/>
      <c r="G700" s="5" t="n"/>
      <c r="H700" s="5" t="n"/>
      <c r="I700" s="5" t="n"/>
      <c r="J700" s="5" t="n"/>
    </row>
    <row r="701">
      <c r="A701" t="n">
        <v>698</v>
      </c>
      <c r="B701" s="8" t="n"/>
      <c r="C701" s="4" t="n"/>
      <c r="D701" s="4" t="n"/>
      <c r="E701" s="4" t="n"/>
      <c r="F701" s="4" t="n"/>
      <c r="G701" s="5" t="n"/>
      <c r="H701" s="5" t="n"/>
      <c r="I701" s="5" t="n"/>
      <c r="J701" s="5" t="n"/>
    </row>
    <row r="702">
      <c r="A702" t="n">
        <v>699</v>
      </c>
      <c r="B702" s="8" t="n"/>
      <c r="C702" s="4" t="n"/>
      <c r="D702" s="4" t="n"/>
      <c r="E702" s="4" t="n"/>
      <c r="F702" s="4" t="n"/>
      <c r="G702" s="5" t="n"/>
      <c r="H702" s="5" t="n"/>
      <c r="I702" s="5" t="n"/>
      <c r="J702" s="5" t="n"/>
    </row>
    <row r="703">
      <c r="A703" t="n">
        <v>700</v>
      </c>
      <c r="B703" s="8" t="n"/>
      <c r="C703" s="4" t="n"/>
      <c r="D703" s="4" t="n"/>
      <c r="E703" s="4" t="n"/>
      <c r="F703" s="4" t="n"/>
      <c r="G703" s="5" t="n"/>
      <c r="H703" s="5" t="n"/>
      <c r="I703" s="5" t="n"/>
      <c r="J703" s="5" t="n"/>
    </row>
    <row r="704">
      <c r="A704" t="n">
        <v>701</v>
      </c>
      <c r="B704" s="8" t="n"/>
      <c r="C704" s="4" t="n"/>
      <c r="D704" s="4" t="n"/>
      <c r="E704" s="4" t="n"/>
      <c r="F704" s="4" t="n"/>
      <c r="G704" s="5" t="n"/>
      <c r="H704" s="5" t="n"/>
      <c r="I704" s="5" t="n"/>
      <c r="J704" s="5" t="n"/>
    </row>
    <row r="705">
      <c r="A705" t="n">
        <v>702</v>
      </c>
      <c r="B705" s="8" t="n"/>
      <c r="C705" s="4" t="n"/>
      <c r="D705" s="4" t="n"/>
      <c r="E705" s="4" t="n"/>
      <c r="F705" s="4" t="n"/>
      <c r="G705" s="5" t="n"/>
      <c r="H705" s="5" t="n"/>
      <c r="I705" s="5" t="n"/>
      <c r="J705" s="5" t="n"/>
    </row>
    <row r="706">
      <c r="A706" t="n">
        <v>703</v>
      </c>
      <c r="B706" s="8" t="n"/>
      <c r="C706" s="4" t="n"/>
      <c r="D706" s="4" t="n"/>
      <c r="E706" s="4" t="n"/>
      <c r="F706" s="4" t="n"/>
      <c r="G706" s="5" t="n"/>
      <c r="H706" s="5" t="n"/>
      <c r="I706" s="5" t="n"/>
      <c r="J706" s="5" t="n"/>
    </row>
    <row r="707">
      <c r="A707" t="n">
        <v>704</v>
      </c>
      <c r="B707" s="8" t="n"/>
      <c r="C707" s="4" t="n"/>
      <c r="D707" s="4" t="n"/>
      <c r="E707" s="4" t="n"/>
      <c r="F707" s="4" t="n"/>
      <c r="G707" s="5" t="n"/>
      <c r="H707" s="5" t="n"/>
      <c r="I707" s="5" t="n"/>
      <c r="J707" s="5" t="n"/>
    </row>
    <row r="708">
      <c r="A708" t="n">
        <v>705</v>
      </c>
      <c r="B708" s="8" t="n"/>
      <c r="C708" s="4" t="n"/>
      <c r="D708" s="4" t="n"/>
      <c r="E708" s="4" t="n"/>
      <c r="F708" s="4" t="n"/>
      <c r="G708" s="5" t="n"/>
      <c r="H708" s="5" t="n"/>
      <c r="I708" s="5" t="n"/>
      <c r="J708" s="5" t="n"/>
    </row>
    <row r="709">
      <c r="A709" t="n">
        <v>706</v>
      </c>
      <c r="B709" s="8" t="n"/>
      <c r="C709" s="4" t="n"/>
      <c r="D709" s="4" t="n"/>
      <c r="E709" s="4" t="n"/>
      <c r="F709" s="4" t="n"/>
      <c r="G709" s="5" t="n"/>
      <c r="H709" s="5" t="n"/>
      <c r="I709" s="5" t="n"/>
      <c r="J709" s="5" t="n"/>
    </row>
    <row r="710">
      <c r="A710" t="n">
        <v>707</v>
      </c>
      <c r="B710" s="8" t="n"/>
      <c r="C710" s="4" t="n"/>
      <c r="D710" s="4" t="n"/>
      <c r="E710" s="4" t="n"/>
      <c r="F710" s="4" t="n"/>
      <c r="G710" s="5" t="n"/>
      <c r="H710" s="5" t="n"/>
      <c r="I710" s="5" t="n"/>
      <c r="J710" s="5" t="n"/>
    </row>
    <row r="711">
      <c r="A711" t="n">
        <v>708</v>
      </c>
      <c r="B711" s="8" t="n"/>
      <c r="C711" s="4" t="n"/>
      <c r="D711" s="4" t="n"/>
      <c r="E711" s="4" t="n"/>
      <c r="F711" s="4" t="n"/>
      <c r="G711" s="5" t="n"/>
      <c r="H711" s="5" t="n"/>
      <c r="I711" s="5" t="n"/>
      <c r="J711" s="5" t="n"/>
    </row>
    <row r="712">
      <c r="A712" t="n">
        <v>709</v>
      </c>
      <c r="B712" s="8" t="n"/>
      <c r="C712" s="4" t="n"/>
      <c r="D712" s="4" t="n"/>
      <c r="E712" s="4" t="n"/>
      <c r="F712" s="4" t="n"/>
      <c r="G712" s="5" t="n"/>
      <c r="H712" s="5" t="n"/>
      <c r="I712" s="5" t="n"/>
      <c r="J712" s="5" t="n"/>
    </row>
    <row r="713">
      <c r="A713" t="n">
        <v>710</v>
      </c>
      <c r="B713" s="8" t="n"/>
      <c r="C713" s="4" t="n"/>
      <c r="D713" s="4" t="n"/>
      <c r="E713" s="4" t="n"/>
      <c r="F713" s="4" t="n"/>
      <c r="G713" s="5" t="n"/>
      <c r="H713" s="5" t="n"/>
      <c r="I713" s="5" t="n"/>
      <c r="J713" s="5" t="n"/>
    </row>
    <row r="714">
      <c r="A714" t="n">
        <v>711</v>
      </c>
      <c r="B714" s="8" t="n"/>
      <c r="C714" s="4" t="n"/>
      <c r="D714" s="4" t="n"/>
      <c r="E714" s="4" t="n"/>
      <c r="F714" s="4" t="n"/>
      <c r="G714" s="5" t="n"/>
      <c r="H714" s="5" t="n"/>
      <c r="I714" s="5" t="n"/>
      <c r="J714" s="5" t="n"/>
    </row>
    <row r="715">
      <c r="A715" t="n">
        <v>712</v>
      </c>
      <c r="B715" s="8" t="n"/>
      <c r="C715" s="4" t="n"/>
      <c r="D715" s="4" t="n"/>
      <c r="E715" s="4" t="n"/>
      <c r="F715" s="4" t="n"/>
      <c r="G715" s="5" t="n"/>
      <c r="H715" s="5" t="n"/>
      <c r="I715" s="5" t="n"/>
      <c r="J715" s="5" t="n"/>
    </row>
    <row r="716">
      <c r="A716" t="n">
        <v>713</v>
      </c>
      <c r="B716" s="8" t="n"/>
      <c r="C716" s="4" t="n"/>
      <c r="D716" s="4" t="n"/>
      <c r="E716" s="4" t="n"/>
      <c r="F716" s="4" t="n"/>
      <c r="G716" s="5" t="n"/>
      <c r="H716" s="5" t="n"/>
      <c r="I716" s="5" t="n"/>
      <c r="J716" s="5" t="n"/>
    </row>
    <row r="717">
      <c r="A717" t="n">
        <v>714</v>
      </c>
      <c r="B717" s="8" t="n"/>
      <c r="C717" s="4" t="n"/>
      <c r="D717" s="4" t="n"/>
      <c r="E717" s="4" t="n"/>
      <c r="F717" s="4" t="n"/>
      <c r="G717" s="5" t="n"/>
      <c r="H717" s="5" t="n"/>
      <c r="I717" s="5" t="n"/>
      <c r="J717" s="5" t="n"/>
    </row>
    <row r="718">
      <c r="A718" t="n">
        <v>715</v>
      </c>
      <c r="B718" s="8" t="n"/>
      <c r="C718" s="4" t="n"/>
      <c r="D718" s="4" t="n"/>
      <c r="E718" s="4" t="n"/>
      <c r="F718" s="4" t="n"/>
      <c r="G718" s="5" t="n"/>
      <c r="H718" s="5" t="n"/>
      <c r="I718" s="5" t="n"/>
      <c r="J718" s="5" t="n"/>
    </row>
    <row r="719">
      <c r="A719" t="n">
        <v>716</v>
      </c>
      <c r="B719" s="8" t="n"/>
      <c r="C719" s="4" t="n"/>
      <c r="D719" s="4" t="n"/>
      <c r="E719" s="4" t="n"/>
      <c r="F719" s="4" t="n"/>
      <c r="G719" s="5" t="n"/>
      <c r="H719" s="5" t="n"/>
      <c r="I719" s="5" t="n"/>
      <c r="J719" s="5" t="n"/>
    </row>
    <row r="720">
      <c r="A720" t="n">
        <v>717</v>
      </c>
      <c r="B720" s="8" t="n"/>
      <c r="C720" s="4" t="n"/>
      <c r="D720" s="4" t="n"/>
      <c r="E720" s="4" t="n"/>
      <c r="F720" s="4" t="n"/>
      <c r="G720" s="5" t="n"/>
      <c r="H720" s="5" t="n"/>
      <c r="I720" s="5" t="n"/>
      <c r="J720" s="5" t="n"/>
    </row>
    <row r="721">
      <c r="A721" t="n">
        <v>718</v>
      </c>
      <c r="B721" s="8" t="n"/>
      <c r="C721" s="4" t="n"/>
      <c r="D721" s="4" t="n"/>
      <c r="E721" s="4" t="n"/>
      <c r="F721" s="4" t="n"/>
      <c r="G721" s="5" t="n"/>
      <c r="H721" s="5" t="n"/>
      <c r="I721" s="5" t="n"/>
      <c r="J721" s="5" t="n"/>
    </row>
    <row r="722">
      <c r="A722" t="n">
        <v>719</v>
      </c>
      <c r="B722" s="8" t="n"/>
      <c r="C722" s="4" t="n"/>
      <c r="D722" s="4" t="n"/>
      <c r="E722" s="4" t="n"/>
      <c r="F722" s="4" t="n"/>
      <c r="G722" s="5" t="n"/>
      <c r="H722" s="5" t="n"/>
      <c r="I722" s="5" t="n"/>
      <c r="J722" s="5" t="n"/>
    </row>
    <row r="723">
      <c r="A723" t="n">
        <v>720</v>
      </c>
      <c r="B723" s="8" t="n"/>
      <c r="C723" s="4" t="n"/>
      <c r="D723" s="4" t="n"/>
      <c r="E723" s="4" t="n"/>
      <c r="F723" s="4" t="n"/>
      <c r="G723" s="5" t="n"/>
      <c r="H723" s="5" t="n"/>
      <c r="I723" s="5" t="n"/>
      <c r="J723" s="5" t="n"/>
    </row>
    <row r="724">
      <c r="A724" t="n">
        <v>721</v>
      </c>
      <c r="B724" s="8" t="n"/>
      <c r="C724" s="4" t="n"/>
      <c r="D724" s="4" t="n"/>
      <c r="E724" s="4" t="n"/>
      <c r="F724" s="4" t="n"/>
      <c r="G724" s="5" t="n"/>
      <c r="H724" s="5" t="n"/>
      <c r="I724" s="5" t="n"/>
      <c r="J724" s="5" t="n"/>
    </row>
    <row r="725">
      <c r="A725" t="n">
        <v>722</v>
      </c>
      <c r="B725" s="8" t="n"/>
      <c r="C725" s="4" t="n"/>
      <c r="D725" s="4" t="n"/>
      <c r="E725" s="4" t="n"/>
      <c r="F725" s="4" t="n"/>
      <c r="G725" s="5" t="n"/>
      <c r="H725" s="5" t="n"/>
      <c r="I725" s="5" t="n"/>
      <c r="J725" s="5" t="n"/>
    </row>
    <row r="726">
      <c r="A726" t="n">
        <v>723</v>
      </c>
      <c r="B726" s="8" t="n"/>
      <c r="C726" s="4" t="n"/>
      <c r="D726" s="4" t="n"/>
      <c r="E726" s="4" t="n"/>
      <c r="F726" s="4" t="n"/>
      <c r="G726" s="5" t="n"/>
      <c r="H726" s="5" t="n"/>
      <c r="I726" s="5" t="n"/>
      <c r="J726" s="5" t="n"/>
    </row>
    <row r="727">
      <c r="A727" t="n">
        <v>724</v>
      </c>
      <c r="B727" s="8" t="n"/>
      <c r="C727" s="4" t="n"/>
      <c r="D727" s="4" t="n"/>
      <c r="E727" s="4" t="n"/>
      <c r="F727" s="4" t="n"/>
      <c r="G727" s="5" t="n"/>
      <c r="H727" s="5" t="n"/>
      <c r="I727" s="5" t="n"/>
      <c r="J727" s="5" t="n"/>
    </row>
    <row r="728">
      <c r="A728" t="n">
        <v>725</v>
      </c>
      <c r="B728" s="8" t="n"/>
      <c r="C728" s="4" t="n"/>
      <c r="D728" s="4" t="n"/>
      <c r="E728" s="4" t="n"/>
      <c r="F728" s="4" t="n"/>
      <c r="G728" s="5" t="n"/>
      <c r="H728" s="5" t="n"/>
      <c r="I728" s="5" t="n"/>
      <c r="J728" s="5" t="n"/>
    </row>
    <row r="729">
      <c r="A729" t="n">
        <v>726</v>
      </c>
      <c r="B729" s="8" t="n"/>
      <c r="C729" s="4" t="n"/>
      <c r="D729" s="4" t="n"/>
      <c r="E729" s="4" t="n"/>
      <c r="F729" s="4" t="n"/>
      <c r="G729" s="5" t="n"/>
      <c r="H729" s="5" t="n"/>
      <c r="I729" s="5" t="n"/>
      <c r="J729" s="5" t="n"/>
    </row>
    <row r="730">
      <c r="A730" t="n">
        <v>727</v>
      </c>
      <c r="B730" s="8" t="n"/>
      <c r="C730" s="4" t="n"/>
      <c r="D730" s="4" t="n"/>
      <c r="E730" s="4" t="n"/>
      <c r="F730" s="4" t="n"/>
      <c r="G730" s="5" t="n"/>
      <c r="H730" s="5" t="n"/>
      <c r="I730" s="5" t="n"/>
      <c r="J730" s="5" t="n"/>
    </row>
    <row r="731">
      <c r="A731" t="n">
        <v>728</v>
      </c>
      <c r="B731" s="8" t="n"/>
      <c r="C731" s="4" t="n"/>
      <c r="D731" s="4" t="n"/>
      <c r="E731" s="4" t="n"/>
      <c r="F731" s="4" t="n"/>
      <c r="G731" s="5" t="n"/>
      <c r="H731" s="5" t="n"/>
      <c r="I731" s="5" t="n"/>
      <c r="J731" s="5" t="n"/>
    </row>
    <row r="732">
      <c r="A732" t="n">
        <v>729</v>
      </c>
      <c r="B732" s="8" t="n"/>
      <c r="C732" s="4" t="n"/>
      <c r="D732" s="4" t="n"/>
      <c r="E732" s="4" t="n"/>
      <c r="F732" s="4" t="n"/>
      <c r="G732" s="5" t="n"/>
      <c r="H732" s="5" t="n"/>
      <c r="I732" s="5" t="n"/>
      <c r="J732" s="5" t="n"/>
    </row>
    <row r="733">
      <c r="A733" t="n">
        <v>730</v>
      </c>
      <c r="B733" s="8" t="n"/>
      <c r="C733" s="4" t="n"/>
      <c r="D733" s="4" t="n"/>
      <c r="E733" s="4" t="n"/>
      <c r="F733" s="4" t="n"/>
      <c r="G733" s="5" t="n"/>
      <c r="H733" s="5" t="n"/>
      <c r="I733" s="5" t="n"/>
      <c r="J733" s="5" t="n"/>
    </row>
    <row r="734">
      <c r="A734" t="n">
        <v>731</v>
      </c>
      <c r="B734" s="8" t="n"/>
      <c r="C734" s="4" t="n"/>
      <c r="D734" s="4" t="n"/>
      <c r="E734" s="4" t="n"/>
      <c r="F734" s="4" t="n"/>
      <c r="G734" s="5" t="n"/>
      <c r="H734" s="5" t="n"/>
      <c r="I734" s="5" t="n"/>
      <c r="J734" s="5" t="n"/>
    </row>
    <row r="735">
      <c r="A735" t="n">
        <v>732</v>
      </c>
      <c r="B735" s="8" t="n"/>
      <c r="C735" s="4" t="n"/>
      <c r="D735" s="4" t="n"/>
      <c r="E735" s="4" t="n"/>
      <c r="F735" s="4" t="n"/>
      <c r="G735" s="5" t="n"/>
      <c r="H735" s="5" t="n"/>
      <c r="I735" s="5" t="n"/>
      <c r="J735" s="5" t="n"/>
    </row>
    <row r="736">
      <c r="A736" t="n">
        <v>733</v>
      </c>
      <c r="B736" s="8" t="n"/>
      <c r="C736" s="4" t="n"/>
      <c r="D736" s="4" t="n"/>
      <c r="E736" s="4" t="n"/>
      <c r="F736" s="4" t="n"/>
      <c r="G736" s="5" t="n"/>
      <c r="H736" s="5" t="n"/>
      <c r="I736" s="5" t="n"/>
      <c r="J736" s="5" t="n"/>
    </row>
    <row r="737">
      <c r="A737" t="n">
        <v>734</v>
      </c>
      <c r="B737" s="8" t="n"/>
      <c r="C737" s="4" t="n"/>
      <c r="D737" s="4" t="n"/>
      <c r="E737" s="4" t="n"/>
      <c r="F737" s="4" t="n"/>
      <c r="G737" s="5" t="n"/>
      <c r="H737" s="5" t="n"/>
      <c r="I737" s="5" t="n"/>
      <c r="J737" s="5" t="n"/>
    </row>
    <row r="738">
      <c r="A738" t="n">
        <v>735</v>
      </c>
      <c r="B738" s="8" t="n"/>
      <c r="C738" s="4" t="n"/>
      <c r="D738" s="4" t="n"/>
      <c r="E738" s="4" t="n"/>
      <c r="F738" s="4" t="n"/>
      <c r="G738" s="5" t="n"/>
      <c r="H738" s="5" t="n"/>
      <c r="I738" s="5" t="n"/>
      <c r="J738" s="5" t="n"/>
    </row>
    <row r="739">
      <c r="A739" t="n">
        <v>736</v>
      </c>
      <c r="B739" s="8" t="n"/>
      <c r="C739" s="4" t="n"/>
      <c r="D739" s="4" t="n"/>
      <c r="E739" s="4" t="n"/>
      <c r="F739" s="4" t="n"/>
      <c r="G739" s="5" t="n"/>
      <c r="H739" s="5" t="n"/>
      <c r="I739" s="5" t="n"/>
      <c r="J739" s="5" t="n"/>
    </row>
    <row r="740">
      <c r="A740" t="n">
        <v>737</v>
      </c>
      <c r="B740" s="8" t="n"/>
      <c r="C740" s="4" t="n"/>
      <c r="D740" s="4" t="n"/>
      <c r="E740" s="4" t="n"/>
      <c r="F740" s="4" t="n"/>
      <c r="G740" s="5" t="n"/>
      <c r="H740" s="5" t="n"/>
      <c r="I740" s="5" t="n"/>
      <c r="J740" s="5" t="n"/>
    </row>
    <row r="741">
      <c r="A741" t="n">
        <v>738</v>
      </c>
      <c r="B741" s="8" t="n"/>
      <c r="C741" s="4" t="n"/>
      <c r="D741" s="4" t="n"/>
      <c r="E741" s="4" t="n"/>
      <c r="F741" s="4" t="n"/>
      <c r="G741" s="5" t="n"/>
      <c r="H741" s="5" t="n"/>
      <c r="I741" s="5" t="n"/>
      <c r="J741" s="5" t="n"/>
    </row>
    <row r="742">
      <c r="A742" t="n">
        <v>739</v>
      </c>
      <c r="B742" s="8" t="n"/>
      <c r="C742" s="4" t="n"/>
      <c r="D742" s="4" t="n"/>
      <c r="E742" s="4" t="n"/>
      <c r="F742" s="4" t="n"/>
      <c r="G742" s="5" t="n"/>
      <c r="H742" s="5" t="n"/>
      <c r="I742" s="5" t="n"/>
      <c r="J742" s="5" t="n"/>
    </row>
    <row r="743">
      <c r="A743" t="n">
        <v>740</v>
      </c>
      <c r="B743" s="8" t="n"/>
      <c r="C743" s="4" t="n"/>
      <c r="D743" s="4" t="n"/>
      <c r="E743" s="4" t="n"/>
      <c r="F743" s="4" t="n"/>
      <c r="G743" s="5" t="n"/>
      <c r="H743" s="5" t="n"/>
      <c r="I743" s="5" t="n"/>
      <c r="J743" s="5" t="n"/>
    </row>
    <row r="744">
      <c r="A744" t="n">
        <v>741</v>
      </c>
      <c r="B744" s="8" t="n"/>
      <c r="C744" s="4" t="n"/>
      <c r="D744" s="4" t="n"/>
      <c r="E744" s="4" t="n"/>
      <c r="F744" s="4" t="n"/>
      <c r="G744" s="5" t="n"/>
      <c r="H744" s="5" t="n"/>
      <c r="I744" s="5" t="n"/>
      <c r="J744" s="5" t="n"/>
    </row>
    <row r="745">
      <c r="A745" t="n">
        <v>742</v>
      </c>
      <c r="B745" s="8" t="n"/>
      <c r="C745" s="4" t="n"/>
      <c r="D745" s="4" t="n"/>
      <c r="E745" s="4" t="n"/>
      <c r="F745" s="4" t="n"/>
      <c r="G745" s="5" t="n"/>
      <c r="H745" s="5" t="n"/>
      <c r="I745" s="5" t="n"/>
      <c r="J745" s="5" t="n"/>
    </row>
    <row r="746">
      <c r="A746" t="n">
        <v>743</v>
      </c>
      <c r="B746" s="8" t="n"/>
      <c r="C746" s="4" t="n"/>
      <c r="D746" s="4" t="n"/>
      <c r="E746" s="4" t="n"/>
      <c r="F746" s="4" t="n"/>
      <c r="G746" s="5" t="n"/>
      <c r="H746" s="5" t="n"/>
      <c r="I746" s="5" t="n"/>
      <c r="J746" s="5" t="n"/>
    </row>
    <row r="747">
      <c r="A747" t="n">
        <v>744</v>
      </c>
      <c r="B747" s="8" t="n"/>
      <c r="C747" s="4" t="n"/>
      <c r="D747" s="4" t="n"/>
      <c r="E747" s="4" t="n"/>
      <c r="F747" s="4" t="n"/>
      <c r="G747" s="5" t="n"/>
      <c r="H747" s="5" t="n"/>
      <c r="I747" s="5" t="n"/>
      <c r="J747" s="5" t="n"/>
    </row>
    <row r="748">
      <c r="A748" t="n">
        <v>745</v>
      </c>
      <c r="B748" s="8" t="n"/>
      <c r="C748" s="4" t="n"/>
      <c r="D748" s="4" t="n"/>
      <c r="E748" s="4" t="n"/>
      <c r="F748" s="4" t="n"/>
      <c r="G748" s="5" t="n"/>
      <c r="H748" s="5" t="n"/>
      <c r="I748" s="5" t="n"/>
      <c r="J748" s="5" t="n"/>
    </row>
    <row r="749">
      <c r="A749" t="n">
        <v>746</v>
      </c>
      <c r="B749" s="8" t="n"/>
      <c r="C749" s="4" t="n"/>
      <c r="D749" s="4" t="n"/>
      <c r="E749" s="4" t="n"/>
      <c r="F749" s="4" t="n"/>
      <c r="G749" s="5" t="n"/>
      <c r="H749" s="5" t="n"/>
      <c r="I749" s="5" t="n"/>
      <c r="J749" s="5" t="n"/>
    </row>
    <row r="750">
      <c r="A750" t="n">
        <v>747</v>
      </c>
      <c r="B750" s="8" t="n"/>
      <c r="C750" s="4" t="n"/>
      <c r="D750" s="4" t="n"/>
      <c r="E750" s="4" t="n"/>
      <c r="F750" s="4" t="n"/>
      <c r="G750" s="5" t="n"/>
      <c r="H750" s="5" t="n"/>
      <c r="I750" s="5" t="n"/>
      <c r="J750" s="5" t="n"/>
    </row>
    <row r="751">
      <c r="A751" t="n">
        <v>748</v>
      </c>
      <c r="B751" s="8" t="n"/>
      <c r="C751" s="4" t="n"/>
      <c r="D751" s="4" t="n"/>
      <c r="E751" s="4" t="n"/>
      <c r="F751" s="4" t="n"/>
      <c r="G751" s="5" t="n"/>
      <c r="H751" s="5" t="n"/>
      <c r="I751" s="5" t="n"/>
      <c r="J751" s="5" t="n"/>
    </row>
    <row r="752">
      <c r="A752" t="n">
        <v>749</v>
      </c>
      <c r="B752" s="8" t="n"/>
      <c r="C752" s="4" t="n"/>
      <c r="D752" s="4" t="n"/>
      <c r="E752" s="4" t="n"/>
      <c r="F752" s="4" t="n"/>
      <c r="G752" s="5" t="n"/>
      <c r="H752" s="5" t="n"/>
      <c r="I752" s="5" t="n"/>
      <c r="J752" s="5" t="n"/>
    </row>
    <row r="753">
      <c r="A753" t="n">
        <v>750</v>
      </c>
      <c r="B753" s="8" t="n"/>
      <c r="C753" s="4" t="n"/>
      <c r="D753" s="4" t="n"/>
      <c r="E753" s="4" t="n"/>
      <c r="F753" s="4" t="n"/>
      <c r="G753" s="5" t="n"/>
      <c r="H753" s="5" t="n"/>
      <c r="I753" s="5" t="n"/>
      <c r="J753" s="5" t="n"/>
    </row>
    <row r="754">
      <c r="A754" t="n">
        <v>751</v>
      </c>
      <c r="B754" s="8" t="n"/>
      <c r="C754" s="4" t="n"/>
      <c r="D754" s="4" t="n"/>
      <c r="E754" s="4" t="n"/>
      <c r="F754" s="4" t="n"/>
      <c r="G754" s="5" t="n"/>
      <c r="H754" s="5" t="n"/>
      <c r="I754" s="5" t="n"/>
      <c r="J754" s="5" t="n"/>
    </row>
    <row r="755">
      <c r="A755" t="n">
        <v>752</v>
      </c>
      <c r="B755" s="8" t="n"/>
      <c r="C755" s="4" t="n"/>
      <c r="D755" s="4" t="n"/>
      <c r="E755" s="4" t="n"/>
      <c r="F755" s="4" t="n"/>
      <c r="G755" s="5" t="n"/>
      <c r="H755" s="5" t="n"/>
      <c r="I755" s="5" t="n"/>
      <c r="J755" s="5" t="n"/>
    </row>
    <row r="756">
      <c r="A756" t="n">
        <v>753</v>
      </c>
      <c r="B756" s="8" t="n"/>
      <c r="C756" s="4" t="n"/>
      <c r="D756" s="4" t="n"/>
      <c r="E756" s="4" t="n"/>
      <c r="F756" s="4" t="n"/>
      <c r="G756" s="5" t="n"/>
      <c r="H756" s="5" t="n"/>
      <c r="I756" s="5" t="n"/>
      <c r="J756" s="5" t="n"/>
    </row>
    <row r="757">
      <c r="A757" t="n">
        <v>754</v>
      </c>
      <c r="B757" s="8" t="n"/>
      <c r="C757" s="4" t="n"/>
      <c r="D757" s="4" t="n"/>
      <c r="E757" s="4" t="n"/>
      <c r="F757" s="4" t="n"/>
      <c r="G757" s="5" t="n"/>
      <c r="H757" s="5" t="n"/>
      <c r="I757" s="5" t="n"/>
      <c r="J757" s="5" t="n"/>
    </row>
    <row r="758">
      <c r="A758" t="n">
        <v>755</v>
      </c>
      <c r="B758" s="8" t="n"/>
      <c r="C758" s="4" t="n"/>
      <c r="D758" s="4" t="n"/>
      <c r="E758" s="4" t="n"/>
      <c r="F758" s="4" t="n"/>
      <c r="G758" s="5" t="n"/>
      <c r="H758" s="5" t="n"/>
      <c r="I758" s="5" t="n"/>
      <c r="J758" s="5" t="n"/>
    </row>
    <row r="759">
      <c r="A759" t="n">
        <v>756</v>
      </c>
      <c r="B759" s="8" t="n"/>
      <c r="C759" s="4" t="n"/>
      <c r="D759" s="4" t="n"/>
      <c r="E759" s="4" t="n"/>
      <c r="F759" s="4" t="n"/>
      <c r="G759" s="5" t="n"/>
      <c r="H759" s="5" t="n"/>
      <c r="I759" s="5" t="n"/>
      <c r="J759" s="5" t="n"/>
    </row>
    <row r="760">
      <c r="A760" t="n">
        <v>757</v>
      </c>
      <c r="B760" s="8" t="n"/>
      <c r="C760" s="4" t="n"/>
      <c r="D760" s="4" t="n"/>
      <c r="E760" s="4" t="n"/>
      <c r="F760" s="4" t="n"/>
      <c r="G760" s="5" t="n"/>
      <c r="H760" s="5" t="n"/>
      <c r="I760" s="5" t="n"/>
      <c r="J760" s="5" t="n"/>
    </row>
    <row r="761">
      <c r="A761" t="n">
        <v>758</v>
      </c>
      <c r="B761" s="8" t="n"/>
      <c r="C761" s="4" t="n"/>
      <c r="D761" s="4" t="n"/>
      <c r="E761" s="4" t="n"/>
      <c r="F761" s="4" t="n"/>
      <c r="G761" s="5" t="n"/>
      <c r="H761" s="5" t="n"/>
      <c r="I761" s="5" t="n"/>
      <c r="J761" s="5" t="n"/>
    </row>
    <row r="762">
      <c r="A762" t="n">
        <v>759</v>
      </c>
      <c r="B762" s="8" t="n"/>
      <c r="C762" s="4" t="n"/>
      <c r="D762" s="4" t="n"/>
      <c r="E762" s="4" t="n"/>
      <c r="F762" s="4" t="n"/>
      <c r="G762" s="5" t="n"/>
      <c r="H762" s="5" t="n"/>
      <c r="I762" s="5" t="n"/>
      <c r="J762" s="5" t="n"/>
    </row>
    <row r="763">
      <c r="A763" t="n">
        <v>760</v>
      </c>
      <c r="B763" s="8" t="n"/>
      <c r="C763" s="4" t="n"/>
      <c r="D763" s="4" t="n"/>
      <c r="E763" s="4" t="n"/>
      <c r="F763" s="4" t="n"/>
      <c r="G763" s="5" t="n"/>
      <c r="H763" s="5" t="n"/>
      <c r="I763" s="5" t="n"/>
      <c r="J763" s="5" t="n"/>
    </row>
    <row r="764">
      <c r="A764" t="n">
        <v>761</v>
      </c>
      <c r="B764" s="8" t="n"/>
      <c r="C764" s="4" t="n"/>
      <c r="D764" s="4" t="n"/>
      <c r="E764" s="4" t="n"/>
      <c r="F764" s="4" t="n"/>
      <c r="G764" s="5" t="n"/>
      <c r="H764" s="5" t="n"/>
      <c r="I764" s="5" t="n"/>
      <c r="J764" s="5" t="n"/>
    </row>
    <row r="765">
      <c r="A765" t="n">
        <v>762</v>
      </c>
      <c r="B765" s="8" t="n"/>
      <c r="C765" s="4" t="n"/>
      <c r="D765" s="4" t="n"/>
      <c r="E765" s="4" t="n"/>
      <c r="F765" s="4" t="n"/>
      <c r="G765" s="5" t="n"/>
      <c r="H765" s="5" t="n"/>
      <c r="I765" s="5" t="n"/>
      <c r="J765" s="5" t="n"/>
    </row>
    <row r="766">
      <c r="A766" t="n">
        <v>763</v>
      </c>
      <c r="B766" s="8" t="n"/>
      <c r="C766" s="4" t="n"/>
      <c r="D766" s="4" t="n"/>
      <c r="E766" s="4" t="n"/>
      <c r="F766" s="4" t="n"/>
      <c r="G766" s="5" t="n"/>
      <c r="H766" s="5" t="n"/>
      <c r="I766" s="5" t="n"/>
      <c r="J766" s="5" t="n"/>
    </row>
    <row r="767">
      <c r="A767" t="n">
        <v>764</v>
      </c>
      <c r="B767" s="8" t="n"/>
      <c r="C767" s="4" t="n"/>
      <c r="D767" s="4" t="n"/>
      <c r="E767" s="4" t="n"/>
      <c r="F767" s="4" t="n"/>
      <c r="G767" s="5" t="n"/>
      <c r="H767" s="5" t="n"/>
      <c r="I767" s="5" t="n"/>
      <c r="J767" s="5" t="n"/>
    </row>
    <row r="768">
      <c r="A768" t="n">
        <v>765</v>
      </c>
      <c r="B768" s="8" t="n"/>
      <c r="C768" s="4" t="n"/>
      <c r="D768" s="4" t="n"/>
      <c r="E768" s="4" t="n"/>
      <c r="F768" s="4" t="n"/>
      <c r="G768" s="5" t="n"/>
      <c r="H768" s="5" t="n"/>
      <c r="I768" s="5" t="n"/>
      <c r="J768" s="5" t="n"/>
    </row>
    <row r="769">
      <c r="A769" t="n">
        <v>766</v>
      </c>
      <c r="B769" s="8" t="n"/>
      <c r="C769" s="4" t="n"/>
      <c r="D769" s="4" t="n"/>
      <c r="E769" s="4" t="n"/>
      <c r="F769" s="4" t="n"/>
      <c r="G769" s="5" t="n"/>
      <c r="H769" s="5" t="n"/>
      <c r="I769" s="5" t="n"/>
      <c r="J769" s="5" t="n"/>
    </row>
    <row r="770">
      <c r="A770" t="n">
        <v>767</v>
      </c>
      <c r="B770" s="8" t="n"/>
      <c r="C770" s="4" t="n"/>
      <c r="D770" s="4" t="n"/>
      <c r="E770" s="4" t="n"/>
      <c r="F770" s="4" t="n"/>
      <c r="G770" s="5" t="n"/>
      <c r="H770" s="5" t="n"/>
      <c r="I770" s="5" t="n"/>
      <c r="J770" s="5" t="n"/>
    </row>
    <row r="771">
      <c r="A771" t="n">
        <v>768</v>
      </c>
      <c r="B771" s="8" t="n"/>
      <c r="C771" s="4" t="n"/>
      <c r="D771" s="4" t="n"/>
      <c r="E771" s="4" t="n"/>
      <c r="F771" s="4" t="n"/>
      <c r="G771" s="5" t="n"/>
      <c r="H771" s="5" t="n"/>
      <c r="I771" s="5" t="n"/>
      <c r="J771" s="5" t="n"/>
    </row>
    <row r="772">
      <c r="A772" t="n">
        <v>769</v>
      </c>
      <c r="B772" s="8" t="n"/>
      <c r="C772" s="4" t="n"/>
      <c r="D772" s="4" t="n"/>
      <c r="E772" s="4" t="n"/>
      <c r="F772" s="4" t="n"/>
      <c r="G772" s="5" t="n"/>
      <c r="H772" s="5" t="n"/>
      <c r="I772" s="5" t="n"/>
      <c r="J772" s="5" t="n"/>
    </row>
    <row r="773">
      <c r="A773" t="n">
        <v>770</v>
      </c>
      <c r="B773" s="8" t="n"/>
      <c r="C773" s="4" t="n"/>
      <c r="D773" s="4" t="n"/>
      <c r="E773" s="4" t="n"/>
      <c r="F773" s="4" t="n"/>
      <c r="G773" s="5" t="n"/>
      <c r="H773" s="5" t="n"/>
      <c r="I773" s="5" t="n"/>
      <c r="J773" s="5" t="n"/>
    </row>
    <row r="774">
      <c r="A774" t="n">
        <v>771</v>
      </c>
      <c r="B774" s="8" t="n"/>
      <c r="C774" s="4" t="n"/>
      <c r="D774" s="4" t="n"/>
      <c r="E774" s="4" t="n"/>
      <c r="F774" s="4" t="n"/>
      <c r="G774" s="5" t="n"/>
      <c r="H774" s="5" t="n"/>
      <c r="I774" s="5" t="n"/>
      <c r="J774" s="5" t="n"/>
    </row>
    <row r="775">
      <c r="A775" t="n">
        <v>772</v>
      </c>
      <c r="B775" s="8" t="n"/>
      <c r="C775" s="4" t="n"/>
      <c r="D775" s="4" t="n"/>
      <c r="E775" s="4" t="n"/>
      <c r="F775" s="4" t="n"/>
      <c r="G775" s="5" t="n"/>
      <c r="H775" s="5" t="n"/>
      <c r="I775" s="5" t="n"/>
      <c r="J775" s="5" t="n"/>
    </row>
    <row r="776">
      <c r="A776" t="n">
        <v>773</v>
      </c>
      <c r="B776" s="8" t="n"/>
      <c r="C776" s="4" t="n"/>
      <c r="D776" s="4" t="n"/>
      <c r="E776" s="4" t="n"/>
      <c r="F776" s="4" t="n"/>
      <c r="G776" s="5" t="n"/>
      <c r="H776" s="5" t="n"/>
      <c r="I776" s="5" t="n"/>
      <c r="J776" s="5" t="n"/>
    </row>
    <row r="777">
      <c r="A777" t="n">
        <v>774</v>
      </c>
      <c r="B777" s="8" t="n"/>
      <c r="C777" s="4" t="n"/>
      <c r="D777" s="4" t="n"/>
      <c r="E777" s="4" t="n"/>
      <c r="F777" s="4" t="n"/>
      <c r="G777" s="5" t="n"/>
      <c r="H777" s="5" t="n"/>
      <c r="I777" s="5" t="n"/>
      <c r="J777" s="5" t="n"/>
    </row>
    <row r="778">
      <c r="A778" t="n">
        <v>775</v>
      </c>
      <c r="B778" s="8" t="n"/>
      <c r="C778" s="4" t="n"/>
      <c r="D778" s="4" t="n"/>
      <c r="E778" s="4" t="n"/>
      <c r="F778" s="4" t="n"/>
      <c r="G778" s="5" t="n"/>
      <c r="H778" s="5" t="n"/>
      <c r="I778" s="5" t="n"/>
      <c r="J778" s="5" t="n"/>
    </row>
    <row r="779">
      <c r="A779" t="n">
        <v>776</v>
      </c>
      <c r="B779" s="8" t="n"/>
      <c r="C779" s="4" t="n"/>
      <c r="D779" s="4" t="n"/>
      <c r="E779" s="4" t="n"/>
      <c r="F779" s="4" t="n"/>
      <c r="G779" s="5" t="n"/>
      <c r="H779" s="5" t="n"/>
      <c r="I779" s="5" t="n"/>
      <c r="J779" s="5" t="n"/>
    </row>
    <row r="780">
      <c r="A780" t="n">
        <v>777</v>
      </c>
      <c r="B780" s="8" t="n"/>
      <c r="C780" s="4" t="n"/>
      <c r="D780" s="4" t="n"/>
      <c r="E780" s="4" t="n"/>
      <c r="F780" s="4" t="n"/>
      <c r="G780" s="5" t="n"/>
      <c r="H780" s="5" t="n"/>
      <c r="I780" s="5" t="n"/>
      <c r="J780" s="5" t="n"/>
    </row>
    <row r="781">
      <c r="A781" t="n">
        <v>778</v>
      </c>
      <c r="B781" s="8" t="n"/>
      <c r="C781" s="4" t="n"/>
      <c r="D781" s="4" t="n"/>
      <c r="E781" s="4" t="n"/>
      <c r="F781" s="4" t="n"/>
      <c r="G781" s="5" t="n"/>
      <c r="H781" s="5" t="n"/>
      <c r="I781" s="5" t="n"/>
      <c r="J781" s="5" t="n"/>
    </row>
    <row r="782">
      <c r="A782" t="n">
        <v>779</v>
      </c>
      <c r="B782" s="8" t="n"/>
      <c r="C782" s="4" t="n"/>
      <c r="D782" s="4" t="n"/>
      <c r="E782" s="4" t="n"/>
      <c r="F782" s="4" t="n"/>
      <c r="G782" s="5" t="n"/>
      <c r="H782" s="5" t="n"/>
      <c r="I782" s="5" t="n"/>
      <c r="J782" s="5" t="n"/>
    </row>
    <row r="783">
      <c r="A783" t="n">
        <v>780</v>
      </c>
      <c r="B783" s="8" t="n"/>
      <c r="C783" s="4" t="n"/>
      <c r="D783" s="4" t="n"/>
      <c r="E783" s="4" t="n"/>
      <c r="F783" s="4" t="n"/>
      <c r="G783" s="5" t="n"/>
      <c r="H783" s="5" t="n"/>
      <c r="I783" s="5" t="n"/>
      <c r="J783" s="5" t="n"/>
    </row>
    <row r="784">
      <c r="A784" t="n">
        <v>781</v>
      </c>
      <c r="B784" s="8" t="n"/>
      <c r="C784" s="4" t="n"/>
      <c r="D784" s="4" t="n"/>
      <c r="E784" s="4" t="n"/>
      <c r="F784" s="4" t="n"/>
      <c r="G784" s="5" t="n"/>
      <c r="H784" s="5" t="n"/>
      <c r="I784" s="5" t="n"/>
      <c r="J784" s="5" t="n"/>
    </row>
    <row r="785">
      <c r="A785" t="n">
        <v>782</v>
      </c>
      <c r="B785" s="8" t="n"/>
      <c r="C785" s="4" t="n"/>
      <c r="D785" s="4" t="n"/>
      <c r="E785" s="4" t="n"/>
      <c r="F785" s="4" t="n"/>
      <c r="G785" s="5" t="n"/>
      <c r="H785" s="5" t="n"/>
      <c r="I785" s="5" t="n"/>
      <c r="J785" s="5" t="n"/>
    </row>
    <row r="786">
      <c r="A786" t="n">
        <v>783</v>
      </c>
      <c r="B786" s="8" t="n"/>
      <c r="C786" s="4" t="n"/>
      <c r="D786" s="4" t="n"/>
      <c r="E786" s="4" t="n"/>
      <c r="F786" s="4" t="n"/>
      <c r="G786" s="5" t="n"/>
      <c r="H786" s="5" t="n"/>
      <c r="I786" s="5" t="n"/>
      <c r="J786" s="5" t="n"/>
    </row>
    <row r="787">
      <c r="A787" t="n">
        <v>784</v>
      </c>
      <c r="B787" s="8" t="n"/>
      <c r="C787" s="4" t="n"/>
      <c r="D787" s="4" t="n"/>
      <c r="E787" s="4" t="n"/>
      <c r="F787" s="4" t="n"/>
      <c r="G787" s="5" t="n"/>
      <c r="H787" s="5" t="n"/>
      <c r="I787" s="5" t="n"/>
      <c r="J787" s="5" t="n"/>
    </row>
    <row r="788">
      <c r="A788" t="n">
        <v>785</v>
      </c>
      <c r="B788" s="8" t="n"/>
      <c r="C788" s="4" t="n"/>
      <c r="D788" s="4" t="n"/>
      <c r="E788" s="4" t="n"/>
      <c r="F788" s="4" t="n"/>
      <c r="G788" s="5" t="n"/>
      <c r="H788" s="5" t="n"/>
      <c r="I788" s="5" t="n"/>
      <c r="J788" s="5" t="n"/>
    </row>
    <row r="789">
      <c r="A789" t="n">
        <v>786</v>
      </c>
      <c r="B789" s="8" t="n"/>
      <c r="C789" s="4" t="n"/>
      <c r="D789" s="4" t="n"/>
      <c r="E789" s="4" t="n"/>
      <c r="F789" s="4" t="n"/>
      <c r="G789" s="5" t="n"/>
      <c r="H789" s="5" t="n"/>
      <c r="I789" s="5" t="n"/>
      <c r="J789" s="5" t="n"/>
    </row>
    <row r="790">
      <c r="A790" t="n">
        <v>787</v>
      </c>
      <c r="B790" s="8" t="n"/>
      <c r="C790" s="4" t="n"/>
      <c r="D790" s="4" t="n"/>
      <c r="E790" s="4" t="n"/>
      <c r="F790" s="4" t="n"/>
      <c r="G790" s="5" t="n"/>
      <c r="H790" s="5" t="n"/>
      <c r="I790" s="5" t="n"/>
      <c r="J790" s="5" t="n"/>
    </row>
    <row r="791">
      <c r="A791" t="n">
        <v>788</v>
      </c>
      <c r="B791" s="8" t="n"/>
      <c r="C791" s="4" t="n"/>
      <c r="D791" s="4" t="n"/>
      <c r="E791" s="4" t="n"/>
      <c r="F791" s="4" t="n"/>
      <c r="G791" s="5" t="n"/>
      <c r="H791" s="5" t="n"/>
      <c r="I791" s="5" t="n"/>
      <c r="J791" s="5" t="n"/>
    </row>
    <row r="792">
      <c r="A792" t="n">
        <v>789</v>
      </c>
      <c r="B792" s="8" t="n"/>
      <c r="C792" s="4" t="n"/>
      <c r="D792" s="4" t="n"/>
      <c r="E792" s="4" t="n"/>
      <c r="F792" s="4" t="n"/>
      <c r="G792" s="5" t="n"/>
      <c r="H792" s="5" t="n"/>
      <c r="I792" s="5" t="n"/>
      <c r="J792" s="5" t="n"/>
    </row>
    <row r="793">
      <c r="A793" t="n">
        <v>790</v>
      </c>
      <c r="B793" s="8" t="n"/>
      <c r="C793" s="4" t="n"/>
      <c r="D793" s="4" t="n"/>
      <c r="E793" s="4" t="n"/>
      <c r="F793" s="4" t="n"/>
      <c r="G793" s="5" t="n"/>
      <c r="H793" s="5" t="n"/>
      <c r="I793" s="5" t="n"/>
      <c r="J793" s="5" t="n"/>
    </row>
    <row r="794">
      <c r="A794" t="n">
        <v>791</v>
      </c>
      <c r="B794" s="8" t="n"/>
      <c r="C794" s="4" t="n"/>
      <c r="D794" s="4" t="n"/>
      <c r="E794" s="4" t="n"/>
      <c r="F794" s="4" t="n"/>
      <c r="G794" s="5" t="n"/>
      <c r="H794" s="5" t="n"/>
      <c r="I794" s="5" t="n"/>
      <c r="J794" s="5" t="n"/>
    </row>
    <row r="795">
      <c r="A795" t="n">
        <v>792</v>
      </c>
      <c r="B795" s="8" t="n"/>
      <c r="C795" s="4" t="n"/>
      <c r="D795" s="4" t="n"/>
      <c r="E795" s="4" t="n"/>
      <c r="F795" s="4" t="n"/>
      <c r="G795" s="5" t="n"/>
      <c r="H795" s="5" t="n"/>
      <c r="I795" s="5" t="n"/>
      <c r="J795" s="5" t="n"/>
    </row>
    <row r="796">
      <c r="A796" t="n">
        <v>793</v>
      </c>
      <c r="B796" s="8" t="n"/>
      <c r="C796" s="4" t="n"/>
      <c r="D796" s="4" t="n"/>
      <c r="E796" s="4" t="n"/>
      <c r="F796" s="4" t="n"/>
      <c r="G796" s="5" t="n"/>
      <c r="H796" s="5" t="n"/>
      <c r="I796" s="5" t="n"/>
      <c r="J796" s="5" t="n"/>
    </row>
    <row r="797">
      <c r="A797" t="n">
        <v>794</v>
      </c>
      <c r="B797" s="8" t="n"/>
      <c r="C797" s="4" t="n"/>
      <c r="D797" s="4" t="n"/>
      <c r="E797" s="4" t="n"/>
      <c r="F797" s="4" t="n"/>
      <c r="G797" s="5" t="n"/>
      <c r="H797" s="5" t="n"/>
      <c r="I797" s="5" t="n"/>
      <c r="J797" s="5" t="n"/>
    </row>
    <row r="798">
      <c r="A798" t="n">
        <v>795</v>
      </c>
      <c r="B798" s="8" t="n"/>
      <c r="C798" s="4" t="n"/>
      <c r="D798" s="4" t="n"/>
      <c r="E798" s="4" t="n"/>
      <c r="F798" s="4" t="n"/>
      <c r="G798" s="5" t="n"/>
      <c r="H798" s="5" t="n"/>
      <c r="I798" s="5" t="n"/>
      <c r="J798" s="5" t="n"/>
    </row>
    <row r="799">
      <c r="A799" t="n">
        <v>796</v>
      </c>
      <c r="B799" s="8" t="n"/>
      <c r="C799" s="4" t="n"/>
      <c r="D799" s="4" t="n"/>
      <c r="E799" s="4" t="n"/>
      <c r="F799" s="4" t="n"/>
      <c r="G799" s="5" t="n"/>
      <c r="H799" s="5" t="n"/>
      <c r="I799" s="5" t="n"/>
      <c r="J799" s="5" t="n"/>
    </row>
    <row r="800">
      <c r="A800" t="n">
        <v>797</v>
      </c>
      <c r="B800" s="8" t="n"/>
      <c r="C800" s="4" t="n"/>
      <c r="D800" s="4" t="n"/>
      <c r="E800" s="4" t="n"/>
      <c r="F800" s="4" t="n"/>
      <c r="G800" s="5" t="n"/>
      <c r="H800" s="5" t="n"/>
      <c r="I800" s="5" t="n"/>
      <c r="J800" s="5" t="n"/>
    </row>
    <row r="801">
      <c r="A801" t="n">
        <v>798</v>
      </c>
      <c r="B801" s="8" t="n"/>
      <c r="C801" s="4" t="n"/>
      <c r="D801" s="4" t="n"/>
      <c r="E801" s="4" t="n"/>
      <c r="F801" s="4" t="n"/>
      <c r="G801" s="5" t="n"/>
      <c r="H801" s="5" t="n"/>
      <c r="I801" s="5" t="n"/>
      <c r="J801" s="5" t="n"/>
    </row>
    <row r="802">
      <c r="A802" t="n">
        <v>799</v>
      </c>
      <c r="B802" s="8" t="n"/>
      <c r="C802" s="4" t="n"/>
      <c r="D802" s="4" t="n"/>
      <c r="E802" s="4" t="n"/>
      <c r="F802" s="4" t="n"/>
      <c r="G802" s="5" t="n"/>
      <c r="H802" s="5" t="n"/>
      <c r="I802" s="5" t="n"/>
      <c r="J802" s="5" t="n"/>
    </row>
    <row r="803">
      <c r="A803" t="n">
        <v>800</v>
      </c>
      <c r="B803" s="8" t="n"/>
      <c r="C803" s="4" t="n"/>
      <c r="D803" s="4" t="n"/>
      <c r="E803" s="4" t="n"/>
      <c r="F803" s="4" t="n"/>
      <c r="G803" s="5" t="n"/>
      <c r="H803" s="5" t="n"/>
      <c r="I803" s="5" t="n"/>
      <c r="J803" s="5" t="n"/>
    </row>
    <row r="804">
      <c r="A804" t="n">
        <v>801</v>
      </c>
      <c r="B804" s="8" t="n"/>
      <c r="C804" s="4" t="n"/>
      <c r="D804" s="4" t="n"/>
      <c r="E804" s="4" t="n"/>
      <c r="F804" s="4" t="n"/>
      <c r="G804" s="5" t="n"/>
      <c r="H804" s="5" t="n"/>
      <c r="I804" s="5" t="n"/>
      <c r="J804" s="5" t="n"/>
    </row>
    <row r="805">
      <c r="A805" t="n">
        <v>802</v>
      </c>
      <c r="B805" s="8" t="n"/>
      <c r="C805" s="4" t="n"/>
      <c r="D805" s="4" t="n"/>
      <c r="E805" s="4" t="n"/>
      <c r="F805" s="4" t="n"/>
      <c r="G805" s="5" t="n"/>
      <c r="H805" s="5" t="n"/>
      <c r="I805" s="5" t="n"/>
      <c r="J805" s="5" t="n"/>
    </row>
    <row r="806">
      <c r="A806" t="n">
        <v>803</v>
      </c>
      <c r="B806" s="8" t="n"/>
      <c r="C806" s="4" t="n"/>
      <c r="D806" s="4" t="n"/>
      <c r="E806" s="4" t="n"/>
      <c r="F806" s="4" t="n"/>
      <c r="G806" s="5" t="n"/>
      <c r="H806" s="5" t="n"/>
      <c r="I806" s="5" t="n"/>
      <c r="J806" s="5" t="n"/>
    </row>
    <row r="807">
      <c r="A807" t="n">
        <v>804</v>
      </c>
      <c r="B807" s="8" t="n"/>
      <c r="C807" s="4" t="n"/>
      <c r="D807" s="4" t="n"/>
      <c r="E807" s="4" t="n"/>
      <c r="F807" s="4" t="n"/>
      <c r="G807" s="5" t="n"/>
      <c r="H807" s="5" t="n"/>
      <c r="I807" s="5" t="n"/>
      <c r="J807" s="5" t="n"/>
    </row>
    <row r="808">
      <c r="A808" t="n">
        <v>805</v>
      </c>
      <c r="B808" s="8" t="n"/>
      <c r="C808" s="4" t="n"/>
      <c r="D808" s="4" t="n"/>
      <c r="E808" s="4" t="n"/>
      <c r="F808" s="4" t="n"/>
      <c r="G808" s="5" t="n"/>
      <c r="H808" s="5" t="n"/>
      <c r="I808" s="5" t="n"/>
      <c r="J808" s="5" t="n"/>
    </row>
    <row r="809">
      <c r="A809" t="n">
        <v>806</v>
      </c>
      <c r="B809" s="8" t="n"/>
      <c r="C809" s="4" t="n"/>
      <c r="D809" s="4" t="n"/>
      <c r="E809" s="4" t="n"/>
      <c r="F809" s="4" t="n"/>
      <c r="G809" s="5" t="n"/>
      <c r="H809" s="5" t="n"/>
      <c r="I809" s="5" t="n"/>
      <c r="J809" s="5" t="n"/>
    </row>
    <row r="810">
      <c r="A810" t="n">
        <v>807</v>
      </c>
      <c r="B810" s="8" t="n"/>
      <c r="C810" s="4" t="n"/>
      <c r="D810" s="4" t="n"/>
      <c r="E810" s="4" t="n"/>
      <c r="F810" s="4" t="n"/>
      <c r="G810" s="5" t="n"/>
      <c r="H810" s="5" t="n"/>
      <c r="I810" s="5" t="n"/>
      <c r="J810" s="5" t="n"/>
    </row>
    <row r="811">
      <c r="A811" t="n">
        <v>808</v>
      </c>
      <c r="B811" s="8" t="n"/>
      <c r="C811" s="4" t="n"/>
      <c r="D811" s="4" t="n"/>
      <c r="E811" s="4" t="n"/>
      <c r="F811" s="4" t="n"/>
      <c r="G811" s="5" t="n"/>
      <c r="H811" s="5" t="n"/>
      <c r="I811" s="5" t="n"/>
      <c r="J811" s="5" t="n"/>
    </row>
    <row r="812">
      <c r="A812" t="n">
        <v>809</v>
      </c>
      <c r="B812" s="8" t="n"/>
      <c r="C812" s="4" t="n"/>
      <c r="D812" s="4" t="n"/>
      <c r="E812" s="4" t="n"/>
      <c r="F812" s="4" t="n"/>
      <c r="G812" s="5" t="n"/>
      <c r="H812" s="5" t="n"/>
      <c r="I812" s="5" t="n"/>
      <c r="J812" s="5" t="n"/>
    </row>
    <row r="813">
      <c r="A813" t="n">
        <v>810</v>
      </c>
      <c r="B813" s="8" t="n"/>
      <c r="C813" s="4" t="n"/>
      <c r="D813" s="4" t="n"/>
      <c r="E813" s="4" t="n"/>
      <c r="F813" s="4" t="n"/>
      <c r="G813" s="5" t="n"/>
      <c r="H813" s="5" t="n"/>
      <c r="I813" s="5" t="n"/>
      <c r="J813" s="5" t="n"/>
    </row>
    <row r="814">
      <c r="A814" t="n">
        <v>811</v>
      </c>
      <c r="B814" s="8" t="n"/>
      <c r="C814" s="4" t="n"/>
      <c r="D814" s="4" t="n"/>
      <c r="E814" s="4" t="n"/>
      <c r="F814" s="4" t="n"/>
      <c r="G814" s="5" t="n"/>
      <c r="H814" s="5" t="n"/>
      <c r="I814" s="5" t="n"/>
      <c r="J814" s="5" t="n"/>
    </row>
    <row r="815">
      <c r="A815" t="n">
        <v>812</v>
      </c>
      <c r="B815" s="8" t="n"/>
      <c r="C815" s="4" t="n"/>
      <c r="D815" s="4" t="n"/>
      <c r="E815" s="4" t="n"/>
      <c r="F815" s="4" t="n"/>
      <c r="G815" s="5" t="n"/>
      <c r="H815" s="5" t="n"/>
      <c r="I815" s="5" t="n"/>
      <c r="J815" s="5" t="n"/>
    </row>
    <row r="816">
      <c r="A816" t="n">
        <v>813</v>
      </c>
      <c r="B816" s="8" t="n"/>
      <c r="C816" s="4" t="n"/>
      <c r="D816" s="4" t="n"/>
      <c r="E816" s="4" t="n"/>
      <c r="F816" s="4" t="n"/>
      <c r="G816" s="5" t="n"/>
      <c r="H816" s="5" t="n"/>
      <c r="I816" s="5" t="n"/>
      <c r="J816" s="5" t="n"/>
    </row>
    <row r="817">
      <c r="A817" t="n">
        <v>814</v>
      </c>
      <c r="B817" s="8" t="n"/>
      <c r="C817" s="4" t="n"/>
      <c r="D817" s="4" t="n"/>
      <c r="E817" s="4" t="n"/>
      <c r="F817" s="4" t="n"/>
      <c r="G817" s="5" t="n"/>
      <c r="H817" s="5" t="n"/>
      <c r="I817" s="5" t="n"/>
      <c r="J817" s="5" t="n"/>
    </row>
    <row r="818">
      <c r="A818" t="n">
        <v>815</v>
      </c>
      <c r="B818" s="8" t="n"/>
      <c r="C818" s="4" t="n"/>
      <c r="D818" s="4" t="n"/>
      <c r="E818" s="4" t="n"/>
      <c r="F818" s="4" t="n"/>
      <c r="G818" s="5" t="n"/>
      <c r="H818" s="5" t="n"/>
      <c r="I818" s="5" t="n"/>
      <c r="J818" s="5" t="n"/>
    </row>
    <row r="819">
      <c r="A819" t="n">
        <v>816</v>
      </c>
      <c r="B819" s="8" t="n"/>
      <c r="C819" s="4" t="n"/>
      <c r="D819" s="4" t="n"/>
      <c r="E819" s="4" t="n"/>
      <c r="F819" s="4" t="n"/>
      <c r="G819" s="5" t="n"/>
      <c r="H819" s="5" t="n"/>
      <c r="I819" s="5" t="n"/>
      <c r="J819" s="5" t="n"/>
    </row>
    <row r="820">
      <c r="A820" t="n">
        <v>817</v>
      </c>
      <c r="B820" s="8" t="n"/>
      <c r="C820" s="4" t="n"/>
      <c r="D820" s="4" t="n"/>
      <c r="E820" s="4" t="n"/>
      <c r="F820" s="4" t="n"/>
      <c r="G820" s="5" t="n"/>
      <c r="H820" s="5" t="n"/>
      <c r="I820" s="5" t="n"/>
      <c r="J820" s="5" t="n"/>
    </row>
    <row r="821">
      <c r="A821" t="n">
        <v>818</v>
      </c>
      <c r="B821" s="8" t="n"/>
      <c r="C821" s="4" t="n"/>
      <c r="D821" s="4" t="n"/>
      <c r="E821" s="4" t="n"/>
      <c r="F821" s="4" t="n"/>
      <c r="G821" s="5" t="n"/>
      <c r="H821" s="5" t="n"/>
      <c r="I821" s="5" t="n"/>
      <c r="J821" s="5" t="n"/>
    </row>
    <row r="822">
      <c r="A822" t="n">
        <v>819</v>
      </c>
      <c r="B822" s="8" t="n"/>
      <c r="C822" s="4" t="n"/>
      <c r="D822" s="4" t="n"/>
      <c r="E822" s="4" t="n"/>
      <c r="F822" s="4" t="n"/>
      <c r="G822" s="5" t="n"/>
      <c r="H822" s="5" t="n"/>
      <c r="I822" s="5" t="n"/>
      <c r="J822" s="5" t="n"/>
    </row>
    <row r="823">
      <c r="A823" t="n">
        <v>820</v>
      </c>
      <c r="B823" s="8" t="n"/>
      <c r="C823" s="4" t="n"/>
      <c r="D823" s="4" t="n"/>
      <c r="E823" s="4" t="n"/>
      <c r="F823" s="4" t="n"/>
      <c r="G823" s="5" t="n"/>
      <c r="H823" s="5" t="n"/>
      <c r="I823" s="5" t="n"/>
      <c r="J823" s="5" t="n"/>
    </row>
    <row r="824">
      <c r="A824" t="n">
        <v>821</v>
      </c>
      <c r="B824" s="8" t="n"/>
      <c r="C824" s="4" t="n"/>
      <c r="D824" s="4" t="n"/>
      <c r="E824" s="4" t="n"/>
      <c r="F824" s="4" t="n"/>
      <c r="G824" s="5" t="n"/>
      <c r="H824" s="5" t="n"/>
      <c r="I824" s="5" t="n"/>
      <c r="J824" s="5" t="n"/>
    </row>
    <row r="825">
      <c r="A825" t="n">
        <v>822</v>
      </c>
      <c r="B825" s="8" t="n"/>
      <c r="C825" s="4" t="n"/>
      <c r="D825" s="4" t="n"/>
      <c r="E825" s="4" t="n"/>
      <c r="F825" s="4" t="n"/>
      <c r="G825" s="5" t="n"/>
      <c r="H825" s="5" t="n"/>
      <c r="I825" s="5" t="n"/>
      <c r="J825" s="5" t="n"/>
    </row>
    <row r="826">
      <c r="A826" t="n">
        <v>823</v>
      </c>
      <c r="B826" s="8" t="n"/>
      <c r="C826" s="4" t="n"/>
      <c r="D826" s="4" t="n"/>
      <c r="E826" s="4" t="n"/>
      <c r="F826" s="4" t="n"/>
      <c r="G826" s="5" t="n"/>
      <c r="H826" s="5" t="n"/>
      <c r="I826" s="5" t="n"/>
      <c r="J826" s="5" t="n"/>
    </row>
    <row r="827">
      <c r="A827" t="n">
        <v>824</v>
      </c>
      <c r="B827" s="8" t="n"/>
      <c r="C827" s="4" t="n"/>
      <c r="D827" s="4" t="n"/>
      <c r="E827" s="4" t="n"/>
      <c r="F827" s="4" t="n"/>
      <c r="G827" s="5" t="n"/>
      <c r="H827" s="5" t="n"/>
      <c r="I827" s="5" t="n"/>
      <c r="J827" s="5" t="n"/>
    </row>
    <row r="828">
      <c r="A828" t="n">
        <v>825</v>
      </c>
      <c r="B828" s="8" t="n"/>
      <c r="C828" s="4" t="n"/>
      <c r="D828" s="4" t="n"/>
      <c r="E828" s="4" t="n"/>
      <c r="F828" s="4" t="n"/>
      <c r="G828" s="5" t="n"/>
      <c r="H828" s="5" t="n"/>
      <c r="I828" s="5" t="n"/>
      <c r="J828" s="5" t="n"/>
    </row>
    <row r="829">
      <c r="A829" t="n">
        <v>826</v>
      </c>
      <c r="B829" s="8" t="n"/>
      <c r="C829" s="4" t="n"/>
      <c r="D829" s="4" t="n"/>
      <c r="E829" s="4" t="n"/>
      <c r="F829" s="4" t="n"/>
      <c r="G829" s="5" t="n"/>
      <c r="H829" s="5" t="n"/>
      <c r="I829" s="5" t="n"/>
      <c r="J829" s="5" t="n"/>
    </row>
    <row r="830">
      <c r="A830" t="n">
        <v>827</v>
      </c>
      <c r="B830" s="8" t="n"/>
      <c r="C830" s="4" t="n"/>
      <c r="D830" s="4" t="n"/>
      <c r="E830" s="4" t="n"/>
      <c r="F830" s="4" t="n"/>
      <c r="G830" s="5" t="n"/>
      <c r="H830" s="5" t="n"/>
      <c r="I830" s="5" t="n"/>
      <c r="J830" s="5" t="n"/>
    </row>
    <row r="831">
      <c r="A831" t="n">
        <v>828</v>
      </c>
      <c r="B831" s="8" t="n"/>
      <c r="C831" s="4" t="n"/>
      <c r="D831" s="4" t="n"/>
      <c r="E831" s="4" t="n"/>
      <c r="F831" s="4" t="n"/>
      <c r="G831" s="5" t="n"/>
      <c r="H831" s="5" t="n"/>
      <c r="I831" s="5" t="n"/>
      <c r="J831" s="5" t="n"/>
    </row>
    <row r="832">
      <c r="A832" t="n">
        <v>829</v>
      </c>
      <c r="B832" s="8" t="n"/>
      <c r="C832" s="4" t="n"/>
      <c r="D832" s="4" t="n"/>
      <c r="E832" s="4" t="n"/>
      <c r="F832" s="4" t="n"/>
      <c r="G832" s="5" t="n"/>
      <c r="H832" s="5" t="n"/>
      <c r="I832" s="5" t="n"/>
      <c r="J832" s="5" t="n"/>
    </row>
    <row r="833">
      <c r="A833" t="n">
        <v>830</v>
      </c>
      <c r="B833" s="8" t="n"/>
      <c r="C833" s="4" t="n"/>
      <c r="D833" s="4" t="n"/>
      <c r="E833" s="4" t="n"/>
      <c r="F833" s="4" t="n"/>
      <c r="G833" s="5" t="n"/>
      <c r="H833" s="5" t="n"/>
      <c r="I833" s="5" t="n"/>
      <c r="J833" s="5" t="n"/>
    </row>
    <row r="834">
      <c r="A834" t="n">
        <v>831</v>
      </c>
      <c r="B834" s="8" t="n"/>
      <c r="C834" s="4" t="n"/>
      <c r="D834" s="4" t="n"/>
      <c r="E834" s="4" t="n"/>
      <c r="F834" s="4" t="n"/>
      <c r="G834" s="5" t="n"/>
      <c r="H834" s="5" t="n"/>
      <c r="I834" s="5" t="n"/>
      <c r="J834" s="5" t="n"/>
    </row>
    <row r="835">
      <c r="A835" t="n">
        <v>832</v>
      </c>
      <c r="B835" s="8" t="n"/>
      <c r="C835" s="4" t="n"/>
      <c r="D835" s="4" t="n"/>
      <c r="E835" s="4" t="n"/>
      <c r="F835" s="4" t="n"/>
      <c r="G835" s="5" t="n"/>
      <c r="H835" s="5" t="n"/>
      <c r="I835" s="5" t="n"/>
      <c r="J835" s="5" t="n"/>
    </row>
    <row r="836">
      <c r="A836" t="n">
        <v>833</v>
      </c>
      <c r="B836" s="8" t="n"/>
      <c r="C836" s="4" t="n"/>
      <c r="D836" s="4" t="n"/>
      <c r="E836" s="4" t="n"/>
      <c r="F836" s="4" t="n"/>
      <c r="G836" s="5" t="n"/>
      <c r="H836" s="5" t="n"/>
      <c r="I836" s="5" t="n"/>
      <c r="J836" s="5" t="n"/>
    </row>
    <row r="837">
      <c r="A837" t="n">
        <v>834</v>
      </c>
      <c r="B837" s="8" t="n"/>
      <c r="C837" s="4" t="n"/>
      <c r="D837" s="4" t="n"/>
      <c r="E837" s="4" t="n"/>
      <c r="F837" s="4" t="n"/>
      <c r="G837" s="5" t="n"/>
      <c r="H837" s="5" t="n"/>
      <c r="I837" s="5" t="n"/>
      <c r="J837" s="5" t="n"/>
    </row>
    <row r="838">
      <c r="A838" t="n">
        <v>835</v>
      </c>
      <c r="B838" s="8" t="n"/>
      <c r="C838" s="4" t="n"/>
      <c r="D838" s="4" t="n"/>
      <c r="E838" s="4" t="n"/>
      <c r="F838" s="4" t="n"/>
      <c r="G838" s="5" t="n"/>
      <c r="H838" s="5" t="n"/>
      <c r="I838" s="5" t="n"/>
      <c r="J838" s="5" t="n"/>
    </row>
    <row r="839">
      <c r="A839" t="n">
        <v>836</v>
      </c>
      <c r="B839" s="8" t="n"/>
      <c r="C839" s="4" t="n"/>
      <c r="D839" s="4" t="n"/>
      <c r="E839" s="4" t="n"/>
      <c r="F839" s="4" t="n"/>
      <c r="G839" s="5" t="n"/>
      <c r="H839" s="5" t="n"/>
      <c r="I839" s="5" t="n"/>
      <c r="J839" s="5" t="n"/>
    </row>
    <row r="840">
      <c r="A840" t="n">
        <v>837</v>
      </c>
      <c r="B840" s="8" t="n"/>
      <c r="C840" s="4" t="n"/>
      <c r="D840" s="4" t="n"/>
      <c r="E840" s="4" t="n"/>
      <c r="F840" s="4" t="n"/>
      <c r="G840" s="5" t="n"/>
      <c r="H840" s="5" t="n"/>
      <c r="I840" s="5" t="n"/>
      <c r="J840" s="5" t="n"/>
    </row>
    <row r="841">
      <c r="A841" t="n">
        <v>838</v>
      </c>
      <c r="B841" s="8" t="n"/>
      <c r="C841" s="4" t="n"/>
      <c r="D841" s="4" t="n"/>
      <c r="E841" s="4" t="n"/>
      <c r="F841" s="4" t="n"/>
      <c r="G841" s="5" t="n"/>
      <c r="H841" s="5" t="n"/>
      <c r="I841" s="5" t="n"/>
      <c r="J841" s="5" t="n"/>
    </row>
    <row r="842">
      <c r="A842" t="n">
        <v>839</v>
      </c>
      <c r="B842" s="8" t="n"/>
      <c r="C842" s="4" t="n"/>
      <c r="D842" s="4" t="n"/>
      <c r="E842" s="4" t="n"/>
      <c r="F842" s="4" t="n"/>
      <c r="G842" s="5" t="n"/>
      <c r="H842" s="5" t="n"/>
      <c r="I842" s="5" t="n"/>
      <c r="J842" s="5" t="n"/>
    </row>
    <row r="843">
      <c r="A843" t="n">
        <v>840</v>
      </c>
      <c r="B843" s="8" t="n"/>
      <c r="C843" s="4" t="n"/>
      <c r="D843" s="4" t="n"/>
      <c r="E843" s="4" t="n"/>
      <c r="F843" s="4" t="n"/>
      <c r="G843" s="5" t="n"/>
      <c r="H843" s="5" t="n"/>
      <c r="I843" s="5" t="n"/>
      <c r="J843" s="5" t="n"/>
    </row>
    <row r="844">
      <c r="A844" t="n">
        <v>841</v>
      </c>
      <c r="B844" s="8" t="n"/>
      <c r="C844" s="4" t="n"/>
      <c r="D844" s="4" t="n"/>
      <c r="E844" s="4" t="n"/>
      <c r="F844" s="4" t="n"/>
      <c r="G844" s="5" t="n"/>
      <c r="H844" s="5" t="n"/>
      <c r="I844" s="5" t="n"/>
      <c r="J844" s="5" t="n"/>
    </row>
    <row r="845">
      <c r="A845" t="n">
        <v>842</v>
      </c>
      <c r="B845" s="8" t="n"/>
      <c r="C845" s="4" t="n"/>
      <c r="D845" s="4" t="n"/>
      <c r="E845" s="4" t="n"/>
      <c r="F845" s="4" t="n"/>
      <c r="G845" s="5" t="n"/>
      <c r="H845" s="5" t="n"/>
      <c r="I845" s="5" t="n"/>
      <c r="J845" s="5" t="n"/>
    </row>
    <row r="846">
      <c r="A846" t="n">
        <v>843</v>
      </c>
      <c r="B846" s="8" t="n"/>
      <c r="C846" s="4" t="n"/>
      <c r="D846" s="4" t="n"/>
      <c r="E846" s="4" t="n"/>
      <c r="F846" s="4" t="n"/>
      <c r="G846" s="5" t="n"/>
      <c r="H846" s="5" t="n"/>
      <c r="I846" s="5" t="n"/>
      <c r="J846" s="5" t="n"/>
    </row>
    <row r="847">
      <c r="A847" t="n">
        <v>844</v>
      </c>
      <c r="B847" s="8" t="n"/>
      <c r="C847" s="4" t="n"/>
      <c r="D847" s="4" t="n"/>
      <c r="E847" s="4" t="n"/>
      <c r="F847" s="4" t="n"/>
      <c r="G847" s="5" t="n"/>
      <c r="H847" s="5" t="n"/>
      <c r="I847" s="5" t="n"/>
      <c r="J847" s="5" t="n"/>
    </row>
    <row r="848">
      <c r="A848" t="n">
        <v>845</v>
      </c>
      <c r="B848" s="8" t="n"/>
      <c r="C848" s="4" t="n"/>
      <c r="D848" s="4" t="n"/>
      <c r="E848" s="4" t="n"/>
      <c r="F848" s="4" t="n"/>
      <c r="G848" s="5" t="n"/>
      <c r="H848" s="5" t="n"/>
      <c r="I848" s="5" t="n"/>
      <c r="J848" s="5" t="n"/>
    </row>
    <row r="849">
      <c r="A849" t="n">
        <v>846</v>
      </c>
      <c r="B849" s="8" t="n"/>
      <c r="C849" s="4" t="n"/>
      <c r="D849" s="4" t="n"/>
      <c r="E849" s="4" t="n"/>
      <c r="F849" s="4" t="n"/>
      <c r="G849" s="5" t="n"/>
      <c r="H849" s="5" t="n"/>
      <c r="I849" s="5" t="n"/>
      <c r="J849" s="5" t="n"/>
    </row>
    <row r="850">
      <c r="A850" t="n">
        <v>847</v>
      </c>
      <c r="B850" s="8" t="n"/>
      <c r="C850" s="4" t="n"/>
      <c r="D850" s="4" t="n"/>
      <c r="E850" s="4" t="n"/>
      <c r="F850" s="4" t="n"/>
      <c r="G850" s="5" t="n"/>
      <c r="H850" s="5" t="n"/>
      <c r="I850" s="5" t="n"/>
      <c r="J850" s="5" t="n"/>
    </row>
    <row r="851">
      <c r="A851" t="n">
        <v>848</v>
      </c>
      <c r="B851" s="8" t="n"/>
      <c r="C851" s="4" t="n"/>
      <c r="D851" s="4" t="n"/>
      <c r="E851" s="4" t="n"/>
      <c r="F851" s="4" t="n"/>
      <c r="G851" s="5" t="n"/>
      <c r="H851" s="5" t="n"/>
      <c r="I851" s="5" t="n"/>
      <c r="J851" s="5" t="n"/>
    </row>
    <row r="852">
      <c r="A852" t="n">
        <v>849</v>
      </c>
      <c r="B852" s="8" t="n"/>
      <c r="C852" s="4" t="n"/>
      <c r="D852" s="4" t="n"/>
      <c r="E852" s="4" t="n"/>
      <c r="F852" s="4" t="n"/>
      <c r="G852" s="5" t="n"/>
      <c r="H852" s="5" t="n"/>
      <c r="I852" s="5" t="n"/>
      <c r="J852" s="5" t="n"/>
    </row>
    <row r="853">
      <c r="A853" t="n">
        <v>850</v>
      </c>
      <c r="B853" s="8" t="n"/>
      <c r="C853" s="4" t="n"/>
      <c r="D853" s="4" t="n"/>
      <c r="E853" s="4" t="n"/>
      <c r="F853" s="4" t="n"/>
      <c r="G853" s="5" t="n"/>
      <c r="H853" s="5" t="n"/>
      <c r="I853" s="5" t="n"/>
      <c r="J853" s="5" t="n"/>
    </row>
    <row r="854">
      <c r="A854" t="n">
        <v>851</v>
      </c>
      <c r="B854" s="8" t="n"/>
      <c r="C854" s="4" t="n"/>
      <c r="D854" s="4" t="n"/>
      <c r="E854" s="4" t="n"/>
      <c r="F854" s="4" t="n"/>
      <c r="G854" s="5" t="n"/>
      <c r="H854" s="5" t="n"/>
      <c r="I854" s="5" t="n"/>
      <c r="J854" s="5" t="n"/>
    </row>
    <row r="855">
      <c r="A855" t="n">
        <v>852</v>
      </c>
      <c r="B855" s="8" t="n"/>
      <c r="C855" s="4" t="n"/>
      <c r="D855" s="4" t="n"/>
      <c r="E855" s="4" t="n"/>
      <c r="F855" s="4" t="n"/>
      <c r="G855" s="5" t="n"/>
      <c r="H855" s="5" t="n"/>
      <c r="I855" s="5" t="n"/>
      <c r="J855" s="5" t="n"/>
    </row>
    <row r="856">
      <c r="A856" t="n">
        <v>853</v>
      </c>
      <c r="B856" s="8" t="n"/>
      <c r="C856" s="4" t="n"/>
      <c r="D856" s="4" t="n"/>
      <c r="E856" s="4" t="n"/>
      <c r="F856" s="4" t="n"/>
      <c r="G856" s="5" t="n"/>
      <c r="H856" s="5" t="n"/>
      <c r="I856" s="5" t="n"/>
      <c r="J856" s="5" t="n"/>
    </row>
    <row r="857">
      <c r="A857" t="n">
        <v>854</v>
      </c>
      <c r="B857" s="8" t="n"/>
      <c r="C857" s="4" t="n"/>
      <c r="D857" s="4" t="n"/>
      <c r="E857" s="4" t="n"/>
      <c r="F857" s="4" t="n"/>
      <c r="G857" s="5" t="n"/>
      <c r="H857" s="5" t="n"/>
      <c r="I857" s="5" t="n"/>
      <c r="J857" s="5" t="n"/>
    </row>
    <row r="858">
      <c r="A858" t="n">
        <v>855</v>
      </c>
      <c r="B858" s="8" t="n"/>
      <c r="C858" s="4" t="n"/>
      <c r="D858" s="4" t="n"/>
      <c r="E858" s="4" t="n"/>
      <c r="F858" s="4" t="n"/>
      <c r="G858" s="5" t="n"/>
      <c r="H858" s="5" t="n"/>
      <c r="I858" s="5" t="n"/>
      <c r="J858" s="5" t="n"/>
    </row>
    <row r="859">
      <c r="A859" t="n">
        <v>856</v>
      </c>
      <c r="B859" s="8" t="n"/>
      <c r="C859" s="4" t="n"/>
      <c r="D859" s="4" t="n"/>
      <c r="E859" s="4" t="n"/>
      <c r="F859" s="4" t="n"/>
      <c r="G859" s="5" t="n"/>
      <c r="H859" s="5" t="n"/>
      <c r="I859" s="5" t="n"/>
      <c r="J859" s="5" t="n"/>
    </row>
    <row r="860">
      <c r="A860" t="n">
        <v>857</v>
      </c>
      <c r="B860" s="8" t="n"/>
      <c r="C860" s="4" t="n"/>
      <c r="D860" s="4" t="n"/>
      <c r="E860" s="4" t="n"/>
      <c r="F860" s="4" t="n"/>
      <c r="G860" s="5" t="n"/>
      <c r="H860" s="5" t="n"/>
      <c r="I860" s="5" t="n"/>
      <c r="J860" s="5" t="n"/>
    </row>
    <row r="861">
      <c r="A861" t="n">
        <v>858</v>
      </c>
      <c r="B861" s="8" t="n"/>
      <c r="C861" s="4" t="n"/>
      <c r="D861" s="4" t="n"/>
      <c r="E861" s="4" t="n"/>
      <c r="F861" s="4" t="n"/>
      <c r="G861" s="5" t="n"/>
      <c r="H861" s="5" t="n"/>
      <c r="I861" s="5" t="n"/>
      <c r="J861" s="5" t="n"/>
    </row>
    <row r="862">
      <c r="A862" t="n">
        <v>859</v>
      </c>
      <c r="B862" s="8" t="n"/>
      <c r="C862" s="4" t="n"/>
      <c r="D862" s="4" t="n"/>
      <c r="E862" s="4" t="n"/>
      <c r="F862" s="4" t="n"/>
      <c r="G862" s="5" t="n"/>
      <c r="H862" s="5" t="n"/>
      <c r="I862" s="5" t="n"/>
      <c r="J862" s="5" t="n"/>
    </row>
    <row r="863">
      <c r="A863" t="n">
        <v>860</v>
      </c>
      <c r="B863" s="8" t="n"/>
      <c r="C863" s="4" t="n"/>
      <c r="D863" s="4" t="n"/>
      <c r="E863" s="4" t="n"/>
      <c r="F863" s="4" t="n"/>
      <c r="G863" s="5" t="n"/>
      <c r="H863" s="5" t="n"/>
      <c r="I863" s="5" t="n"/>
      <c r="J863" s="5" t="n"/>
    </row>
    <row r="864">
      <c r="A864" t="n">
        <v>861</v>
      </c>
      <c r="B864" s="8" t="n"/>
      <c r="C864" s="4" t="n"/>
      <c r="D864" s="4" t="n"/>
      <c r="E864" s="4" t="n"/>
      <c r="F864" s="4" t="n"/>
      <c r="G864" s="5" t="n"/>
      <c r="H864" s="5" t="n"/>
      <c r="I864" s="5" t="n"/>
      <c r="J864" s="5" t="n"/>
    </row>
    <row r="865">
      <c r="A865" t="n">
        <v>862</v>
      </c>
      <c r="B865" s="8" t="n"/>
      <c r="C865" s="4" t="n"/>
      <c r="D865" s="4" t="n"/>
      <c r="E865" s="4" t="n"/>
      <c r="F865" s="4" t="n"/>
      <c r="G865" s="5" t="n"/>
      <c r="H865" s="5" t="n"/>
      <c r="I865" s="5" t="n"/>
      <c r="J865" s="5" t="n"/>
    </row>
    <row r="866">
      <c r="A866" t="n">
        <v>863</v>
      </c>
      <c r="B866" s="8" t="n"/>
      <c r="C866" s="4" t="n"/>
      <c r="D866" s="4" t="n"/>
      <c r="E866" s="4" t="n"/>
      <c r="F866" s="4" t="n"/>
      <c r="G866" s="5" t="n"/>
      <c r="H866" s="5" t="n"/>
      <c r="I866" s="5" t="n"/>
      <c r="J866" s="5" t="n"/>
    </row>
    <row r="867">
      <c r="A867" t="n">
        <v>864</v>
      </c>
      <c r="B867" s="8" t="n"/>
      <c r="C867" s="4" t="n"/>
      <c r="D867" s="4" t="n"/>
      <c r="E867" s="4" t="n"/>
      <c r="F867" s="4" t="n"/>
      <c r="G867" s="5" t="n"/>
      <c r="H867" s="5" t="n"/>
      <c r="I867" s="5" t="n"/>
      <c r="J867" s="5" t="n"/>
    </row>
    <row r="868">
      <c r="A868" t="n">
        <v>865</v>
      </c>
      <c r="B868" s="8" t="n"/>
      <c r="C868" s="4" t="n"/>
      <c r="D868" s="4" t="n"/>
      <c r="E868" s="4" t="n"/>
      <c r="F868" s="4" t="n"/>
      <c r="G868" s="5" t="n"/>
      <c r="H868" s="5" t="n"/>
      <c r="I868" s="5" t="n"/>
      <c r="J868" s="5" t="n"/>
    </row>
    <row r="869">
      <c r="A869" t="n">
        <v>866</v>
      </c>
      <c r="B869" s="8" t="n"/>
      <c r="C869" s="4" t="n"/>
      <c r="D869" s="4" t="n"/>
      <c r="E869" s="4" t="n"/>
      <c r="F869" s="4" t="n"/>
      <c r="G869" s="5" t="n"/>
      <c r="H869" s="5" t="n"/>
      <c r="I869" s="5" t="n"/>
      <c r="J869" s="5" t="n"/>
    </row>
    <row r="870">
      <c r="A870" t="n">
        <v>867</v>
      </c>
      <c r="B870" s="8" t="n"/>
      <c r="C870" s="4" t="n"/>
      <c r="D870" s="4" t="n"/>
      <c r="E870" s="4" t="n"/>
      <c r="F870" s="4" t="n"/>
      <c r="G870" s="5" t="n"/>
      <c r="H870" s="5" t="n"/>
      <c r="I870" s="5" t="n"/>
      <c r="J870" s="5" t="n"/>
    </row>
    <row r="871">
      <c r="A871" t="n">
        <v>868</v>
      </c>
      <c r="B871" s="8" t="n"/>
      <c r="C871" s="4" t="n"/>
      <c r="D871" s="4" t="n"/>
      <c r="E871" s="4" t="n"/>
      <c r="F871" s="4" t="n"/>
      <c r="G871" s="5" t="n"/>
      <c r="H871" s="5" t="n"/>
      <c r="I871" s="5" t="n"/>
      <c r="J871" s="5" t="n"/>
    </row>
    <row r="872">
      <c r="A872" t="n">
        <v>869</v>
      </c>
      <c r="B872" s="8" t="n"/>
      <c r="C872" s="4" t="n"/>
      <c r="D872" s="4" t="n"/>
      <c r="E872" s="4" t="n"/>
      <c r="F872" s="4" t="n"/>
      <c r="G872" s="5" t="n"/>
      <c r="H872" s="5" t="n"/>
      <c r="I872" s="5" t="n"/>
      <c r="J872" s="5" t="n"/>
    </row>
    <row r="873">
      <c r="A873" t="n">
        <v>870</v>
      </c>
      <c r="B873" s="8" t="n"/>
      <c r="C873" s="4" t="n"/>
      <c r="D873" s="4" t="n"/>
      <c r="E873" s="4" t="n"/>
      <c r="F873" s="4" t="n"/>
      <c r="G873" s="5" t="n"/>
      <c r="H873" s="5" t="n"/>
      <c r="I873" s="5" t="n"/>
      <c r="J873" s="5" t="n"/>
    </row>
    <row r="874">
      <c r="A874" t="n">
        <v>871</v>
      </c>
      <c r="B874" s="8" t="n"/>
      <c r="C874" s="4" t="n"/>
      <c r="D874" s="4" t="n"/>
      <c r="E874" s="4" t="n"/>
      <c r="F874" s="4" t="n"/>
      <c r="G874" s="5" t="n"/>
      <c r="H874" s="5" t="n"/>
      <c r="I874" s="5" t="n"/>
      <c r="J874" s="5" t="n"/>
    </row>
    <row r="875">
      <c r="A875" t="n">
        <v>872</v>
      </c>
      <c r="B875" s="8" t="n"/>
      <c r="C875" s="4" t="n"/>
      <c r="D875" s="4" t="n"/>
      <c r="E875" s="4" t="n"/>
      <c r="F875" s="4" t="n"/>
      <c r="G875" s="5" t="n"/>
      <c r="H875" s="5" t="n"/>
      <c r="I875" s="5" t="n"/>
      <c r="J875" s="5" t="n"/>
    </row>
    <row r="876">
      <c r="A876" t="n">
        <v>873</v>
      </c>
      <c r="B876" s="8" t="n"/>
      <c r="C876" s="4" t="n"/>
      <c r="D876" s="4" t="n"/>
      <c r="E876" s="4" t="n"/>
      <c r="F876" s="4" t="n"/>
      <c r="G876" s="5" t="n"/>
      <c r="H876" s="5" t="n"/>
      <c r="I876" s="5" t="n"/>
      <c r="J876" s="5" t="n"/>
    </row>
    <row r="877">
      <c r="A877" t="n">
        <v>874</v>
      </c>
      <c r="B877" s="8" t="n"/>
      <c r="C877" s="4" t="n"/>
      <c r="D877" s="4" t="n"/>
      <c r="E877" s="4" t="n"/>
      <c r="F877" s="4" t="n"/>
      <c r="G877" s="5" t="n"/>
      <c r="H877" s="5" t="n"/>
      <c r="I877" s="5" t="n"/>
      <c r="J877" s="5" t="n"/>
    </row>
    <row r="878">
      <c r="A878" t="n">
        <v>875</v>
      </c>
      <c r="B878" s="8" t="n"/>
      <c r="C878" s="4" t="n"/>
      <c r="D878" s="4" t="n"/>
      <c r="E878" s="4" t="n"/>
      <c r="F878" s="4" t="n"/>
      <c r="G878" s="5" t="n"/>
      <c r="H878" s="5" t="n"/>
      <c r="I878" s="5" t="n"/>
      <c r="J878" s="5" t="n"/>
    </row>
    <row r="879">
      <c r="A879" t="n">
        <v>876</v>
      </c>
      <c r="B879" s="8" t="n"/>
      <c r="C879" s="4" t="n"/>
      <c r="D879" s="4" t="n"/>
      <c r="E879" s="4" t="n"/>
      <c r="F879" s="4" t="n"/>
      <c r="G879" s="5" t="n"/>
      <c r="H879" s="5" t="n"/>
      <c r="I879" s="5" t="n"/>
      <c r="J879" s="5" t="n"/>
    </row>
    <row r="880">
      <c r="A880" t="n">
        <v>877</v>
      </c>
      <c r="B880" s="8" t="n"/>
      <c r="C880" s="4" t="n"/>
      <c r="D880" s="4" t="n"/>
      <c r="E880" s="4" t="n"/>
      <c r="F880" s="4" t="n"/>
      <c r="G880" s="5" t="n"/>
      <c r="H880" s="5" t="n"/>
      <c r="I880" s="5" t="n"/>
      <c r="J880" s="5" t="n"/>
    </row>
    <row r="881">
      <c r="A881" t="n">
        <v>878</v>
      </c>
      <c r="B881" s="8" t="n"/>
      <c r="C881" s="4" t="n"/>
      <c r="D881" s="4" t="n"/>
      <c r="E881" s="4" t="n"/>
      <c r="F881" s="4" t="n"/>
      <c r="G881" s="5" t="n"/>
      <c r="H881" s="5" t="n"/>
      <c r="I881" s="5" t="n"/>
      <c r="J881" s="5" t="n"/>
    </row>
    <row r="882">
      <c r="A882" t="n">
        <v>879</v>
      </c>
      <c r="B882" s="8" t="n"/>
      <c r="C882" s="4" t="n"/>
      <c r="D882" s="4" t="n"/>
      <c r="E882" s="4" t="n"/>
      <c r="F882" s="4" t="n"/>
      <c r="G882" s="5" t="n"/>
      <c r="H882" s="5" t="n"/>
      <c r="I882" s="5" t="n"/>
      <c r="J882" s="5" t="n"/>
    </row>
    <row r="883">
      <c r="A883" t="n">
        <v>880</v>
      </c>
      <c r="B883" s="8" t="n"/>
      <c r="C883" s="4" t="n"/>
      <c r="D883" s="4" t="n"/>
      <c r="E883" s="4" t="n"/>
      <c r="F883" s="4" t="n"/>
      <c r="G883" s="5" t="n"/>
      <c r="H883" s="5" t="n"/>
      <c r="I883" s="5" t="n"/>
      <c r="J883" s="5" t="n"/>
    </row>
    <row r="884">
      <c r="A884" t="n">
        <v>881</v>
      </c>
      <c r="B884" s="8" t="n"/>
      <c r="C884" s="4" t="n"/>
      <c r="D884" s="4" t="n"/>
      <c r="E884" s="4" t="n"/>
      <c r="F884" s="4" t="n"/>
      <c r="G884" s="5" t="n"/>
      <c r="H884" s="5" t="n"/>
      <c r="I884" s="5" t="n"/>
      <c r="J884" s="5" t="n"/>
    </row>
    <row r="885">
      <c r="A885" t="n">
        <v>882</v>
      </c>
      <c r="B885" s="8" t="n"/>
      <c r="C885" s="4" t="n"/>
      <c r="D885" s="4" t="n"/>
      <c r="E885" s="4" t="n"/>
      <c r="F885" s="4" t="n"/>
      <c r="G885" s="5" t="n"/>
      <c r="H885" s="5" t="n"/>
      <c r="I885" s="5" t="n"/>
      <c r="J885" s="5" t="n"/>
    </row>
    <row r="886">
      <c r="A886" t="n">
        <v>883</v>
      </c>
      <c r="B886" s="8" t="n"/>
      <c r="C886" s="4" t="n"/>
      <c r="D886" s="4" t="n"/>
      <c r="E886" s="4" t="n"/>
      <c r="F886" s="4" t="n"/>
      <c r="G886" s="5" t="n"/>
      <c r="H886" s="5" t="n"/>
      <c r="I886" s="5" t="n"/>
      <c r="J886" s="5" t="n"/>
    </row>
    <row r="887">
      <c r="A887" t="n">
        <v>884</v>
      </c>
      <c r="B887" s="8" t="n"/>
      <c r="C887" s="4" t="n"/>
      <c r="D887" s="4" t="n"/>
      <c r="E887" s="4" t="n"/>
      <c r="F887" s="4" t="n"/>
      <c r="G887" s="5" t="n"/>
      <c r="H887" s="5" t="n"/>
      <c r="I887" s="5" t="n"/>
      <c r="J887" s="5" t="n"/>
    </row>
    <row r="888">
      <c r="A888" t="n">
        <v>885</v>
      </c>
      <c r="B888" s="8" t="n"/>
      <c r="C888" s="4" t="n"/>
      <c r="D888" s="4" t="n"/>
      <c r="E888" s="4" t="n"/>
      <c r="F888" s="4" t="n"/>
      <c r="G888" s="5" t="n"/>
      <c r="H888" s="5" t="n"/>
      <c r="I888" s="5" t="n"/>
      <c r="J888" s="5" t="n"/>
    </row>
    <row r="889">
      <c r="A889" t="n">
        <v>886</v>
      </c>
      <c r="B889" s="8" t="n"/>
      <c r="C889" s="4" t="n"/>
      <c r="D889" s="4" t="n"/>
      <c r="E889" s="4" t="n"/>
      <c r="F889" s="4" t="n"/>
      <c r="G889" s="5" t="n"/>
      <c r="H889" s="5" t="n"/>
      <c r="I889" s="5" t="n"/>
      <c r="J889" s="5" t="n"/>
    </row>
    <row r="890">
      <c r="A890" t="n">
        <v>887</v>
      </c>
      <c r="B890" s="8" t="n"/>
      <c r="C890" s="4" t="n"/>
      <c r="D890" s="4" t="n"/>
      <c r="E890" s="4" t="n"/>
      <c r="F890" s="4" t="n"/>
      <c r="G890" s="5" t="n"/>
      <c r="H890" s="5" t="n"/>
      <c r="I890" s="5" t="n"/>
      <c r="J890" s="5" t="n"/>
    </row>
    <row r="891">
      <c r="A891" t="n">
        <v>888</v>
      </c>
      <c r="B891" s="8" t="n"/>
      <c r="C891" s="4" t="n"/>
      <c r="D891" s="4" t="n"/>
      <c r="E891" s="4" t="n"/>
      <c r="F891" s="4" t="n"/>
      <c r="G891" s="5" t="n"/>
      <c r="H891" s="5" t="n"/>
      <c r="I891" s="5" t="n"/>
      <c r="J891" s="5" t="n"/>
    </row>
    <row r="892">
      <c r="A892" t="n">
        <v>889</v>
      </c>
      <c r="B892" s="8" t="n"/>
      <c r="C892" s="4" t="n"/>
      <c r="D892" s="4" t="n"/>
      <c r="E892" s="4" t="n"/>
      <c r="F892" s="4" t="n"/>
      <c r="G892" s="5" t="n"/>
      <c r="H892" s="5" t="n"/>
      <c r="I892" s="5" t="n"/>
      <c r="J892" s="5" t="n"/>
    </row>
    <row r="893">
      <c r="A893" t="n">
        <v>890</v>
      </c>
      <c r="B893" s="8" t="n"/>
      <c r="C893" s="4" t="n"/>
      <c r="D893" s="4" t="n"/>
      <c r="E893" s="4" t="n"/>
      <c r="F893" s="4" t="n"/>
      <c r="G893" s="5" t="n"/>
      <c r="H893" s="5" t="n"/>
      <c r="I893" s="5" t="n"/>
      <c r="J893" s="5" t="n"/>
    </row>
    <row r="894">
      <c r="A894" t="n">
        <v>891</v>
      </c>
      <c r="B894" s="8" t="n"/>
      <c r="C894" s="4" t="n"/>
      <c r="D894" s="4" t="n"/>
      <c r="E894" s="4" t="n"/>
      <c r="F894" s="4" t="n"/>
      <c r="G894" s="5" t="n"/>
      <c r="H894" s="5" t="n"/>
      <c r="I894" s="5" t="n"/>
      <c r="J894" s="5" t="n"/>
    </row>
    <row r="895">
      <c r="A895" t="n">
        <v>892</v>
      </c>
      <c r="B895" s="8" t="n"/>
      <c r="C895" s="4" t="n"/>
      <c r="D895" s="4" t="n"/>
      <c r="E895" s="4" t="n"/>
      <c r="F895" s="4" t="n"/>
      <c r="G895" s="5" t="n"/>
      <c r="H895" s="5" t="n"/>
      <c r="I895" s="5" t="n"/>
      <c r="J895" s="5" t="n"/>
    </row>
    <row r="896">
      <c r="A896" t="n">
        <v>893</v>
      </c>
      <c r="B896" s="8" t="n"/>
      <c r="C896" s="4" t="n"/>
      <c r="D896" s="4" t="n"/>
      <c r="E896" s="4" t="n"/>
      <c r="F896" s="4" t="n"/>
      <c r="G896" s="5" t="n"/>
      <c r="H896" s="5" t="n"/>
      <c r="I896" s="5" t="n"/>
      <c r="J896" s="5" t="n"/>
    </row>
    <row r="897">
      <c r="A897" t="n">
        <v>894</v>
      </c>
      <c r="B897" s="8" t="n"/>
      <c r="C897" s="4" t="n"/>
      <c r="D897" s="4" t="n"/>
      <c r="E897" s="4" t="n"/>
      <c r="F897" s="4" t="n"/>
      <c r="G897" s="5" t="n"/>
      <c r="H897" s="5" t="n"/>
      <c r="I897" s="5" t="n"/>
      <c r="J897" s="5" t="n"/>
    </row>
    <row r="898">
      <c r="A898" t="n">
        <v>895</v>
      </c>
      <c r="B898" s="8" t="n"/>
      <c r="C898" s="4" t="n"/>
      <c r="D898" s="4" t="n"/>
      <c r="E898" s="4" t="n"/>
      <c r="F898" s="4" t="n"/>
      <c r="G898" s="5" t="n"/>
      <c r="H898" s="5" t="n"/>
      <c r="I898" s="5" t="n"/>
      <c r="J898" s="5" t="n"/>
    </row>
    <row r="899">
      <c r="A899" t="n">
        <v>896</v>
      </c>
      <c r="B899" s="8" t="n"/>
      <c r="C899" s="4" t="n"/>
      <c r="D899" s="4" t="n"/>
      <c r="E899" s="4" t="n"/>
      <c r="F899" s="4" t="n"/>
      <c r="G899" s="5" t="n"/>
      <c r="H899" s="5" t="n"/>
      <c r="I899" s="5" t="n"/>
      <c r="J899" s="5" t="n"/>
    </row>
    <row r="900">
      <c r="A900" t="n">
        <v>897</v>
      </c>
      <c r="B900" s="8" t="n"/>
      <c r="C900" s="4" t="n"/>
      <c r="D900" s="4" t="n"/>
      <c r="E900" s="4" t="n"/>
      <c r="F900" s="4" t="n"/>
      <c r="G900" s="5" t="n"/>
      <c r="H900" s="5" t="n"/>
      <c r="I900" s="5" t="n"/>
      <c r="J900" s="5" t="n"/>
    </row>
    <row r="901">
      <c r="A901" t="n">
        <v>898</v>
      </c>
      <c r="B901" s="8" t="n"/>
      <c r="C901" s="4" t="n"/>
      <c r="D901" s="4" t="n"/>
      <c r="E901" s="4" t="n"/>
      <c r="F901" s="4" t="n"/>
      <c r="G901" s="5" t="n"/>
      <c r="H901" s="5" t="n"/>
      <c r="I901" s="5" t="n"/>
      <c r="J901" s="5" t="n"/>
    </row>
    <row r="902">
      <c r="A902" t="n">
        <v>899</v>
      </c>
      <c r="B902" s="8" t="n"/>
      <c r="C902" s="4" t="n"/>
      <c r="D902" s="4" t="n"/>
      <c r="E902" s="4" t="n"/>
      <c r="F902" s="4" t="n"/>
      <c r="G902" s="5" t="n"/>
      <c r="H902" s="5" t="n"/>
      <c r="I902" s="5" t="n"/>
      <c r="J902" s="5" t="n"/>
    </row>
    <row r="903">
      <c r="A903" t="n">
        <v>900</v>
      </c>
      <c r="B903" s="8" t="n"/>
      <c r="C903" s="4" t="n"/>
      <c r="D903" s="4" t="n"/>
      <c r="E903" s="4" t="n"/>
      <c r="F903" s="4" t="n"/>
      <c r="G903" s="5" t="n"/>
      <c r="H903" s="5" t="n"/>
      <c r="I903" s="5" t="n"/>
      <c r="J903" s="5" t="n"/>
    </row>
    <row r="904">
      <c r="A904" t="n">
        <v>901</v>
      </c>
      <c r="B904" s="8" t="n"/>
      <c r="C904" s="4" t="n"/>
      <c r="D904" s="4" t="n"/>
      <c r="E904" s="4" t="n"/>
      <c r="F904" s="4" t="n"/>
      <c r="G904" s="5" t="n"/>
      <c r="H904" s="5" t="n"/>
      <c r="I904" s="5" t="n"/>
      <c r="J904" s="5" t="n"/>
    </row>
    <row r="905">
      <c r="A905" t="n">
        <v>902</v>
      </c>
      <c r="B905" s="8" t="n"/>
      <c r="C905" s="4" t="n"/>
      <c r="D905" s="4" t="n"/>
      <c r="E905" s="4" t="n"/>
      <c r="F905" s="4" t="n"/>
      <c r="G905" s="5" t="n"/>
      <c r="H905" s="5" t="n"/>
      <c r="I905" s="5" t="n"/>
      <c r="J905" s="5" t="n"/>
    </row>
    <row r="906">
      <c r="A906" t="n">
        <v>903</v>
      </c>
      <c r="B906" s="8" t="n"/>
      <c r="C906" s="4" t="n"/>
      <c r="D906" s="4" t="n"/>
      <c r="E906" s="4" t="n"/>
      <c r="F906" s="4" t="n"/>
      <c r="G906" s="5" t="n"/>
      <c r="H906" s="5" t="n"/>
      <c r="I906" s="5" t="n"/>
      <c r="J906" s="5" t="n"/>
    </row>
    <row r="907">
      <c r="A907" t="n">
        <v>904</v>
      </c>
      <c r="B907" s="8" t="n"/>
      <c r="C907" s="4" t="n"/>
      <c r="D907" s="4" t="n"/>
      <c r="E907" s="4" t="n"/>
      <c r="F907" s="4" t="n"/>
      <c r="G907" s="5" t="n"/>
      <c r="H907" s="5" t="n"/>
      <c r="I907" s="5" t="n"/>
      <c r="J907" s="5" t="n"/>
    </row>
    <row r="908">
      <c r="A908" t="n">
        <v>905</v>
      </c>
      <c r="B908" s="8" t="n"/>
      <c r="C908" s="4" t="n"/>
      <c r="D908" s="4" t="n"/>
      <c r="E908" s="4" t="n"/>
      <c r="F908" s="4" t="n"/>
      <c r="G908" s="5" t="n"/>
      <c r="H908" s="5" t="n"/>
      <c r="I908" s="5" t="n"/>
      <c r="J908" s="5" t="n"/>
    </row>
    <row r="909">
      <c r="A909" t="n">
        <v>906</v>
      </c>
      <c r="B909" s="8" t="n"/>
      <c r="C909" s="4" t="n"/>
      <c r="D909" s="4" t="n"/>
      <c r="E909" s="4" t="n"/>
      <c r="F909" s="4" t="n"/>
      <c r="G909" s="5" t="n"/>
      <c r="H909" s="5" t="n"/>
      <c r="I909" s="5" t="n"/>
      <c r="J909" s="5" t="n"/>
    </row>
    <row r="910">
      <c r="A910" t="n">
        <v>907</v>
      </c>
      <c r="B910" s="8" t="n"/>
      <c r="C910" s="4" t="n"/>
      <c r="D910" s="4" t="n"/>
      <c r="E910" s="4" t="n"/>
      <c r="F910" s="4" t="n"/>
      <c r="G910" s="5" t="n"/>
      <c r="H910" s="5" t="n"/>
      <c r="I910" s="5" t="n"/>
      <c r="J910" s="5" t="n"/>
    </row>
    <row r="911">
      <c r="A911" t="n">
        <v>908</v>
      </c>
      <c r="B911" s="8" t="n"/>
      <c r="C911" s="4" t="n"/>
      <c r="D911" s="4" t="n"/>
      <c r="E911" s="4" t="n"/>
      <c r="F911" s="4" t="n"/>
      <c r="G911" s="5" t="n"/>
      <c r="H911" s="5" t="n"/>
      <c r="I911" s="5" t="n"/>
      <c r="J911" s="5" t="n"/>
    </row>
    <row r="912">
      <c r="A912" t="n">
        <v>909</v>
      </c>
      <c r="B912" s="8" t="n"/>
      <c r="C912" s="4" t="n"/>
      <c r="D912" s="4" t="n"/>
      <c r="E912" s="4" t="n"/>
      <c r="F912" s="4" t="n"/>
      <c r="G912" s="5" t="n"/>
      <c r="H912" s="5" t="n"/>
      <c r="I912" s="5" t="n"/>
      <c r="J912" s="5" t="n"/>
    </row>
    <row r="913">
      <c r="A913" t="n">
        <v>910</v>
      </c>
      <c r="B913" s="8" t="n"/>
      <c r="C913" s="4" t="n"/>
      <c r="D913" s="4" t="n"/>
      <c r="E913" s="4" t="n"/>
      <c r="F913" s="4" t="n"/>
      <c r="G913" s="5" t="n"/>
      <c r="H913" s="5" t="n"/>
      <c r="I913" s="5" t="n"/>
      <c r="J913" s="5" t="n"/>
    </row>
    <row r="914">
      <c r="A914" t="n">
        <v>911</v>
      </c>
      <c r="B914" s="8" t="n"/>
      <c r="C914" s="4" t="n"/>
      <c r="D914" s="4" t="n"/>
      <c r="E914" s="4" t="n"/>
      <c r="F914" s="4" t="n"/>
      <c r="G914" s="5" t="n"/>
      <c r="H914" s="5" t="n"/>
      <c r="I914" s="5" t="n"/>
      <c r="J914" s="5" t="n"/>
    </row>
    <row r="915">
      <c r="A915" t="n">
        <v>912</v>
      </c>
      <c r="B915" s="8" t="n"/>
      <c r="C915" s="4" t="n"/>
      <c r="D915" s="4" t="n"/>
      <c r="E915" s="4" t="n"/>
      <c r="F915" s="4" t="n"/>
      <c r="G915" s="5" t="n"/>
      <c r="H915" s="5" t="n"/>
      <c r="I915" s="5" t="n"/>
      <c r="J915" s="5" t="n"/>
    </row>
    <row r="916">
      <c r="A916" t="n">
        <v>913</v>
      </c>
      <c r="B916" s="8" t="n"/>
      <c r="C916" s="4" t="n"/>
      <c r="D916" s="4" t="n"/>
      <c r="E916" s="4" t="n"/>
      <c r="F916" s="4" t="n"/>
      <c r="G916" s="5" t="n"/>
      <c r="H916" s="5" t="n"/>
      <c r="I916" s="5" t="n"/>
      <c r="J916" s="5" t="n"/>
    </row>
    <row r="917">
      <c r="A917" t="n">
        <v>914</v>
      </c>
      <c r="B917" s="8" t="n"/>
      <c r="C917" s="4" t="n"/>
      <c r="D917" s="4" t="n"/>
      <c r="E917" s="4" t="n"/>
      <c r="F917" s="4" t="n"/>
      <c r="G917" s="5" t="n"/>
      <c r="H917" s="5" t="n"/>
      <c r="I917" s="5" t="n"/>
      <c r="J917" s="5" t="n"/>
    </row>
    <row r="918">
      <c r="A918" t="n">
        <v>915</v>
      </c>
      <c r="B918" s="8" t="n"/>
      <c r="C918" s="4" t="n"/>
      <c r="D918" s="4" t="n"/>
      <c r="E918" s="4" t="n"/>
      <c r="F918" s="4" t="n"/>
      <c r="G918" s="5" t="n"/>
      <c r="H918" s="5" t="n"/>
      <c r="I918" s="5" t="n"/>
      <c r="J918" s="5" t="n"/>
    </row>
    <row r="919">
      <c r="A919" t="n">
        <v>916</v>
      </c>
      <c r="B919" s="8" t="n"/>
      <c r="C919" s="4" t="n"/>
      <c r="D919" s="4" t="n"/>
      <c r="E919" s="4" t="n"/>
      <c r="F919" s="4" t="n"/>
      <c r="G919" s="5" t="n"/>
      <c r="H919" s="5" t="n"/>
      <c r="I919" s="5" t="n"/>
      <c r="J919" s="5" t="n"/>
    </row>
    <row r="920">
      <c r="A920" t="n">
        <v>917</v>
      </c>
      <c r="B920" s="8" t="n"/>
      <c r="C920" s="4" t="n"/>
      <c r="D920" s="4" t="n"/>
      <c r="E920" s="4" t="n"/>
      <c r="F920" s="4" t="n"/>
      <c r="G920" s="5" t="n"/>
      <c r="H920" s="5" t="n"/>
      <c r="I920" s="5" t="n"/>
      <c r="J920" s="5" t="n"/>
    </row>
    <row r="921">
      <c r="A921" t="n">
        <v>918</v>
      </c>
      <c r="B921" s="8" t="n"/>
      <c r="C921" s="4" t="n"/>
      <c r="D921" s="4" t="n"/>
      <c r="E921" s="4" t="n"/>
      <c r="F921" s="4" t="n"/>
      <c r="G921" s="5" t="n"/>
      <c r="H921" s="5" t="n"/>
      <c r="I921" s="5" t="n"/>
      <c r="J921" s="5" t="n"/>
    </row>
    <row r="922">
      <c r="A922" t="n">
        <v>919</v>
      </c>
      <c r="B922" s="8" t="n"/>
      <c r="C922" s="4" t="n"/>
      <c r="D922" s="4" t="n"/>
      <c r="E922" s="4" t="n"/>
      <c r="F922" s="4" t="n"/>
      <c r="G922" s="5" t="n"/>
      <c r="H922" s="5" t="n"/>
      <c r="I922" s="5" t="n"/>
      <c r="J922" s="5" t="n"/>
    </row>
    <row r="923">
      <c r="A923" t="n">
        <v>920</v>
      </c>
      <c r="B923" s="8" t="n"/>
      <c r="C923" s="4" t="n"/>
      <c r="D923" s="4" t="n"/>
      <c r="E923" s="4" t="n"/>
      <c r="F923" s="4" t="n"/>
      <c r="G923" s="5" t="n"/>
      <c r="H923" s="5" t="n"/>
      <c r="I923" s="5" t="n"/>
      <c r="J923" s="5" t="n"/>
    </row>
    <row r="924">
      <c r="A924" t="n">
        <v>921</v>
      </c>
      <c r="B924" s="8" t="n"/>
      <c r="C924" s="4" t="n"/>
      <c r="D924" s="4" t="n"/>
      <c r="E924" s="4" t="n"/>
      <c r="F924" s="4" t="n"/>
      <c r="G924" s="5" t="n"/>
      <c r="H924" s="5" t="n"/>
      <c r="I924" s="5" t="n"/>
      <c r="J924" s="5" t="n"/>
    </row>
    <row r="925">
      <c r="A925" t="n">
        <v>922</v>
      </c>
      <c r="B925" s="8" t="n"/>
      <c r="C925" s="4" t="n"/>
      <c r="D925" s="4" t="n"/>
      <c r="E925" s="4" t="n"/>
      <c r="F925" s="4" t="n"/>
      <c r="G925" s="5" t="n"/>
      <c r="H925" s="5" t="n"/>
      <c r="I925" s="5" t="n"/>
      <c r="J925" s="5" t="n"/>
    </row>
    <row r="926">
      <c r="A926" t="n">
        <v>923</v>
      </c>
      <c r="B926" s="8" t="n"/>
      <c r="C926" s="4" t="n"/>
      <c r="D926" s="4" t="n"/>
      <c r="E926" s="4" t="n"/>
      <c r="F926" s="4" t="n"/>
      <c r="G926" s="5" t="n"/>
      <c r="H926" s="5" t="n"/>
      <c r="I926" s="5" t="n"/>
      <c r="J926" s="5" t="n"/>
    </row>
    <row r="927">
      <c r="A927" t="n">
        <v>924</v>
      </c>
      <c r="B927" s="8" t="n"/>
      <c r="C927" s="4" t="n"/>
      <c r="D927" s="4" t="n"/>
      <c r="E927" s="4" t="n"/>
      <c r="F927" s="4" t="n"/>
      <c r="G927" s="5" t="n"/>
      <c r="H927" s="5" t="n"/>
      <c r="I927" s="5" t="n"/>
      <c r="J927" s="5" t="n"/>
    </row>
    <row r="928">
      <c r="A928" t="n">
        <v>925</v>
      </c>
      <c r="B928" s="8" t="n"/>
      <c r="C928" s="4" t="n"/>
      <c r="D928" s="4" t="n"/>
      <c r="E928" s="4" t="n"/>
      <c r="F928" s="4" t="n"/>
      <c r="G928" s="5" t="n"/>
      <c r="H928" s="5" t="n"/>
      <c r="I928" s="5" t="n"/>
      <c r="J928" s="5" t="n"/>
    </row>
    <row r="929">
      <c r="A929" t="n">
        <v>926</v>
      </c>
      <c r="B929" s="8" t="n"/>
      <c r="C929" s="4" t="n"/>
      <c r="D929" s="4" t="n"/>
      <c r="E929" s="4" t="n"/>
      <c r="F929" s="4" t="n"/>
      <c r="G929" s="5" t="n"/>
      <c r="H929" s="5" t="n"/>
      <c r="I929" s="5" t="n"/>
      <c r="J929" s="5" t="n"/>
    </row>
    <row r="930">
      <c r="A930" t="n">
        <v>927</v>
      </c>
      <c r="B930" s="8" t="n"/>
      <c r="C930" s="4" t="n"/>
      <c r="D930" s="4" t="n"/>
      <c r="E930" s="4" t="n"/>
      <c r="F930" s="4" t="n"/>
      <c r="G930" s="5" t="n"/>
      <c r="H930" s="5" t="n"/>
      <c r="I930" s="5" t="n"/>
      <c r="J930" s="5" t="n"/>
    </row>
    <row r="931">
      <c r="A931" t="n">
        <v>928</v>
      </c>
      <c r="B931" s="8" t="n"/>
      <c r="C931" s="4" t="n"/>
      <c r="D931" s="4" t="n"/>
      <c r="E931" s="4" t="n"/>
      <c r="F931" s="4" t="n"/>
      <c r="G931" s="5" t="n"/>
      <c r="H931" s="5" t="n"/>
      <c r="I931" s="5" t="n"/>
      <c r="J931" s="5" t="n"/>
    </row>
    <row r="932">
      <c r="A932" t="n">
        <v>929</v>
      </c>
      <c r="B932" s="8" t="n"/>
      <c r="C932" s="4" t="n"/>
      <c r="D932" s="4" t="n"/>
      <c r="E932" s="4" t="n"/>
      <c r="F932" s="4" t="n"/>
      <c r="G932" s="5" t="n"/>
      <c r="H932" s="5" t="n"/>
      <c r="I932" s="5" t="n"/>
      <c r="J932" s="5" t="n"/>
    </row>
    <row r="933">
      <c r="A933" t="n">
        <v>930</v>
      </c>
      <c r="B933" s="8" t="n"/>
      <c r="C933" s="4" t="n"/>
      <c r="D933" s="4" t="n"/>
      <c r="E933" s="4" t="n"/>
      <c r="F933" s="4" t="n"/>
      <c r="G933" s="5" t="n"/>
      <c r="H933" s="5" t="n"/>
      <c r="I933" s="5" t="n"/>
      <c r="J933" s="5" t="n"/>
    </row>
    <row r="934">
      <c r="A934" t="n">
        <v>931</v>
      </c>
      <c r="B934" s="8" t="n"/>
      <c r="C934" s="4" t="n"/>
      <c r="D934" s="4" t="n"/>
      <c r="E934" s="4" t="n"/>
      <c r="F934" s="4" t="n"/>
      <c r="G934" s="5" t="n"/>
      <c r="H934" s="5" t="n"/>
      <c r="I934" s="5" t="n"/>
      <c r="J934" s="5" t="n"/>
    </row>
    <row r="935">
      <c r="A935" t="n">
        <v>932</v>
      </c>
      <c r="B935" s="8" t="n"/>
      <c r="C935" s="4" t="n"/>
      <c r="D935" s="4" t="n"/>
      <c r="E935" s="4" t="n"/>
      <c r="F935" s="4" t="n"/>
      <c r="G935" s="5" t="n"/>
      <c r="H935" s="5" t="n"/>
      <c r="I935" s="5" t="n"/>
      <c r="J935" s="5" t="n"/>
    </row>
    <row r="936">
      <c r="A936" t="n">
        <v>933</v>
      </c>
      <c r="B936" s="8" t="n"/>
      <c r="C936" s="4" t="n"/>
      <c r="D936" s="4" t="n"/>
      <c r="E936" s="4" t="n"/>
      <c r="F936" s="4" t="n"/>
      <c r="G936" s="5" t="n"/>
      <c r="H936" s="5" t="n"/>
      <c r="I936" s="5" t="n"/>
      <c r="J936" s="5" t="n"/>
    </row>
    <row r="937">
      <c r="A937" t="n">
        <v>934</v>
      </c>
      <c r="B937" s="8" t="n"/>
      <c r="C937" s="4" t="n"/>
      <c r="D937" s="4" t="n"/>
      <c r="E937" s="4" t="n"/>
      <c r="F937" s="4" t="n"/>
      <c r="G937" s="5" t="n"/>
      <c r="H937" s="5" t="n"/>
      <c r="I937" s="5" t="n"/>
      <c r="J937" s="5" t="n"/>
    </row>
    <row r="938">
      <c r="A938" t="n">
        <v>935</v>
      </c>
      <c r="B938" s="8" t="n"/>
      <c r="C938" s="4" t="n"/>
      <c r="D938" s="4" t="n"/>
      <c r="E938" s="4" t="n"/>
      <c r="F938" s="4" t="n"/>
      <c r="G938" s="5" t="n"/>
      <c r="H938" s="5" t="n"/>
      <c r="I938" s="5" t="n"/>
      <c r="J938" s="5" t="n"/>
    </row>
    <row r="939">
      <c r="A939" t="n">
        <v>936</v>
      </c>
      <c r="B939" s="8" t="n"/>
      <c r="C939" s="4" t="n"/>
      <c r="D939" s="4" t="n"/>
      <c r="E939" s="4" t="n"/>
      <c r="F939" s="4" t="n"/>
      <c r="G939" s="5" t="n"/>
      <c r="H939" s="5" t="n"/>
      <c r="I939" s="5" t="n"/>
      <c r="J939" s="5" t="n"/>
    </row>
    <row r="940">
      <c r="A940" t="n">
        <v>937</v>
      </c>
      <c r="B940" s="8" t="n"/>
      <c r="C940" s="4" t="n"/>
      <c r="D940" s="4" t="n"/>
      <c r="E940" s="4" t="n"/>
      <c r="F940" s="4" t="n"/>
      <c r="G940" s="5" t="n"/>
      <c r="H940" s="5" t="n"/>
      <c r="I940" s="5" t="n"/>
      <c r="J940" s="5" t="n"/>
    </row>
    <row r="941">
      <c r="A941" t="n">
        <v>938</v>
      </c>
      <c r="B941" s="8" t="n"/>
      <c r="C941" s="4" t="n"/>
      <c r="D941" s="4" t="n"/>
      <c r="E941" s="4" t="n"/>
      <c r="F941" s="4" t="n"/>
      <c r="G941" s="5" t="n"/>
      <c r="H941" s="5" t="n"/>
      <c r="I941" s="5" t="n"/>
      <c r="J941" s="5" t="n"/>
    </row>
    <row r="942">
      <c r="A942" t="n">
        <v>939</v>
      </c>
      <c r="B942" s="8" t="n"/>
      <c r="C942" s="4" t="n"/>
      <c r="D942" s="4" t="n"/>
      <c r="E942" s="4" t="n"/>
      <c r="F942" s="4" t="n"/>
      <c r="G942" s="5" t="n"/>
      <c r="H942" s="5" t="n"/>
      <c r="I942" s="5" t="n"/>
      <c r="J942" s="5" t="n"/>
    </row>
    <row r="943">
      <c r="A943" t="n">
        <v>940</v>
      </c>
      <c r="B943" s="8" t="n"/>
      <c r="C943" s="4" t="n"/>
      <c r="D943" s="4" t="n"/>
      <c r="E943" s="4" t="n"/>
      <c r="F943" s="4" t="n"/>
      <c r="G943" s="5" t="n"/>
      <c r="H943" s="5" t="n"/>
      <c r="I943" s="5" t="n"/>
      <c r="J943" s="5" t="n"/>
    </row>
    <row r="944">
      <c r="A944" t="n">
        <v>941</v>
      </c>
      <c r="B944" s="8" t="n"/>
      <c r="C944" s="4" t="n"/>
      <c r="D944" s="4" t="n"/>
      <c r="E944" s="4" t="n"/>
      <c r="F944" s="4" t="n"/>
      <c r="G944" s="5" t="n"/>
      <c r="H944" s="5" t="n"/>
      <c r="I944" s="5" t="n"/>
      <c r="J944" s="5" t="n"/>
    </row>
    <row r="945">
      <c r="A945" t="n">
        <v>942</v>
      </c>
      <c r="B945" s="8" t="n"/>
      <c r="C945" s="4" t="n"/>
      <c r="D945" s="4" t="n"/>
      <c r="E945" s="4" t="n"/>
      <c r="F945" s="4" t="n"/>
      <c r="G945" s="5" t="n"/>
      <c r="H945" s="5" t="n"/>
      <c r="I945" s="5" t="n"/>
      <c r="J945" s="5" t="n"/>
    </row>
    <row r="946">
      <c r="A946" t="n">
        <v>943</v>
      </c>
      <c r="B946" s="8" t="n"/>
      <c r="C946" s="4" t="n"/>
      <c r="D946" s="4" t="n"/>
      <c r="E946" s="4" t="n"/>
      <c r="F946" s="4" t="n"/>
      <c r="G946" s="5" t="n"/>
      <c r="H946" s="5" t="n"/>
      <c r="I946" s="5" t="n"/>
      <c r="J946" s="5" t="n"/>
    </row>
    <row r="947">
      <c r="A947" t="n">
        <v>944</v>
      </c>
      <c r="B947" s="8" t="n"/>
      <c r="C947" s="4" t="n"/>
      <c r="D947" s="4" t="n"/>
      <c r="E947" s="4" t="n"/>
      <c r="F947" s="4" t="n"/>
      <c r="G947" s="5" t="n"/>
      <c r="H947" s="5" t="n"/>
      <c r="I947" s="5" t="n"/>
      <c r="J947" s="5" t="n"/>
    </row>
    <row r="948">
      <c r="A948" t="n">
        <v>945</v>
      </c>
      <c r="B948" s="8" t="n"/>
      <c r="C948" s="4" t="n"/>
      <c r="D948" s="4" t="n"/>
      <c r="E948" s="4" t="n"/>
      <c r="F948" s="4" t="n"/>
      <c r="G948" s="5" t="n"/>
      <c r="H948" s="5" t="n"/>
      <c r="I948" s="5" t="n"/>
      <c r="J948" s="5" t="n"/>
    </row>
    <row r="949">
      <c r="A949" t="n">
        <v>946</v>
      </c>
      <c r="B949" s="8" t="n"/>
      <c r="C949" s="4" t="n"/>
      <c r="D949" s="4" t="n"/>
      <c r="E949" s="4" t="n"/>
      <c r="F949" s="4" t="n"/>
      <c r="G949" s="5" t="n"/>
      <c r="H949" s="5" t="n"/>
      <c r="I949" s="5" t="n"/>
      <c r="J949" s="5" t="n"/>
    </row>
    <row r="950">
      <c r="A950" t="n">
        <v>947</v>
      </c>
      <c r="B950" s="8" t="n"/>
      <c r="C950" s="4" t="n"/>
      <c r="D950" s="4" t="n"/>
      <c r="E950" s="4" t="n"/>
      <c r="F950" s="4" t="n"/>
      <c r="G950" s="5" t="n"/>
      <c r="H950" s="5" t="n"/>
      <c r="I950" s="5" t="n"/>
      <c r="J950" s="5" t="n"/>
    </row>
    <row r="951">
      <c r="A951" t="n">
        <v>948</v>
      </c>
      <c r="B951" s="8" t="n"/>
      <c r="C951" s="4" t="n"/>
      <c r="D951" s="4" t="n"/>
      <c r="E951" s="4" t="n"/>
      <c r="F951" s="4" t="n"/>
      <c r="G951" s="5" t="n"/>
      <c r="H951" s="5" t="n"/>
      <c r="I951" s="5" t="n"/>
      <c r="J951" s="5" t="n"/>
    </row>
    <row r="952">
      <c r="A952" t="n">
        <v>949</v>
      </c>
      <c r="B952" s="8" t="n"/>
      <c r="C952" s="4" t="n"/>
      <c r="D952" s="4" t="n"/>
      <c r="E952" s="4" t="n"/>
      <c r="F952" s="4" t="n"/>
      <c r="G952" s="5" t="n"/>
      <c r="H952" s="5" t="n"/>
      <c r="I952" s="5" t="n"/>
      <c r="J952" s="5" t="n"/>
    </row>
    <row r="953">
      <c r="A953" t="n">
        <v>950</v>
      </c>
      <c r="B953" s="8" t="n"/>
      <c r="C953" s="4" t="n"/>
      <c r="D953" s="4" t="n"/>
      <c r="E953" s="4" t="n"/>
      <c r="F953" s="4" t="n"/>
      <c r="G953" s="5" t="n"/>
      <c r="H953" s="5" t="n"/>
      <c r="I953" s="5" t="n"/>
      <c r="J953" s="5" t="n"/>
    </row>
    <row r="954">
      <c r="A954" t="n">
        <v>951</v>
      </c>
      <c r="B954" s="8" t="n"/>
      <c r="C954" s="4" t="n"/>
      <c r="D954" s="4" t="n"/>
      <c r="E954" s="4" t="n"/>
      <c r="F954" s="4" t="n"/>
      <c r="G954" s="5" t="n"/>
      <c r="H954" s="5" t="n"/>
      <c r="I954" s="5" t="n"/>
      <c r="J954" s="5" t="n"/>
    </row>
    <row r="955">
      <c r="A955" t="n">
        <v>952</v>
      </c>
      <c r="B955" s="8" t="n"/>
      <c r="C955" s="4" t="n"/>
      <c r="D955" s="4" t="n"/>
      <c r="E955" s="4" t="n"/>
      <c r="F955" s="4" t="n"/>
      <c r="G955" s="5" t="n"/>
      <c r="H955" s="5" t="n"/>
      <c r="I955" s="5" t="n"/>
      <c r="J955" s="5" t="n"/>
    </row>
    <row r="956">
      <c r="A956" t="n">
        <v>953</v>
      </c>
      <c r="B956" s="8" t="n"/>
      <c r="C956" s="4" t="n"/>
      <c r="D956" s="4" t="n"/>
      <c r="E956" s="4" t="n"/>
      <c r="F956" s="4" t="n"/>
      <c r="G956" s="5" t="n"/>
      <c r="H956" s="5" t="n"/>
      <c r="I956" s="5" t="n"/>
      <c r="J956" s="5" t="n"/>
    </row>
    <row r="957">
      <c r="A957" t="n">
        <v>954</v>
      </c>
      <c r="B957" s="8" t="n"/>
      <c r="C957" s="4" t="n"/>
      <c r="D957" s="4" t="n"/>
      <c r="E957" s="4" t="n"/>
      <c r="F957" s="4" t="n"/>
      <c r="G957" s="5" t="n"/>
      <c r="H957" s="5" t="n"/>
      <c r="I957" s="5" t="n"/>
      <c r="J957" s="5" t="n"/>
    </row>
    <row r="958">
      <c r="A958" t="n">
        <v>955</v>
      </c>
      <c r="B958" s="8" t="n"/>
      <c r="C958" s="4" t="n"/>
      <c r="D958" s="4" t="n"/>
      <c r="E958" s="4" t="n"/>
      <c r="F958" s="4" t="n"/>
      <c r="G958" s="5" t="n"/>
      <c r="H958" s="5" t="n"/>
      <c r="I958" s="5" t="n"/>
      <c r="J958" s="5" t="n"/>
    </row>
    <row r="959">
      <c r="A959" t="n">
        <v>956</v>
      </c>
      <c r="B959" s="8" t="n"/>
      <c r="C959" s="4" t="n"/>
      <c r="D959" s="4" t="n"/>
      <c r="E959" s="4" t="n"/>
      <c r="F959" s="4" t="n"/>
      <c r="G959" s="5" t="n"/>
      <c r="H959" s="5" t="n"/>
      <c r="I959" s="5" t="n"/>
      <c r="J959" s="5" t="n"/>
    </row>
    <row r="960">
      <c r="A960" t="n">
        <v>957</v>
      </c>
      <c r="B960" s="8" t="n"/>
      <c r="C960" s="4" t="n"/>
      <c r="D960" s="4" t="n"/>
      <c r="E960" s="4" t="n"/>
      <c r="F960" s="4" t="n"/>
      <c r="G960" s="5" t="n"/>
      <c r="H960" s="5" t="n"/>
      <c r="I960" s="5" t="n"/>
      <c r="J960" s="5" t="n"/>
    </row>
    <row r="961">
      <c r="A961" t="n">
        <v>958</v>
      </c>
      <c r="B961" s="8" t="n"/>
      <c r="C961" s="4" t="n"/>
      <c r="D961" s="4" t="n"/>
      <c r="E961" s="4" t="n"/>
      <c r="F961" s="4" t="n"/>
      <c r="G961" s="5" t="n"/>
      <c r="H961" s="5" t="n"/>
      <c r="I961" s="5" t="n"/>
      <c r="J961" s="5" t="n"/>
    </row>
    <row r="962">
      <c r="A962" t="n">
        <v>959</v>
      </c>
      <c r="B962" s="8" t="n"/>
      <c r="C962" s="4" t="n"/>
      <c r="D962" s="4" t="n"/>
      <c r="E962" s="4" t="n"/>
      <c r="F962" s="4" t="n"/>
      <c r="G962" s="5" t="n"/>
      <c r="H962" s="5" t="n"/>
      <c r="I962" s="5" t="n"/>
      <c r="J962" s="5" t="n"/>
    </row>
    <row r="963">
      <c r="A963" t="n">
        <v>960</v>
      </c>
      <c r="B963" s="8" t="n"/>
      <c r="C963" s="4" t="n"/>
      <c r="D963" s="4" t="n"/>
      <c r="E963" s="4" t="n"/>
      <c r="F963" s="4" t="n"/>
      <c r="G963" s="5" t="n"/>
      <c r="H963" s="5" t="n"/>
      <c r="I963" s="5" t="n"/>
      <c r="J963" s="5" t="n"/>
    </row>
    <row r="964">
      <c r="A964" t="n">
        <v>961</v>
      </c>
      <c r="B964" s="8" t="n"/>
      <c r="C964" s="4" t="n"/>
      <c r="D964" s="4" t="n"/>
      <c r="E964" s="4" t="n"/>
      <c r="F964" s="4" t="n"/>
      <c r="G964" s="5" t="n"/>
      <c r="H964" s="5" t="n"/>
      <c r="I964" s="5" t="n"/>
      <c r="J964" s="5" t="n"/>
    </row>
    <row r="965">
      <c r="A965" t="n">
        <v>962</v>
      </c>
      <c r="B965" s="8" t="n"/>
      <c r="C965" s="4" t="n"/>
      <c r="D965" s="4" t="n"/>
      <c r="E965" s="4" t="n"/>
      <c r="F965" s="4" t="n"/>
      <c r="G965" s="5" t="n"/>
      <c r="H965" s="5" t="n"/>
      <c r="I965" s="5" t="n"/>
      <c r="J965" s="5" t="n"/>
    </row>
    <row r="966">
      <c r="A966" t="n">
        <v>963</v>
      </c>
      <c r="B966" s="8" t="n"/>
      <c r="C966" s="4" t="n"/>
      <c r="D966" s="4" t="n"/>
      <c r="E966" s="4" t="n"/>
      <c r="F966" s="4" t="n"/>
      <c r="G966" s="5" t="n"/>
      <c r="H966" s="5" t="n"/>
      <c r="I966" s="5" t="n"/>
      <c r="J966" s="5" t="n"/>
    </row>
    <row r="967">
      <c r="A967" t="n">
        <v>964</v>
      </c>
      <c r="B967" s="8" t="n"/>
      <c r="C967" s="4" t="n"/>
      <c r="D967" s="4" t="n"/>
      <c r="E967" s="4" t="n"/>
      <c r="F967" s="4" t="n"/>
      <c r="G967" s="5" t="n"/>
      <c r="H967" s="5" t="n"/>
      <c r="I967" s="5" t="n"/>
      <c r="J967" s="5" t="n"/>
    </row>
    <row r="968">
      <c r="A968" t="n">
        <v>965</v>
      </c>
      <c r="B968" s="8" t="n"/>
      <c r="C968" s="4" t="n"/>
      <c r="D968" s="4" t="n"/>
      <c r="E968" s="4" t="n"/>
      <c r="F968" s="4" t="n"/>
      <c r="G968" s="5" t="n"/>
      <c r="H968" s="5" t="n"/>
      <c r="I968" s="5" t="n"/>
      <c r="J968" s="5" t="n"/>
    </row>
    <row r="969">
      <c r="A969" t="n">
        <v>966</v>
      </c>
      <c r="B969" s="8" t="n"/>
      <c r="C969" s="4" t="n"/>
      <c r="D969" s="4" t="n"/>
      <c r="E969" s="4" t="n"/>
      <c r="F969" s="4" t="n"/>
      <c r="G969" s="5" t="n"/>
      <c r="H969" s="5" t="n"/>
      <c r="I969" s="5" t="n"/>
      <c r="J969" s="5" t="n"/>
    </row>
    <row r="970">
      <c r="A970" t="n">
        <v>967</v>
      </c>
      <c r="B970" s="8" t="n"/>
      <c r="C970" s="4" t="n"/>
      <c r="D970" s="4" t="n"/>
      <c r="E970" s="4" t="n"/>
      <c r="F970" s="4" t="n"/>
      <c r="G970" s="5" t="n"/>
      <c r="H970" s="5" t="n"/>
      <c r="I970" s="5" t="n"/>
      <c r="J970" s="5" t="n"/>
    </row>
    <row r="971">
      <c r="A971" t="n">
        <v>968</v>
      </c>
      <c r="B971" s="8" t="n"/>
      <c r="C971" s="4" t="n"/>
      <c r="D971" s="4" t="n"/>
      <c r="E971" s="4" t="n"/>
      <c r="F971" s="4" t="n"/>
      <c r="G971" s="5" t="n"/>
      <c r="H971" s="5" t="n"/>
      <c r="I971" s="5" t="n"/>
      <c r="J971" s="5" t="n"/>
    </row>
    <row r="972">
      <c r="A972" t="n">
        <v>969</v>
      </c>
      <c r="B972" s="8" t="n"/>
      <c r="C972" s="4" t="n"/>
      <c r="D972" s="4" t="n"/>
      <c r="E972" s="4" t="n"/>
      <c r="F972" s="4" t="n"/>
      <c r="G972" s="5" t="n"/>
      <c r="H972" s="5" t="n"/>
      <c r="I972" s="5" t="n"/>
      <c r="J972" s="5" t="n"/>
    </row>
    <row r="973">
      <c r="A973" t="n">
        <v>970</v>
      </c>
      <c r="B973" s="8" t="n"/>
      <c r="C973" s="4" t="n"/>
      <c r="D973" s="4" t="n"/>
      <c r="E973" s="4" t="n"/>
      <c r="F973" s="4" t="n"/>
      <c r="G973" s="5" t="n"/>
      <c r="H973" s="5" t="n"/>
      <c r="I973" s="5" t="n"/>
      <c r="J973" s="5" t="n"/>
    </row>
    <row r="974">
      <c r="A974" t="n">
        <v>971</v>
      </c>
      <c r="B974" s="8" t="n"/>
      <c r="C974" s="4" t="n"/>
      <c r="D974" s="4" t="n"/>
      <c r="E974" s="4" t="n"/>
      <c r="F974" s="4" t="n"/>
      <c r="G974" s="5" t="n"/>
      <c r="H974" s="5" t="n"/>
      <c r="I974" s="5" t="n"/>
      <c r="J974" s="5" t="n"/>
    </row>
    <row r="975">
      <c r="A975" t="n">
        <v>972</v>
      </c>
      <c r="B975" s="8" t="n"/>
      <c r="C975" s="4" t="n"/>
      <c r="D975" s="4" t="n"/>
      <c r="E975" s="4" t="n"/>
      <c r="F975" s="4" t="n"/>
      <c r="G975" s="5" t="n"/>
      <c r="H975" s="5" t="n"/>
      <c r="I975" s="5" t="n"/>
      <c r="J975" s="5" t="n"/>
    </row>
    <row r="976">
      <c r="A976" t="n">
        <v>973</v>
      </c>
      <c r="B976" s="8" t="n"/>
      <c r="C976" s="4" t="n"/>
      <c r="D976" s="4" t="n"/>
      <c r="E976" s="4" t="n"/>
      <c r="F976" s="4" t="n"/>
      <c r="G976" s="5" t="n"/>
      <c r="H976" s="5" t="n"/>
      <c r="I976" s="5" t="n"/>
      <c r="J976" s="5" t="n"/>
    </row>
    <row r="977">
      <c r="A977" t="n">
        <v>974</v>
      </c>
      <c r="B977" s="8" t="n"/>
      <c r="C977" s="4" t="n"/>
      <c r="D977" s="4" t="n"/>
      <c r="E977" s="4" t="n"/>
      <c r="F977" s="4" t="n"/>
      <c r="G977" s="5" t="n"/>
      <c r="H977" s="5" t="n"/>
      <c r="I977" s="5" t="n"/>
      <c r="J977" s="5" t="n"/>
    </row>
    <row r="978">
      <c r="A978" t="n">
        <v>975</v>
      </c>
      <c r="B978" s="8" t="n"/>
      <c r="C978" s="4" t="n"/>
      <c r="D978" s="4" t="n"/>
      <c r="E978" s="4" t="n"/>
      <c r="F978" s="4" t="n"/>
      <c r="G978" s="5" t="n"/>
      <c r="H978" s="5" t="n"/>
      <c r="I978" s="5" t="n"/>
      <c r="J978" s="5" t="n"/>
    </row>
    <row r="979">
      <c r="A979" t="n">
        <v>976</v>
      </c>
      <c r="B979" s="8" t="n"/>
      <c r="C979" s="4" t="n"/>
      <c r="D979" s="4" t="n"/>
      <c r="E979" s="4" t="n"/>
      <c r="F979" s="4" t="n"/>
      <c r="G979" s="5" t="n"/>
      <c r="H979" s="5" t="n"/>
      <c r="I979" s="5" t="n"/>
      <c r="J979" s="5" t="n"/>
    </row>
    <row r="980">
      <c r="A980" t="n">
        <v>977</v>
      </c>
      <c r="B980" s="8" t="n"/>
      <c r="C980" s="4" t="n"/>
      <c r="D980" s="4" t="n"/>
      <c r="E980" s="4" t="n"/>
      <c r="F980" s="4" t="n"/>
      <c r="G980" s="5" t="n"/>
      <c r="H980" s="5" t="n"/>
      <c r="I980" s="5" t="n"/>
      <c r="J980" s="5" t="n"/>
    </row>
    <row r="981">
      <c r="A981" t="n">
        <v>978</v>
      </c>
      <c r="B981" s="8" t="n"/>
      <c r="C981" s="4" t="n"/>
      <c r="D981" s="4" t="n"/>
      <c r="E981" s="4" t="n"/>
      <c r="F981" s="4" t="n"/>
      <c r="G981" s="5" t="n"/>
      <c r="H981" s="5" t="n"/>
      <c r="I981" s="5" t="n"/>
      <c r="J981" s="5" t="n"/>
    </row>
    <row r="982">
      <c r="A982" t="n">
        <v>979</v>
      </c>
      <c r="B982" s="8" t="n"/>
      <c r="C982" s="4" t="n"/>
      <c r="D982" s="4" t="n"/>
      <c r="E982" s="4" t="n"/>
      <c r="F982" s="4" t="n"/>
      <c r="G982" s="5" t="n"/>
      <c r="H982" s="5" t="n"/>
      <c r="I982" s="5" t="n"/>
      <c r="J982" s="5" t="n"/>
    </row>
    <row r="983">
      <c r="A983" t="n">
        <v>980</v>
      </c>
      <c r="B983" s="8" t="n"/>
      <c r="C983" s="4" t="n"/>
      <c r="D983" s="4" t="n"/>
      <c r="E983" s="4" t="n"/>
      <c r="F983" s="4" t="n"/>
      <c r="G983" s="5" t="n"/>
      <c r="H983" s="5" t="n"/>
      <c r="I983" s="5" t="n"/>
      <c r="J983" s="5" t="n"/>
    </row>
    <row r="984">
      <c r="A984" t="n">
        <v>981</v>
      </c>
      <c r="B984" s="8" t="n"/>
      <c r="C984" s="4" t="n"/>
      <c r="D984" s="4" t="n"/>
      <c r="E984" s="4" t="n"/>
      <c r="F984" s="4" t="n"/>
      <c r="G984" s="5" t="n"/>
      <c r="H984" s="5" t="n"/>
      <c r="I984" s="5" t="n"/>
      <c r="J984" s="5" t="n"/>
    </row>
    <row r="985">
      <c r="A985" t="n">
        <v>982</v>
      </c>
      <c r="B985" s="8" t="n"/>
      <c r="C985" s="4" t="n"/>
      <c r="D985" s="4" t="n"/>
      <c r="E985" s="4" t="n"/>
      <c r="F985" s="4" t="n"/>
      <c r="G985" s="5" t="n"/>
      <c r="H985" s="5" t="n"/>
      <c r="I985" s="5" t="n"/>
      <c r="J985" s="5" t="n"/>
    </row>
    <row r="986">
      <c r="A986" t="n">
        <v>983</v>
      </c>
      <c r="B986" s="8" t="n"/>
      <c r="C986" s="4" t="n"/>
      <c r="D986" s="4" t="n"/>
      <c r="E986" s="4" t="n"/>
      <c r="F986" s="4" t="n"/>
      <c r="G986" s="5" t="n"/>
      <c r="H986" s="5" t="n"/>
      <c r="I986" s="5" t="n"/>
      <c r="J986" s="5" t="n"/>
    </row>
    <row r="987">
      <c r="A987" t="n">
        <v>984</v>
      </c>
      <c r="B987" s="8" t="n"/>
      <c r="C987" s="4" t="n"/>
      <c r="D987" s="4" t="n"/>
      <c r="E987" s="4" t="n"/>
      <c r="F987" s="4" t="n"/>
      <c r="G987" s="5" t="n"/>
      <c r="H987" s="5" t="n"/>
      <c r="I987" s="5" t="n"/>
      <c r="J987" s="5" t="n"/>
    </row>
    <row r="988">
      <c r="A988" t="n">
        <v>985</v>
      </c>
      <c r="B988" s="8" t="n"/>
      <c r="C988" s="4" t="n"/>
      <c r="D988" s="4" t="n"/>
      <c r="E988" s="4" t="n"/>
      <c r="F988" s="4" t="n"/>
      <c r="G988" s="5" t="n"/>
      <c r="H988" s="5" t="n"/>
      <c r="I988" s="5" t="n"/>
      <c r="J988" s="5" t="n"/>
    </row>
    <row r="989">
      <c r="A989" t="n">
        <v>986</v>
      </c>
      <c r="B989" s="8" t="n"/>
      <c r="C989" s="4" t="n"/>
      <c r="D989" s="4" t="n"/>
      <c r="E989" s="4" t="n"/>
      <c r="F989" s="4" t="n"/>
      <c r="G989" s="5" t="n"/>
      <c r="H989" s="5" t="n"/>
      <c r="I989" s="5" t="n"/>
      <c r="J989" s="5" t="n"/>
    </row>
    <row r="990">
      <c r="A990" t="n">
        <v>987</v>
      </c>
      <c r="B990" s="8" t="n"/>
      <c r="C990" s="4" t="n"/>
      <c r="D990" s="4" t="n"/>
      <c r="E990" s="4" t="n"/>
      <c r="F990" s="4" t="n"/>
      <c r="G990" s="5" t="n"/>
      <c r="H990" s="5" t="n"/>
      <c r="I990" s="5" t="n"/>
      <c r="J990" s="5" t="n"/>
    </row>
    <row r="991">
      <c r="A991" t="n">
        <v>988</v>
      </c>
      <c r="B991" s="8" t="n"/>
      <c r="C991" s="4" t="n"/>
      <c r="D991" s="4" t="n"/>
      <c r="E991" s="4" t="n"/>
      <c r="F991" s="4" t="n"/>
      <c r="G991" s="5" t="n"/>
      <c r="H991" s="5" t="n"/>
      <c r="I991" s="5" t="n"/>
      <c r="J991" s="5" t="n"/>
    </row>
    <row r="992">
      <c r="A992" t="n">
        <v>989</v>
      </c>
      <c r="B992" s="8" t="n"/>
      <c r="C992" s="4" t="n"/>
      <c r="D992" s="4" t="n"/>
      <c r="E992" s="4" t="n"/>
      <c r="F992" s="4" t="n"/>
      <c r="G992" s="5" t="n"/>
      <c r="H992" s="5" t="n"/>
      <c r="I992" s="5" t="n"/>
      <c r="J992" s="5" t="n"/>
    </row>
    <row r="993">
      <c r="A993" t="n">
        <v>990</v>
      </c>
      <c r="B993" s="8" t="n"/>
      <c r="C993" s="4" t="n"/>
      <c r="D993" s="4" t="n"/>
      <c r="E993" s="4" t="n"/>
      <c r="F993" s="4" t="n"/>
      <c r="G993" s="5" t="n"/>
      <c r="H993" s="5" t="n"/>
      <c r="I993" s="5" t="n"/>
      <c r="J993" s="5" t="n"/>
    </row>
    <row r="994">
      <c r="A994" t="n">
        <v>991</v>
      </c>
      <c r="B994" s="8" t="n"/>
      <c r="C994" s="4" t="n"/>
      <c r="D994" s="4" t="n"/>
      <c r="E994" s="4" t="n"/>
      <c r="F994" s="4" t="n"/>
      <c r="G994" s="5" t="n"/>
      <c r="H994" s="5" t="n"/>
      <c r="I994" s="5" t="n"/>
      <c r="J994" s="5" t="n"/>
    </row>
    <row r="995">
      <c r="A995" t="n">
        <v>992</v>
      </c>
      <c r="B995" s="8" t="n"/>
      <c r="C995" s="4" t="n"/>
      <c r="D995" s="4" t="n"/>
      <c r="E995" s="4" t="n"/>
      <c r="F995" s="4" t="n"/>
      <c r="G995" s="5" t="n"/>
      <c r="H995" s="5" t="n"/>
      <c r="I995" s="5" t="n"/>
      <c r="J995" s="5" t="n"/>
    </row>
    <row r="996">
      <c r="A996" t="n">
        <v>993</v>
      </c>
      <c r="B996" s="8" t="n"/>
      <c r="C996" s="4" t="n"/>
      <c r="D996" s="4" t="n"/>
      <c r="E996" s="4" t="n"/>
      <c r="F996" s="4" t="n"/>
      <c r="G996" s="5" t="n"/>
      <c r="H996" s="5" t="n"/>
      <c r="I996" s="5" t="n"/>
      <c r="J996" s="5" t="n"/>
    </row>
    <row r="997">
      <c r="A997" t="n">
        <v>994</v>
      </c>
      <c r="B997" s="8" t="n"/>
      <c r="C997" s="4" t="n"/>
      <c r="D997" s="4" t="n"/>
      <c r="E997" s="4" t="n"/>
      <c r="F997" s="4" t="n"/>
      <c r="G997" s="5" t="n"/>
      <c r="H997" s="5" t="n"/>
      <c r="I997" s="5" t="n"/>
      <c r="J997" s="5" t="n"/>
    </row>
    <row r="998">
      <c r="A998" t="n">
        <v>995</v>
      </c>
      <c r="B998" s="8" t="n"/>
      <c r="C998" s="4" t="n"/>
      <c r="D998" s="4" t="n"/>
      <c r="E998" s="4" t="n"/>
      <c r="F998" s="4" t="n"/>
      <c r="G998" s="5" t="n"/>
      <c r="H998" s="5" t="n"/>
      <c r="I998" s="5" t="n"/>
      <c r="J998" s="5" t="n"/>
    </row>
    <row r="999">
      <c r="A999" t="n">
        <v>996</v>
      </c>
      <c r="B999" s="8" t="n"/>
      <c r="C999" s="4" t="n"/>
      <c r="D999" s="4" t="n"/>
      <c r="E999" s="4" t="n"/>
      <c r="F999" s="4" t="n"/>
      <c r="G999" s="5" t="n"/>
      <c r="H999" s="5" t="n"/>
      <c r="I999" s="5" t="n"/>
      <c r="J999" s="5" t="n"/>
    </row>
    <row r="1000">
      <c r="A1000" t="n">
        <v>997</v>
      </c>
      <c r="B1000" s="8" t="n"/>
      <c r="C1000" s="4" t="n"/>
      <c r="D1000" s="4" t="n"/>
      <c r="E1000" s="4" t="n"/>
      <c r="F1000" s="4" t="n"/>
      <c r="G1000" s="5" t="n"/>
      <c r="H1000" s="5" t="n"/>
      <c r="I1000" s="5" t="n"/>
      <c r="J1000" s="5" t="n"/>
    </row>
    <row r="1001">
      <c r="A1001" t="n">
        <v>998</v>
      </c>
      <c r="B1001" s="8" t="n"/>
      <c r="C1001" s="4" t="n"/>
      <c r="D1001" s="4" t="n"/>
      <c r="E1001" s="4" t="n"/>
      <c r="F1001" s="4" t="n"/>
      <c r="G1001" s="5" t="n"/>
      <c r="H1001" s="5" t="n"/>
      <c r="I1001" s="5" t="n"/>
      <c r="J1001" s="5" t="n"/>
    </row>
    <row r="1002">
      <c r="A1002" t="n">
        <v>999</v>
      </c>
      <c r="B1002" s="8" t="n"/>
      <c r="C1002" s="4" t="n"/>
      <c r="D1002" s="4" t="n"/>
      <c r="E1002" s="4" t="n"/>
      <c r="F1002" s="4" t="n"/>
      <c r="G1002" s="5" t="n"/>
      <c r="H1002" s="5" t="n"/>
      <c r="I1002" s="5" t="n"/>
      <c r="J1002" s="5" t="n"/>
    </row>
    <row r="1003">
      <c r="A1003" t="n">
        <v>1000</v>
      </c>
      <c r="B1003" s="8" t="n"/>
      <c r="C1003" s="4" t="n"/>
      <c r="D1003" s="4" t="n"/>
      <c r="E1003" s="4" t="n"/>
      <c r="F1003" s="4" t="n"/>
      <c r="G1003" s="5" t="n"/>
      <c r="H1003" s="5" t="n"/>
      <c r="I1003" s="5" t="n"/>
      <c r="J1003" s="5" t="n"/>
    </row>
    <row r="1004">
      <c r="A1004" t="n">
        <v>1001</v>
      </c>
      <c r="B1004" s="8" t="n"/>
      <c r="C1004" s="4" t="n"/>
      <c r="D1004" s="4" t="n"/>
      <c r="E1004" s="4" t="n"/>
      <c r="F1004" s="4" t="n"/>
      <c r="G1004" s="5" t="n"/>
      <c r="H1004" s="5" t="n"/>
      <c r="I1004" s="5" t="n"/>
      <c r="J1004" s="5" t="n"/>
    </row>
    <row r="1005">
      <c r="A1005" t="n">
        <v>1002</v>
      </c>
      <c r="B1005" s="8" t="n"/>
      <c r="C1005" s="4" t="n"/>
      <c r="D1005" s="4" t="n"/>
      <c r="E1005" s="4" t="n"/>
      <c r="F1005" s="4" t="n"/>
      <c r="G1005" s="5" t="n"/>
      <c r="H1005" s="5" t="n"/>
      <c r="I1005" s="5" t="n"/>
      <c r="J1005" s="5" t="n"/>
    </row>
    <row r="1006">
      <c r="A1006" t="n">
        <v>1003</v>
      </c>
      <c r="B1006" s="8" t="n"/>
      <c r="C1006" s="4" t="n"/>
      <c r="D1006" s="4" t="n"/>
      <c r="E1006" s="4" t="n"/>
      <c r="F1006" s="4" t="n"/>
      <c r="G1006" s="5" t="n"/>
      <c r="H1006" s="5" t="n"/>
      <c r="I1006" s="5" t="n"/>
      <c r="J1006" s="5" t="n"/>
    </row>
    <row r="1007">
      <c r="A1007" t="n">
        <v>1004</v>
      </c>
      <c r="B1007" s="8" t="n"/>
      <c r="C1007" s="4" t="n"/>
      <c r="D1007" s="4" t="n"/>
      <c r="E1007" s="4" t="n"/>
      <c r="F1007" s="4" t="n"/>
      <c r="G1007" s="5" t="n"/>
      <c r="H1007" s="5" t="n"/>
      <c r="I1007" s="5" t="n"/>
      <c r="J1007" s="5" t="n"/>
    </row>
    <row r="1008">
      <c r="A1008" t="n">
        <v>1005</v>
      </c>
      <c r="B1008" s="8" t="n"/>
      <c r="C1008" s="4" t="n"/>
      <c r="D1008" s="4" t="n"/>
      <c r="E1008" s="4" t="n"/>
      <c r="F1008" s="4" t="n"/>
      <c r="G1008" s="5" t="n"/>
      <c r="H1008" s="5" t="n"/>
      <c r="I1008" s="5" t="n"/>
      <c r="J1008" s="5" t="n"/>
    </row>
    <row r="1009">
      <c r="A1009" t="n">
        <v>1006</v>
      </c>
      <c r="B1009" s="8" t="n"/>
      <c r="C1009" s="4" t="n"/>
      <c r="D1009" s="4" t="n"/>
      <c r="E1009" s="4" t="n"/>
      <c r="F1009" s="4" t="n"/>
      <c r="G1009" s="5" t="n"/>
      <c r="H1009" s="5" t="n"/>
      <c r="I1009" s="5" t="n"/>
      <c r="J1009" s="5" t="n"/>
    </row>
    <row r="1010">
      <c r="A1010" t="n">
        <v>1007</v>
      </c>
      <c r="B1010" s="8" t="n"/>
      <c r="C1010" s="4" t="n"/>
      <c r="D1010" s="4" t="n"/>
      <c r="E1010" s="4" t="n"/>
      <c r="F1010" s="4" t="n"/>
      <c r="G1010" s="5" t="n"/>
      <c r="H1010" s="5" t="n"/>
      <c r="I1010" s="5" t="n"/>
      <c r="J1010" s="5" t="n"/>
    </row>
    <row r="1011">
      <c r="A1011" t="n">
        <v>1008</v>
      </c>
      <c r="B1011" s="8" t="n"/>
      <c r="C1011" s="4" t="n"/>
      <c r="D1011" s="4" t="n"/>
      <c r="E1011" s="4" t="n"/>
      <c r="F1011" s="4" t="n"/>
      <c r="G1011" s="5" t="n"/>
      <c r="H1011" s="5" t="n"/>
      <c r="I1011" s="5" t="n"/>
      <c r="J1011" s="5" t="n"/>
    </row>
    <row r="1012">
      <c r="A1012" t="n">
        <v>1009</v>
      </c>
      <c r="B1012" s="8" t="n"/>
      <c r="C1012" s="4" t="n"/>
      <c r="D1012" s="4" t="n"/>
      <c r="E1012" s="4" t="n"/>
      <c r="F1012" s="4" t="n"/>
      <c r="G1012" s="5" t="n"/>
      <c r="H1012" s="5" t="n"/>
      <c r="I1012" s="5" t="n"/>
      <c r="J1012" s="5" t="n"/>
    </row>
    <row r="1013">
      <c r="A1013" t="n">
        <v>1010</v>
      </c>
      <c r="B1013" s="8" t="n"/>
      <c r="C1013" s="4" t="n"/>
      <c r="D1013" s="4" t="n"/>
      <c r="E1013" s="4" t="n"/>
      <c r="F1013" s="4" t="n"/>
      <c r="G1013" s="5" t="n"/>
      <c r="H1013" s="5" t="n"/>
      <c r="I1013" s="5" t="n"/>
      <c r="J1013" s="5" t="n"/>
    </row>
    <row r="1014">
      <c r="A1014" t="n">
        <v>1011</v>
      </c>
      <c r="B1014" s="8" t="n"/>
      <c r="C1014" s="4" t="n"/>
      <c r="D1014" s="4" t="n"/>
      <c r="E1014" s="4" t="n"/>
      <c r="F1014" s="4" t="n"/>
      <c r="G1014" s="5" t="n"/>
      <c r="H1014" s="5" t="n"/>
      <c r="I1014" s="5" t="n"/>
      <c r="J1014" s="5" t="n"/>
    </row>
    <row r="1015">
      <c r="A1015" t="n">
        <v>1012</v>
      </c>
      <c r="B1015" s="8" t="n"/>
      <c r="C1015" s="4" t="n"/>
      <c r="D1015" s="4" t="n"/>
      <c r="E1015" s="4" t="n"/>
      <c r="F1015" s="4" t="n"/>
      <c r="G1015" s="5" t="n"/>
      <c r="H1015" s="5" t="n"/>
      <c r="I1015" s="5" t="n"/>
      <c r="J1015" s="5" t="n"/>
    </row>
    <row r="1016">
      <c r="A1016" t="n">
        <v>1013</v>
      </c>
      <c r="B1016" s="8" t="n"/>
      <c r="C1016" s="4" t="n"/>
      <c r="D1016" s="4" t="n"/>
      <c r="E1016" s="4" t="n"/>
      <c r="F1016" s="4" t="n"/>
      <c r="G1016" s="5" t="n"/>
      <c r="H1016" s="5" t="n"/>
      <c r="I1016" s="5" t="n"/>
      <c r="J1016" s="5" t="n"/>
    </row>
    <row r="1017">
      <c r="A1017" t="n">
        <v>1014</v>
      </c>
      <c r="B1017" s="8" t="n"/>
      <c r="C1017" s="4" t="n"/>
      <c r="D1017" s="4" t="n"/>
      <c r="E1017" s="4" t="n"/>
      <c r="F1017" s="4" t="n"/>
      <c r="G1017" s="5" t="n"/>
      <c r="H1017" s="5" t="n"/>
      <c r="I1017" s="5" t="n"/>
      <c r="J1017" s="5" t="n"/>
    </row>
    <row r="1018">
      <c r="A1018" t="n">
        <v>1015</v>
      </c>
      <c r="B1018" s="8" t="n"/>
      <c r="C1018" s="4" t="n"/>
      <c r="D1018" s="4" t="n"/>
      <c r="E1018" s="4" t="n"/>
      <c r="F1018" s="4" t="n"/>
      <c r="G1018" s="5" t="n"/>
      <c r="H1018" s="5" t="n"/>
      <c r="I1018" s="5" t="n"/>
      <c r="J1018" s="5" t="n"/>
    </row>
    <row r="1019">
      <c r="A1019" t="n">
        <v>1016</v>
      </c>
      <c r="B1019" s="8" t="n"/>
      <c r="C1019" s="4" t="n"/>
      <c r="D1019" s="4" t="n"/>
      <c r="E1019" s="4" t="n"/>
      <c r="F1019" s="4" t="n"/>
      <c r="G1019" s="5" t="n"/>
      <c r="H1019" s="5" t="n"/>
      <c r="I1019" s="5" t="n"/>
      <c r="J1019" s="5" t="n"/>
    </row>
    <row r="1020">
      <c r="A1020" t="n">
        <v>1017</v>
      </c>
      <c r="B1020" s="8" t="n"/>
      <c r="C1020" s="4" t="n"/>
      <c r="D1020" s="4" t="n"/>
      <c r="E1020" s="4" t="n"/>
      <c r="F1020" s="4" t="n"/>
      <c r="G1020" s="5" t="n"/>
      <c r="H1020" s="5" t="n"/>
      <c r="I1020" s="5" t="n"/>
      <c r="J1020" s="5" t="n"/>
    </row>
    <row r="1021">
      <c r="A1021" t="n">
        <v>1018</v>
      </c>
      <c r="B1021" s="8" t="n"/>
      <c r="C1021" s="4" t="n"/>
      <c r="D1021" s="4" t="n"/>
      <c r="E1021" s="4" t="n"/>
      <c r="F1021" s="4" t="n"/>
      <c r="G1021" s="5" t="n"/>
      <c r="H1021" s="5" t="n"/>
      <c r="I1021" s="5" t="n"/>
      <c r="J1021" s="5" t="n"/>
    </row>
    <row r="1022">
      <c r="A1022" t="n">
        <v>1019</v>
      </c>
      <c r="B1022" s="8" t="n"/>
      <c r="C1022" s="4" t="n"/>
      <c r="D1022" s="4" t="n"/>
      <c r="E1022" s="4" t="n"/>
      <c r="F1022" s="4" t="n"/>
      <c r="G1022" s="5" t="n"/>
      <c r="H1022" s="5" t="n"/>
      <c r="I1022" s="5" t="n"/>
      <c r="J1022" s="5" t="n"/>
    </row>
    <row r="1023">
      <c r="A1023" t="n">
        <v>1020</v>
      </c>
      <c r="B1023" s="8" t="n"/>
      <c r="C1023" s="4" t="n"/>
      <c r="D1023" s="4" t="n"/>
      <c r="E1023" s="4" t="n"/>
      <c r="F1023" s="4" t="n"/>
      <c r="G1023" s="5" t="n"/>
      <c r="H1023" s="5" t="n"/>
      <c r="I1023" s="5" t="n"/>
      <c r="J1023" s="5" t="n"/>
    </row>
    <row r="1024">
      <c r="A1024" t="n">
        <v>1021</v>
      </c>
      <c r="B1024" s="8" t="n"/>
      <c r="C1024" s="4" t="n"/>
      <c r="D1024" s="4" t="n"/>
      <c r="E1024" s="4" t="n"/>
      <c r="F1024" s="4" t="n"/>
      <c r="G1024" s="5" t="n"/>
      <c r="H1024" s="5" t="n"/>
      <c r="I1024" s="5" t="n"/>
      <c r="J1024" s="5" t="n"/>
    </row>
    <row r="1025">
      <c r="A1025" t="n">
        <v>1022</v>
      </c>
      <c r="B1025" s="8" t="n"/>
      <c r="C1025" s="4" t="n"/>
      <c r="D1025" s="4" t="n"/>
      <c r="E1025" s="4" t="n"/>
      <c r="F1025" s="4" t="n"/>
      <c r="G1025" s="5" t="n"/>
      <c r="H1025" s="5" t="n"/>
      <c r="I1025" s="5" t="n"/>
      <c r="J1025" s="5" t="n"/>
    </row>
    <row r="1026">
      <c r="A1026" t="n">
        <v>1023</v>
      </c>
      <c r="B1026" s="8" t="n"/>
      <c r="C1026" s="4" t="n"/>
      <c r="D1026" s="4" t="n"/>
      <c r="E1026" s="4" t="n"/>
      <c r="F1026" s="4" t="n"/>
      <c r="G1026" s="5" t="n"/>
      <c r="H1026" s="5" t="n"/>
      <c r="I1026" s="5" t="n"/>
      <c r="J1026" s="5" t="n"/>
    </row>
    <row r="1027">
      <c r="A1027" t="n">
        <v>1024</v>
      </c>
      <c r="B1027" s="8" t="n"/>
      <c r="C1027" s="4" t="n"/>
      <c r="D1027" s="4" t="n"/>
      <c r="E1027" s="4" t="n"/>
      <c r="F1027" s="4" t="n"/>
      <c r="G1027" s="5" t="n"/>
      <c r="H1027" s="5" t="n"/>
      <c r="I1027" s="5" t="n"/>
      <c r="J1027" s="5" t="n"/>
    </row>
    <row r="1028">
      <c r="A1028" t="n">
        <v>1025</v>
      </c>
      <c r="B1028" s="8" t="n"/>
      <c r="C1028" s="4" t="n"/>
      <c r="D1028" s="4" t="n"/>
      <c r="E1028" s="4" t="n"/>
      <c r="F1028" s="4" t="n"/>
      <c r="G1028" s="5" t="n"/>
      <c r="H1028" s="5" t="n"/>
      <c r="I1028" s="5" t="n"/>
      <c r="J1028" s="5" t="n"/>
    </row>
    <row r="1029">
      <c r="A1029" t="n">
        <v>1026</v>
      </c>
      <c r="B1029" s="8" t="n"/>
      <c r="C1029" s="4" t="n"/>
      <c r="D1029" s="4" t="n"/>
      <c r="E1029" s="4" t="n"/>
      <c r="F1029" s="4" t="n"/>
      <c r="G1029" s="5" t="n"/>
      <c r="H1029" s="5" t="n"/>
      <c r="I1029" s="5" t="n"/>
      <c r="J1029" s="5" t="n"/>
    </row>
    <row r="1030">
      <c r="A1030" t="n">
        <v>1027</v>
      </c>
      <c r="B1030" s="8" t="n"/>
      <c r="C1030" s="4" t="n"/>
      <c r="D1030" s="4" t="n"/>
      <c r="E1030" s="4" t="n"/>
      <c r="F1030" s="4" t="n"/>
      <c r="G1030" s="5" t="n"/>
      <c r="H1030" s="5" t="n"/>
      <c r="I1030" s="5" t="n"/>
      <c r="J1030" s="5" t="n"/>
    </row>
    <row r="1031">
      <c r="A1031" t="n">
        <v>1028</v>
      </c>
      <c r="B1031" s="8" t="n"/>
      <c r="C1031" s="4" t="n"/>
      <c r="D1031" s="4" t="n"/>
      <c r="E1031" s="4" t="n"/>
      <c r="F1031" s="4" t="n"/>
      <c r="G1031" s="5" t="n"/>
      <c r="H1031" s="5" t="n"/>
      <c r="I1031" s="5" t="n"/>
      <c r="J1031" s="5" t="n"/>
    </row>
    <row r="1032">
      <c r="A1032" t="n">
        <v>1029</v>
      </c>
      <c r="B1032" s="8" t="n"/>
      <c r="C1032" s="4" t="n"/>
      <c r="D1032" s="4" t="n"/>
      <c r="E1032" s="4" t="n"/>
      <c r="F1032" s="4" t="n"/>
      <c r="G1032" s="5" t="n"/>
      <c r="H1032" s="5" t="n"/>
      <c r="I1032" s="5" t="n"/>
      <c r="J1032" s="5" t="n"/>
    </row>
    <row r="1033">
      <c r="A1033" t="n">
        <v>1030</v>
      </c>
      <c r="B1033" s="8" t="n"/>
      <c r="C1033" s="4" t="n"/>
      <c r="D1033" s="4" t="n"/>
      <c r="E1033" s="4" t="n"/>
      <c r="F1033" s="4" t="n"/>
      <c r="G1033" s="5" t="n"/>
      <c r="H1033" s="5" t="n"/>
      <c r="I1033" s="5" t="n"/>
      <c r="J1033" s="5" t="n"/>
    </row>
    <row r="1034">
      <c r="A1034" t="n">
        <v>1031</v>
      </c>
      <c r="B1034" s="8" t="n"/>
      <c r="C1034" s="4" t="n"/>
      <c r="D1034" s="4" t="n"/>
      <c r="E1034" s="4" t="n"/>
      <c r="F1034" s="4" t="n"/>
      <c r="G1034" s="5" t="n"/>
      <c r="H1034" s="5" t="n"/>
      <c r="I1034" s="5" t="n"/>
      <c r="J1034" s="5" t="n"/>
    </row>
    <row r="1035">
      <c r="A1035" t="n">
        <v>1032</v>
      </c>
      <c r="B1035" s="8" t="n"/>
      <c r="C1035" s="4" t="n"/>
      <c r="D1035" s="4" t="n"/>
      <c r="E1035" s="4" t="n"/>
      <c r="F1035" s="4" t="n"/>
      <c r="G1035" s="5" t="n"/>
      <c r="H1035" s="5" t="n"/>
      <c r="I1035" s="5" t="n"/>
      <c r="J1035" s="5" t="n"/>
    </row>
    <row r="1036">
      <c r="A1036" t="n">
        <v>1033</v>
      </c>
      <c r="B1036" s="8" t="n"/>
      <c r="C1036" s="4" t="n"/>
      <c r="D1036" s="4" t="n"/>
      <c r="E1036" s="4" t="n"/>
      <c r="F1036" s="4" t="n"/>
      <c r="G1036" s="5" t="n"/>
      <c r="H1036" s="5" t="n"/>
      <c r="I1036" s="5" t="n"/>
      <c r="J1036" s="5" t="n"/>
    </row>
    <row r="1037">
      <c r="A1037" t="n">
        <v>1034</v>
      </c>
      <c r="B1037" s="8" t="n"/>
      <c r="C1037" s="4" t="n"/>
      <c r="D1037" s="4" t="n"/>
      <c r="E1037" s="4" t="n"/>
      <c r="F1037" s="4" t="n"/>
      <c r="G1037" s="5" t="n"/>
      <c r="H1037" s="5" t="n"/>
      <c r="I1037" s="5" t="n"/>
      <c r="J1037" s="5" t="n"/>
    </row>
    <row r="1038">
      <c r="A1038" t="n">
        <v>1035</v>
      </c>
      <c r="B1038" s="8" t="n"/>
      <c r="C1038" s="4" t="n"/>
      <c r="D1038" s="4" t="n"/>
      <c r="E1038" s="4" t="n"/>
      <c r="F1038" s="4" t="n"/>
      <c r="G1038" s="5" t="n"/>
      <c r="H1038" s="5" t="n"/>
      <c r="I1038" s="5" t="n"/>
      <c r="J1038" s="5" t="n"/>
    </row>
    <row r="1039">
      <c r="A1039" t="n">
        <v>1036</v>
      </c>
      <c r="B1039" s="8" t="n"/>
      <c r="C1039" s="4" t="n"/>
      <c r="D1039" s="4" t="n"/>
      <c r="E1039" s="4" t="n"/>
      <c r="F1039" s="4" t="n"/>
      <c r="G1039" s="5" t="n"/>
      <c r="H1039" s="5" t="n"/>
      <c r="I1039" s="5" t="n"/>
      <c r="J1039" s="5" t="n"/>
    </row>
    <row r="1040">
      <c r="A1040" t="n">
        <v>1037</v>
      </c>
      <c r="B1040" s="8" t="n"/>
      <c r="C1040" s="4" t="n"/>
      <c r="D1040" s="4" t="n"/>
      <c r="E1040" s="4" t="n"/>
      <c r="F1040" s="4" t="n"/>
      <c r="G1040" s="5" t="n"/>
      <c r="H1040" s="5" t="n"/>
      <c r="I1040" s="5" t="n"/>
      <c r="J1040" s="5" t="n"/>
    </row>
    <row r="1041">
      <c r="A1041" t="n">
        <v>1038</v>
      </c>
      <c r="B1041" s="8" t="n"/>
      <c r="C1041" s="4" t="n"/>
      <c r="D1041" s="4" t="n"/>
      <c r="E1041" s="4" t="n"/>
      <c r="F1041" s="4" t="n"/>
      <c r="G1041" s="5" t="n"/>
      <c r="H1041" s="5" t="n"/>
      <c r="I1041" s="5" t="n"/>
      <c r="J1041" s="5" t="n"/>
    </row>
    <row r="1042">
      <c r="A1042" t="n">
        <v>1039</v>
      </c>
      <c r="B1042" s="8" t="n"/>
      <c r="C1042" s="4" t="n"/>
      <c r="D1042" s="4" t="n"/>
      <c r="E1042" s="4" t="n"/>
      <c r="F1042" s="4" t="n"/>
      <c r="G1042" s="5" t="n"/>
      <c r="H1042" s="5" t="n"/>
      <c r="I1042" s="5" t="n"/>
      <c r="J1042" s="5" t="n"/>
    </row>
    <row r="1043">
      <c r="A1043" t="n">
        <v>1040</v>
      </c>
      <c r="B1043" s="8" t="n"/>
      <c r="C1043" s="4" t="n"/>
      <c r="D1043" s="4" t="n"/>
      <c r="E1043" s="4" t="n"/>
      <c r="F1043" s="4" t="n"/>
      <c r="G1043" s="5" t="n"/>
      <c r="H1043" s="5" t="n"/>
      <c r="I1043" s="5" t="n"/>
      <c r="J1043" s="5" t="n"/>
    </row>
    <row r="1044">
      <c r="A1044" t="n">
        <v>1041</v>
      </c>
      <c r="B1044" s="8" t="n"/>
      <c r="C1044" s="4" t="n"/>
      <c r="D1044" s="4" t="n"/>
      <c r="E1044" s="4" t="n"/>
      <c r="F1044" s="4" t="n"/>
      <c r="G1044" s="5" t="n"/>
      <c r="H1044" s="5" t="n"/>
      <c r="I1044" s="5" t="n"/>
      <c r="J1044" s="5" t="n"/>
    </row>
    <row r="1045">
      <c r="A1045" t="n">
        <v>1042</v>
      </c>
      <c r="B1045" s="8" t="n"/>
      <c r="C1045" s="4" t="n"/>
      <c r="D1045" s="4" t="n"/>
      <c r="E1045" s="4" t="n"/>
      <c r="F1045" s="4" t="n"/>
      <c r="G1045" s="5" t="n"/>
      <c r="H1045" s="5" t="n"/>
      <c r="I1045" s="5" t="n"/>
      <c r="J1045" s="5" t="n"/>
    </row>
    <row r="1046">
      <c r="A1046" t="n">
        <v>1043</v>
      </c>
      <c r="B1046" s="8" t="n"/>
      <c r="C1046" s="4" t="n"/>
      <c r="D1046" s="4" t="n"/>
      <c r="E1046" s="4" t="n"/>
      <c r="F1046" s="4" t="n"/>
      <c r="G1046" s="5" t="n"/>
      <c r="H1046" s="5" t="n"/>
      <c r="I1046" s="5" t="n"/>
      <c r="J1046" s="5" t="n"/>
    </row>
    <row r="1047">
      <c r="A1047" t="n">
        <v>1044</v>
      </c>
      <c r="B1047" s="8" t="n"/>
      <c r="C1047" s="4" t="n"/>
      <c r="D1047" s="4" t="n"/>
      <c r="E1047" s="4" t="n"/>
      <c r="F1047" s="4" t="n"/>
      <c r="G1047" s="5" t="n"/>
      <c r="H1047" s="5" t="n"/>
      <c r="I1047" s="5" t="n"/>
      <c r="J1047" s="5" t="n"/>
    </row>
    <row r="1048">
      <c r="A1048" t="n">
        <v>1045</v>
      </c>
      <c r="B1048" s="8" t="n"/>
      <c r="C1048" s="4" t="n"/>
      <c r="D1048" s="4" t="n"/>
      <c r="E1048" s="4" t="n"/>
      <c r="F1048" s="4" t="n"/>
      <c r="G1048" s="5" t="n"/>
      <c r="H1048" s="5" t="n"/>
      <c r="I1048" s="5" t="n"/>
      <c r="J1048" s="5" t="n"/>
    </row>
    <row r="1049">
      <c r="A1049" t="n">
        <v>1046</v>
      </c>
      <c r="B1049" s="8" t="n"/>
      <c r="C1049" s="4" t="n"/>
      <c r="D1049" s="4" t="n"/>
      <c r="E1049" s="4" t="n"/>
      <c r="F1049" s="4" t="n"/>
      <c r="G1049" s="5" t="n"/>
      <c r="H1049" s="5" t="n"/>
      <c r="I1049" s="5" t="n"/>
      <c r="J1049" s="5" t="n"/>
    </row>
    <row r="1050">
      <c r="A1050" t="n">
        <v>1047</v>
      </c>
      <c r="B1050" s="8" t="n"/>
      <c r="C1050" s="4" t="n"/>
      <c r="D1050" s="4" t="n"/>
      <c r="E1050" s="4" t="n"/>
      <c r="F1050" s="4" t="n"/>
      <c r="G1050" s="5" t="n"/>
      <c r="H1050" s="5" t="n"/>
      <c r="I1050" s="5" t="n"/>
      <c r="J1050" s="5" t="n"/>
    </row>
    <row r="1051">
      <c r="A1051" t="n">
        <v>1048</v>
      </c>
      <c r="B1051" s="8" t="n"/>
      <c r="C1051" s="4" t="n"/>
      <c r="D1051" s="4" t="n"/>
      <c r="E1051" s="4" t="n"/>
      <c r="F1051" s="4" t="n"/>
      <c r="G1051" s="5" t="n"/>
      <c r="H1051" s="5" t="n"/>
      <c r="I1051" s="5" t="n"/>
      <c r="J1051" s="5" t="n"/>
    </row>
    <row r="1052">
      <c r="A1052" t="n">
        <v>1049</v>
      </c>
      <c r="B1052" s="8" t="n"/>
      <c r="C1052" s="4" t="n"/>
      <c r="D1052" s="4" t="n"/>
      <c r="E1052" s="4" t="n"/>
      <c r="F1052" s="4" t="n"/>
      <c r="G1052" s="5" t="n"/>
      <c r="H1052" s="5" t="n"/>
      <c r="I1052" s="5" t="n"/>
      <c r="J1052" s="5" t="n"/>
    </row>
    <row r="1053">
      <c r="A1053" t="n">
        <v>1050</v>
      </c>
      <c r="B1053" s="8" t="n"/>
      <c r="C1053" s="4" t="n"/>
      <c r="D1053" s="4" t="n"/>
      <c r="E1053" s="4" t="n"/>
      <c r="F1053" s="4" t="n"/>
      <c r="G1053" s="5" t="n"/>
      <c r="H1053" s="5" t="n"/>
      <c r="I1053" s="5" t="n"/>
      <c r="J1053" s="5" t="n"/>
    </row>
    <row r="1054">
      <c r="A1054" t="n">
        <v>1051</v>
      </c>
      <c r="B1054" s="8" t="n"/>
      <c r="C1054" s="4" t="n"/>
      <c r="D1054" s="4" t="n"/>
      <c r="E1054" s="4" t="n"/>
      <c r="F1054" s="4" t="n"/>
      <c r="G1054" s="5" t="n"/>
      <c r="H1054" s="5" t="n"/>
      <c r="I1054" s="5" t="n"/>
      <c r="J1054" s="5" t="n"/>
    </row>
    <row r="1055">
      <c r="A1055" t="n">
        <v>1052</v>
      </c>
      <c r="B1055" s="8" t="n"/>
      <c r="C1055" s="4" t="n"/>
      <c r="D1055" s="4" t="n"/>
      <c r="E1055" s="4" t="n"/>
      <c r="F1055" s="4" t="n"/>
      <c r="G1055" s="5" t="n"/>
      <c r="H1055" s="5" t="n"/>
      <c r="I1055" s="5" t="n"/>
      <c r="J1055" s="5" t="n"/>
    </row>
    <row r="1056">
      <c r="A1056" t="n">
        <v>1053</v>
      </c>
      <c r="B1056" s="8" t="n"/>
      <c r="C1056" s="4" t="n"/>
      <c r="D1056" s="4" t="n"/>
      <c r="E1056" s="4" t="n"/>
      <c r="F1056" s="4" t="n"/>
      <c r="G1056" s="5" t="n"/>
      <c r="H1056" s="5" t="n"/>
      <c r="I1056" s="5" t="n"/>
      <c r="J1056" s="5" t="n"/>
    </row>
    <row r="1057">
      <c r="A1057" t="n">
        <v>1054</v>
      </c>
      <c r="B1057" s="8" t="n"/>
      <c r="C1057" s="4" t="n"/>
      <c r="D1057" s="4" t="n"/>
      <c r="E1057" s="4" t="n"/>
      <c r="F1057" s="4" t="n"/>
      <c r="G1057" s="5" t="n"/>
      <c r="H1057" s="5" t="n"/>
      <c r="I1057" s="5" t="n"/>
      <c r="J1057" s="5" t="n"/>
    </row>
    <row r="1058">
      <c r="A1058" t="n">
        <v>1055</v>
      </c>
      <c r="B1058" s="8" t="n"/>
      <c r="C1058" s="4" t="n"/>
      <c r="D1058" s="4" t="n"/>
      <c r="E1058" s="4" t="n"/>
      <c r="F1058" s="4" t="n"/>
      <c r="G1058" s="5" t="n"/>
      <c r="H1058" s="5" t="n"/>
      <c r="I1058" s="5" t="n"/>
      <c r="J1058" s="5" t="n"/>
    </row>
    <row r="1059">
      <c r="A1059" t="n">
        <v>1056</v>
      </c>
      <c r="B1059" s="8" t="n"/>
      <c r="C1059" s="4" t="n"/>
      <c r="D1059" s="4" t="n"/>
      <c r="E1059" s="4" t="n"/>
      <c r="F1059" s="4" t="n"/>
      <c r="G1059" s="5" t="n"/>
      <c r="H1059" s="5" t="n"/>
      <c r="I1059" s="5" t="n"/>
      <c r="J1059" s="5" t="n"/>
    </row>
    <row r="1060">
      <c r="A1060" t="n">
        <v>1057</v>
      </c>
      <c r="B1060" s="8" t="n"/>
      <c r="C1060" s="4" t="n"/>
      <c r="D1060" s="4" t="n"/>
      <c r="E1060" s="4" t="n"/>
      <c r="F1060" s="4" t="n"/>
      <c r="G1060" s="5" t="n"/>
      <c r="H1060" s="5" t="n"/>
      <c r="I1060" s="5" t="n"/>
      <c r="J1060" s="5" t="n"/>
    </row>
    <row r="1061">
      <c r="A1061" t="n">
        <v>1058</v>
      </c>
      <c r="B1061" s="8" t="n"/>
      <c r="C1061" s="4" t="n"/>
      <c r="D1061" s="4" t="n"/>
      <c r="E1061" s="4" t="n"/>
      <c r="F1061" s="4" t="n"/>
      <c r="G1061" s="5" t="n"/>
      <c r="H1061" s="5" t="n"/>
      <c r="I1061" s="5" t="n"/>
      <c r="J1061" s="5" t="n"/>
    </row>
    <row r="1062">
      <c r="A1062" t="n">
        <v>1059</v>
      </c>
      <c r="B1062" s="8" t="n"/>
      <c r="C1062" s="4" t="n"/>
      <c r="D1062" s="4" t="n"/>
      <c r="E1062" s="4" t="n"/>
      <c r="F1062" s="4" t="n"/>
      <c r="G1062" s="5" t="n"/>
      <c r="H1062" s="5" t="n"/>
      <c r="I1062" s="5" t="n"/>
      <c r="J1062" s="5" t="n"/>
    </row>
    <row r="1063">
      <c r="A1063" t="n">
        <v>1060</v>
      </c>
      <c r="B1063" s="8" t="n"/>
      <c r="C1063" s="4" t="n"/>
      <c r="D1063" s="4" t="n"/>
      <c r="E1063" s="4" t="n"/>
      <c r="F1063" s="4" t="n"/>
      <c r="G1063" s="5" t="n"/>
      <c r="H1063" s="5" t="n"/>
      <c r="I1063" s="5" t="n"/>
      <c r="J1063" s="5" t="n"/>
    </row>
    <row r="1064">
      <c r="A1064" t="n">
        <v>1061</v>
      </c>
      <c r="B1064" s="8" t="n"/>
      <c r="C1064" s="4" t="n"/>
      <c r="D1064" s="4" t="n"/>
      <c r="E1064" s="4" t="n"/>
      <c r="F1064" s="4" t="n"/>
      <c r="G1064" s="5" t="n"/>
      <c r="H1064" s="5" t="n"/>
      <c r="I1064" s="5" t="n"/>
      <c r="J1064" s="5" t="n"/>
    </row>
    <row r="1065">
      <c r="A1065" t="n">
        <v>1062</v>
      </c>
      <c r="B1065" s="8" t="n"/>
      <c r="C1065" s="4" t="n"/>
      <c r="D1065" s="4" t="n"/>
      <c r="E1065" s="4" t="n"/>
      <c r="F1065" s="4" t="n"/>
      <c r="G1065" s="5" t="n"/>
      <c r="H1065" s="5" t="n"/>
      <c r="I1065" s="5" t="n"/>
      <c r="J1065" s="5" t="n"/>
    </row>
    <row r="1066">
      <c r="A1066" t="n">
        <v>1063</v>
      </c>
      <c r="B1066" s="8" t="n"/>
      <c r="C1066" s="4" t="n"/>
      <c r="D1066" s="4" t="n"/>
      <c r="E1066" s="4" t="n"/>
      <c r="F1066" s="4" t="n"/>
      <c r="G1066" s="5" t="n"/>
      <c r="H1066" s="5" t="n"/>
      <c r="I1066" s="5" t="n"/>
      <c r="J1066" s="5" t="n"/>
    </row>
    <row r="1067">
      <c r="A1067" t="n">
        <v>1064</v>
      </c>
      <c r="B1067" s="8" t="n"/>
      <c r="C1067" s="4" t="n"/>
      <c r="D1067" s="4" t="n"/>
      <c r="E1067" s="4" t="n"/>
      <c r="F1067" s="4" t="n"/>
      <c r="G1067" s="5" t="n"/>
      <c r="H1067" s="5" t="n"/>
      <c r="I1067" s="5" t="n"/>
      <c r="J1067" s="5" t="n"/>
    </row>
    <row r="1068">
      <c r="A1068" t="n">
        <v>1065</v>
      </c>
      <c r="B1068" s="8" t="n"/>
      <c r="C1068" s="4" t="n"/>
      <c r="D1068" s="4" t="n"/>
      <c r="E1068" s="4" t="n"/>
      <c r="F1068" s="4" t="n"/>
      <c r="G1068" s="5" t="n"/>
      <c r="H1068" s="5" t="n"/>
      <c r="I1068" s="5" t="n"/>
      <c r="J1068" s="5" t="n"/>
    </row>
    <row r="1069">
      <c r="A1069" t="n">
        <v>1066</v>
      </c>
      <c r="B1069" s="8" t="n"/>
      <c r="C1069" s="4" t="n"/>
      <c r="D1069" s="4" t="n"/>
      <c r="E1069" s="4" t="n"/>
      <c r="F1069" s="4" t="n"/>
      <c r="G1069" s="5" t="n"/>
      <c r="H1069" s="5" t="n"/>
      <c r="I1069" s="5" t="n"/>
      <c r="J1069" s="5" t="n"/>
    </row>
    <row r="1070">
      <c r="A1070" t="n">
        <v>1067</v>
      </c>
      <c r="B1070" s="8" t="n"/>
      <c r="C1070" s="4" t="n"/>
      <c r="D1070" s="4" t="n"/>
      <c r="E1070" s="4" t="n"/>
      <c r="F1070" s="4" t="n"/>
      <c r="G1070" s="5" t="n"/>
      <c r="H1070" s="5" t="n"/>
      <c r="I1070" s="5" t="n"/>
      <c r="J1070" s="5" t="n"/>
    </row>
    <row r="1071">
      <c r="A1071" t="n">
        <v>1068</v>
      </c>
      <c r="B1071" s="8" t="n"/>
      <c r="C1071" s="4" t="n"/>
      <c r="D1071" s="4" t="n"/>
      <c r="E1071" s="4" t="n"/>
      <c r="F1071" s="4" t="n"/>
      <c r="G1071" s="5" t="n"/>
      <c r="H1071" s="5" t="n"/>
      <c r="I1071" s="5" t="n"/>
      <c r="J1071" s="5" t="n"/>
    </row>
    <row r="1072">
      <c r="A1072" t="n">
        <v>1069</v>
      </c>
      <c r="B1072" s="8" t="n"/>
      <c r="C1072" s="4" t="n"/>
      <c r="D1072" s="4" t="n"/>
      <c r="E1072" s="4" t="n"/>
      <c r="F1072" s="4" t="n"/>
      <c r="G1072" s="5" t="n"/>
      <c r="H1072" s="5" t="n"/>
      <c r="I1072" s="5" t="n"/>
      <c r="J1072" s="5" t="n"/>
    </row>
    <row r="1073">
      <c r="A1073" t="n">
        <v>1070</v>
      </c>
      <c r="B1073" s="8" t="n"/>
      <c r="C1073" s="4" t="n"/>
      <c r="D1073" s="4" t="n"/>
      <c r="E1073" s="4" t="n"/>
      <c r="F1073" s="4" t="n"/>
      <c r="G1073" s="5" t="n"/>
      <c r="H1073" s="5" t="n"/>
      <c r="I1073" s="5" t="n"/>
      <c r="J1073" s="5" t="n"/>
    </row>
    <row r="1074">
      <c r="A1074" t="n">
        <v>1071</v>
      </c>
      <c r="B1074" s="8" t="n"/>
      <c r="C1074" s="4" t="n"/>
      <c r="D1074" s="4" t="n"/>
      <c r="E1074" s="4" t="n"/>
      <c r="F1074" s="4" t="n"/>
      <c r="G1074" s="5" t="n"/>
      <c r="H1074" s="5" t="n"/>
      <c r="I1074" s="5" t="n"/>
      <c r="J1074" s="5" t="n"/>
    </row>
    <row r="1075">
      <c r="A1075" t="n">
        <v>1072</v>
      </c>
      <c r="B1075" s="8" t="n"/>
      <c r="C1075" s="4" t="n"/>
      <c r="D1075" s="4" t="n"/>
      <c r="E1075" s="4" t="n"/>
      <c r="F1075" s="4" t="n"/>
      <c r="G1075" s="5" t="n"/>
      <c r="H1075" s="5" t="n"/>
      <c r="I1075" s="5" t="n"/>
      <c r="J1075" s="5" t="n"/>
    </row>
    <row r="1076">
      <c r="A1076" t="n">
        <v>1073</v>
      </c>
      <c r="B1076" s="8" t="n"/>
      <c r="C1076" s="4" t="n"/>
      <c r="D1076" s="4" t="n"/>
      <c r="E1076" s="4" t="n"/>
      <c r="F1076" s="4" t="n"/>
      <c r="G1076" s="5" t="n"/>
      <c r="H1076" s="5" t="n"/>
      <c r="I1076" s="5" t="n"/>
      <c r="J1076" s="5" t="n"/>
    </row>
    <row r="1077">
      <c r="A1077" t="n">
        <v>1074</v>
      </c>
      <c r="B1077" s="8" t="n"/>
      <c r="C1077" s="4" t="n"/>
      <c r="D1077" s="4" t="n"/>
      <c r="E1077" s="4" t="n"/>
      <c r="F1077" s="4" t="n"/>
      <c r="G1077" s="5" t="n"/>
      <c r="H1077" s="5" t="n"/>
      <c r="I1077" s="5" t="n"/>
      <c r="J1077" s="5" t="n"/>
    </row>
    <row r="1078">
      <c r="A1078" t="n">
        <v>1075</v>
      </c>
      <c r="B1078" s="8" t="n"/>
      <c r="C1078" s="4" t="n"/>
      <c r="D1078" s="4" t="n"/>
      <c r="E1078" s="4" t="n"/>
      <c r="F1078" s="4" t="n"/>
      <c r="G1078" s="5" t="n"/>
      <c r="H1078" s="5" t="n"/>
      <c r="I1078" s="5" t="n"/>
      <c r="J1078" s="5" t="n"/>
    </row>
    <row r="1079">
      <c r="A1079" t="n">
        <v>1076</v>
      </c>
      <c r="B1079" s="8" t="n"/>
      <c r="C1079" s="4" t="n"/>
      <c r="D1079" s="4" t="n"/>
      <c r="E1079" s="4" t="n"/>
      <c r="F1079" s="4" t="n"/>
      <c r="G1079" s="5" t="n"/>
      <c r="H1079" s="5" t="n"/>
      <c r="I1079" s="5" t="n"/>
      <c r="J1079" s="5" t="n"/>
    </row>
    <row r="1080">
      <c r="A1080" t="n">
        <v>1077</v>
      </c>
      <c r="B1080" s="8" t="n"/>
      <c r="C1080" s="4" t="n"/>
      <c r="D1080" s="4" t="n"/>
      <c r="E1080" s="4" t="n"/>
      <c r="F1080" s="4" t="n"/>
      <c r="G1080" s="5" t="n"/>
      <c r="H1080" s="5" t="n"/>
      <c r="I1080" s="5" t="n"/>
      <c r="J1080" s="5" t="n"/>
    </row>
    <row r="1081">
      <c r="A1081" t="n">
        <v>1078</v>
      </c>
      <c r="B1081" s="8" t="n"/>
      <c r="C1081" s="4" t="n"/>
      <c r="D1081" s="4" t="n"/>
      <c r="E1081" s="4" t="n"/>
      <c r="F1081" s="4" t="n"/>
      <c r="G1081" s="5" t="n"/>
      <c r="H1081" s="5" t="n"/>
      <c r="I1081" s="5" t="n"/>
      <c r="J1081" s="5" t="n"/>
    </row>
    <row r="1082">
      <c r="A1082" t="n">
        <v>1079</v>
      </c>
      <c r="B1082" s="8" t="n"/>
      <c r="C1082" s="4" t="n"/>
      <c r="D1082" s="4" t="n"/>
      <c r="E1082" s="4" t="n"/>
      <c r="F1082" s="4" t="n"/>
      <c r="G1082" s="5" t="n"/>
      <c r="H1082" s="5" t="n"/>
      <c r="I1082" s="5" t="n"/>
      <c r="J1082" s="5" t="n"/>
    </row>
    <row r="1083">
      <c r="A1083" t="n">
        <v>1080</v>
      </c>
      <c r="B1083" s="8" t="n"/>
      <c r="C1083" s="4" t="n"/>
      <c r="D1083" s="4" t="n"/>
      <c r="E1083" s="4" t="n"/>
      <c r="F1083" s="4" t="n"/>
      <c r="G1083" s="5" t="n"/>
      <c r="H1083" s="5" t="n"/>
      <c r="I1083" s="5" t="n"/>
      <c r="J1083" s="5" t="n"/>
    </row>
    <row r="1084">
      <c r="A1084" t="n">
        <v>1081</v>
      </c>
      <c r="B1084" s="8" t="n"/>
      <c r="C1084" s="4" t="n"/>
      <c r="D1084" s="4" t="n"/>
      <c r="E1084" s="4" t="n"/>
      <c r="F1084" s="4" t="n"/>
      <c r="G1084" s="5" t="n"/>
      <c r="H1084" s="5" t="n"/>
      <c r="I1084" s="5" t="n"/>
      <c r="J1084" s="5" t="n"/>
    </row>
    <row r="1085">
      <c r="A1085" t="n">
        <v>1082</v>
      </c>
      <c r="B1085" s="8" t="n"/>
      <c r="C1085" s="4" t="n"/>
      <c r="D1085" s="4" t="n"/>
      <c r="E1085" s="4" t="n"/>
      <c r="F1085" s="4" t="n"/>
      <c r="G1085" s="5" t="n"/>
      <c r="H1085" s="5" t="n"/>
      <c r="I1085" s="5" t="n"/>
      <c r="J1085" s="5" t="n"/>
    </row>
    <row r="1086">
      <c r="A1086" t="n">
        <v>1083</v>
      </c>
      <c r="B1086" s="8" t="n"/>
      <c r="C1086" s="4" t="n"/>
      <c r="D1086" s="4" t="n"/>
      <c r="E1086" s="4" t="n"/>
      <c r="F1086" s="4" t="n"/>
      <c r="G1086" s="5" t="n"/>
      <c r="H1086" s="5" t="n"/>
      <c r="I1086" s="5" t="n"/>
      <c r="J1086" s="5" t="n"/>
    </row>
    <row r="1087">
      <c r="A1087" t="n">
        <v>1084</v>
      </c>
      <c r="B1087" s="8" t="n"/>
      <c r="C1087" s="4" t="n"/>
      <c r="D1087" s="4" t="n"/>
      <c r="E1087" s="4" t="n"/>
      <c r="F1087" s="4" t="n"/>
      <c r="G1087" s="5" t="n"/>
      <c r="H1087" s="5" t="n"/>
      <c r="I1087" s="5" t="n"/>
      <c r="J1087" s="5" t="n"/>
    </row>
    <row r="1088">
      <c r="A1088" t="n">
        <v>1085</v>
      </c>
      <c r="B1088" s="8" t="n"/>
      <c r="C1088" s="4" t="n"/>
      <c r="D1088" s="4" t="n"/>
      <c r="E1088" s="4" t="n"/>
      <c r="F1088" s="4" t="n"/>
      <c r="G1088" s="5" t="n"/>
      <c r="H1088" s="5" t="n"/>
      <c r="I1088" s="5" t="n"/>
      <c r="J1088" s="5" t="n"/>
    </row>
    <row r="1089">
      <c r="A1089" t="n">
        <v>1086</v>
      </c>
      <c r="B1089" s="8" t="n"/>
      <c r="C1089" s="4" t="n"/>
      <c r="D1089" s="4" t="n"/>
      <c r="E1089" s="4" t="n"/>
      <c r="F1089" s="4" t="n"/>
      <c r="G1089" s="5" t="n"/>
      <c r="H1089" s="5" t="n"/>
      <c r="I1089" s="5" t="n"/>
      <c r="J1089" s="5" t="n"/>
    </row>
    <row r="1090">
      <c r="A1090" t="n">
        <v>1087</v>
      </c>
      <c r="B1090" s="8" t="n"/>
      <c r="C1090" s="4" t="n"/>
      <c r="D1090" s="4" t="n"/>
      <c r="E1090" s="4" t="n"/>
      <c r="F1090" s="4" t="n"/>
      <c r="G1090" s="5" t="n"/>
      <c r="H1090" s="5" t="n"/>
      <c r="I1090" s="5" t="n"/>
      <c r="J1090" s="5" t="n"/>
    </row>
    <row r="1091">
      <c r="A1091" t="n">
        <v>1088</v>
      </c>
      <c r="B1091" s="8" t="n"/>
      <c r="C1091" s="4" t="n"/>
      <c r="D1091" s="4" t="n"/>
      <c r="E1091" s="4" t="n"/>
      <c r="F1091" s="4" t="n"/>
      <c r="G1091" s="5" t="n"/>
      <c r="H1091" s="5" t="n"/>
      <c r="I1091" s="5" t="n"/>
      <c r="J1091" s="5" t="n"/>
    </row>
    <row r="1092">
      <c r="A1092" t="n">
        <v>1089</v>
      </c>
      <c r="B1092" s="8" t="n"/>
      <c r="C1092" s="4" t="n"/>
      <c r="D1092" s="4" t="n"/>
      <c r="E1092" s="4" t="n"/>
      <c r="F1092" s="4" t="n"/>
      <c r="G1092" s="5" t="n"/>
      <c r="H1092" s="5" t="n"/>
      <c r="I1092" s="5" t="n"/>
      <c r="J1092" s="5" t="n"/>
    </row>
    <row r="1093">
      <c r="A1093" t="n">
        <v>1090</v>
      </c>
      <c r="B1093" s="8" t="n"/>
      <c r="C1093" s="4" t="n"/>
      <c r="D1093" s="4" t="n"/>
      <c r="E1093" s="4" t="n"/>
      <c r="F1093" s="4" t="n"/>
      <c r="G1093" s="5" t="n"/>
      <c r="H1093" s="5" t="n"/>
      <c r="I1093" s="5" t="n"/>
      <c r="J1093" s="5" t="n"/>
    </row>
    <row r="1094">
      <c r="A1094" t="n">
        <v>1091</v>
      </c>
      <c r="B1094" s="8" t="n"/>
      <c r="C1094" s="4" t="n"/>
      <c r="D1094" s="4" t="n"/>
      <c r="E1094" s="4" t="n"/>
      <c r="F1094" s="4" t="n"/>
      <c r="G1094" s="5" t="n"/>
      <c r="H1094" s="5" t="n"/>
      <c r="I1094" s="5" t="n"/>
      <c r="J1094" s="5" t="n"/>
    </row>
    <row r="1095">
      <c r="A1095" t="n">
        <v>1092</v>
      </c>
      <c r="B1095" s="8" t="n"/>
      <c r="C1095" s="4" t="n"/>
      <c r="D1095" s="4" t="n"/>
      <c r="E1095" s="4" t="n"/>
      <c r="F1095" s="4" t="n"/>
      <c r="G1095" s="5" t="n"/>
      <c r="H1095" s="5" t="n"/>
      <c r="I1095" s="5" t="n"/>
      <c r="J1095" s="5" t="n"/>
    </row>
    <row r="1096">
      <c r="A1096" t="n">
        <v>1093</v>
      </c>
      <c r="B1096" s="8" t="n"/>
      <c r="C1096" s="4" t="n"/>
      <c r="D1096" s="4" t="n"/>
      <c r="E1096" s="4" t="n"/>
      <c r="F1096" s="4" t="n"/>
      <c r="G1096" s="5" t="n"/>
      <c r="H1096" s="5" t="n"/>
      <c r="I1096" s="5" t="n"/>
      <c r="J1096" s="5" t="n"/>
    </row>
    <row r="1097">
      <c r="A1097" t="n">
        <v>1094</v>
      </c>
      <c r="B1097" s="8" t="n"/>
      <c r="C1097" s="4" t="n"/>
      <c r="D1097" s="4" t="n"/>
      <c r="E1097" s="4" t="n"/>
      <c r="F1097" s="4" t="n"/>
      <c r="G1097" s="5" t="n"/>
      <c r="H1097" s="5" t="n"/>
      <c r="I1097" s="5" t="n"/>
      <c r="J1097" s="5" t="n"/>
    </row>
    <row r="1098">
      <c r="A1098" t="n">
        <v>1095</v>
      </c>
      <c r="B1098" s="8" t="n"/>
      <c r="C1098" s="4" t="n"/>
      <c r="D1098" s="4" t="n"/>
      <c r="E1098" s="4" t="n"/>
      <c r="F1098" s="4" t="n"/>
      <c r="G1098" s="5" t="n"/>
      <c r="H1098" s="5" t="n"/>
      <c r="I1098" s="5" t="n"/>
      <c r="J1098" s="5" t="n"/>
    </row>
    <row r="1099">
      <c r="A1099" t="n">
        <v>1096</v>
      </c>
      <c r="B1099" s="8" t="n"/>
      <c r="C1099" s="4" t="n"/>
      <c r="D1099" s="4" t="n"/>
      <c r="E1099" s="4" t="n"/>
      <c r="F1099" s="4" t="n"/>
      <c r="G1099" s="5" t="n"/>
      <c r="H1099" s="5" t="n"/>
      <c r="I1099" s="5" t="n"/>
      <c r="J1099" s="5" t="n"/>
    </row>
    <row r="1100">
      <c r="A1100" t="n">
        <v>1097</v>
      </c>
      <c r="B1100" s="8" t="n"/>
      <c r="C1100" s="4" t="n"/>
      <c r="D1100" s="4" t="n"/>
      <c r="E1100" s="4" t="n"/>
      <c r="F1100" s="4" t="n"/>
      <c r="G1100" s="5" t="n"/>
      <c r="H1100" s="5" t="n"/>
      <c r="I1100" s="5" t="n"/>
      <c r="J1100" s="5" t="n"/>
    </row>
    <row r="1101">
      <c r="A1101" t="n">
        <v>1098</v>
      </c>
      <c r="B1101" s="8" t="n"/>
      <c r="C1101" s="4" t="n"/>
      <c r="D1101" s="4" t="n"/>
      <c r="E1101" s="4" t="n"/>
      <c r="F1101" s="4" t="n"/>
      <c r="G1101" s="5" t="n"/>
      <c r="H1101" s="5" t="n"/>
      <c r="I1101" s="5" t="n"/>
      <c r="J1101" s="5" t="n"/>
    </row>
    <row r="1102">
      <c r="A1102" t="n">
        <v>1099</v>
      </c>
      <c r="B1102" s="8" t="n"/>
      <c r="C1102" s="4" t="n"/>
      <c r="D1102" s="4" t="n"/>
      <c r="E1102" s="4" t="n"/>
      <c r="F1102" s="4" t="n"/>
      <c r="G1102" s="5" t="n"/>
      <c r="H1102" s="5" t="n"/>
      <c r="I1102" s="5" t="n"/>
      <c r="J1102" s="5" t="n"/>
    </row>
    <row r="1103">
      <c r="A1103" t="n">
        <v>1100</v>
      </c>
      <c r="B1103" s="8" t="n"/>
      <c r="C1103" s="4" t="n"/>
      <c r="D1103" s="4" t="n"/>
      <c r="E1103" s="4" t="n"/>
      <c r="F1103" s="4" t="n"/>
      <c r="G1103" s="5" t="n"/>
      <c r="H1103" s="5" t="n"/>
      <c r="I1103" s="5" t="n"/>
      <c r="J1103" s="5" t="n"/>
    </row>
    <row r="1104">
      <c r="A1104" t="n">
        <v>1101</v>
      </c>
      <c r="B1104" s="8" t="n"/>
      <c r="C1104" s="4" t="n"/>
      <c r="D1104" s="4" t="n"/>
      <c r="E1104" s="4" t="n"/>
      <c r="F1104" s="4" t="n"/>
      <c r="G1104" s="5" t="n"/>
      <c r="H1104" s="5" t="n"/>
      <c r="I1104" s="5" t="n"/>
      <c r="J1104" s="5" t="n"/>
    </row>
    <row r="1105">
      <c r="A1105" t="n">
        <v>1102</v>
      </c>
      <c r="B1105" s="8" t="n"/>
      <c r="C1105" s="4" t="n"/>
      <c r="D1105" s="4" t="n"/>
      <c r="E1105" s="4" t="n"/>
      <c r="F1105" s="4" t="n"/>
      <c r="G1105" s="5" t="n"/>
      <c r="H1105" s="5" t="n"/>
      <c r="I1105" s="5" t="n"/>
      <c r="J1105" s="5" t="n"/>
    </row>
    <row r="1106">
      <c r="A1106" t="n">
        <v>1103</v>
      </c>
      <c r="B1106" s="8" t="n"/>
      <c r="C1106" s="4" t="n"/>
      <c r="D1106" s="4" t="n"/>
      <c r="E1106" s="4" t="n"/>
      <c r="F1106" s="4" t="n"/>
      <c r="G1106" s="5" t="n"/>
      <c r="H1106" s="5" t="n"/>
      <c r="I1106" s="5" t="n"/>
      <c r="J1106" s="5" t="n"/>
    </row>
    <row r="1107">
      <c r="A1107" t="n">
        <v>1104</v>
      </c>
      <c r="B1107" s="8" t="n"/>
      <c r="C1107" s="4" t="n"/>
      <c r="D1107" s="4" t="n"/>
      <c r="E1107" s="4" t="n"/>
      <c r="F1107" s="4" t="n"/>
      <c r="G1107" s="5" t="n"/>
      <c r="H1107" s="5" t="n"/>
      <c r="I1107" s="5" t="n"/>
      <c r="J1107" s="5" t="n"/>
    </row>
    <row r="1108">
      <c r="A1108" t="n">
        <v>1105</v>
      </c>
      <c r="B1108" s="8" t="n"/>
      <c r="C1108" s="4" t="n"/>
      <c r="D1108" s="4" t="n"/>
      <c r="E1108" s="4" t="n"/>
      <c r="F1108" s="4" t="n"/>
      <c r="G1108" s="5" t="n"/>
      <c r="H1108" s="5" t="n"/>
      <c r="I1108" s="5" t="n"/>
      <c r="J1108" s="5" t="n"/>
    </row>
    <row r="1109">
      <c r="A1109" t="n">
        <v>1106</v>
      </c>
      <c r="B1109" s="8" t="n"/>
      <c r="C1109" s="4" t="n"/>
      <c r="D1109" s="4" t="n"/>
      <c r="E1109" s="4" t="n"/>
      <c r="F1109" s="4" t="n"/>
      <c r="G1109" s="5" t="n"/>
      <c r="H1109" s="5" t="n"/>
      <c r="I1109" s="5" t="n"/>
      <c r="J1109" s="5" t="n"/>
    </row>
    <row r="1110">
      <c r="A1110" t="n">
        <v>1107</v>
      </c>
      <c r="B1110" s="8" t="n"/>
      <c r="C1110" s="4" t="n"/>
      <c r="D1110" s="4" t="n"/>
      <c r="E1110" s="4" t="n"/>
      <c r="F1110" s="4" t="n"/>
      <c r="G1110" s="5" t="n"/>
      <c r="H1110" s="5" t="n"/>
      <c r="I1110" s="5" t="n"/>
      <c r="J1110" s="5" t="n"/>
    </row>
    <row r="1111">
      <c r="A1111" t="n">
        <v>1108</v>
      </c>
      <c r="B1111" s="8" t="n"/>
      <c r="C1111" s="4" t="n"/>
      <c r="D1111" s="4" t="n"/>
      <c r="E1111" s="4" t="n"/>
      <c r="F1111" s="4" t="n"/>
      <c r="G1111" s="5" t="n"/>
      <c r="H1111" s="5" t="n"/>
      <c r="I1111" s="5" t="n"/>
      <c r="J1111" s="5" t="n"/>
    </row>
    <row r="1112">
      <c r="A1112" t="n">
        <v>1109</v>
      </c>
      <c r="B1112" s="8" t="n"/>
      <c r="C1112" s="4" t="n"/>
      <c r="D1112" s="4" t="n"/>
      <c r="E1112" s="4" t="n"/>
      <c r="F1112" s="4" t="n"/>
      <c r="G1112" s="5" t="n"/>
      <c r="H1112" s="5" t="n"/>
      <c r="I1112" s="5" t="n"/>
      <c r="J1112" s="5" t="n"/>
    </row>
    <row r="1113">
      <c r="A1113" t="n">
        <v>1110</v>
      </c>
      <c r="B1113" s="8" t="n"/>
      <c r="C1113" s="4" t="n"/>
      <c r="D1113" s="4" t="n"/>
      <c r="E1113" s="4" t="n"/>
      <c r="F1113" s="4" t="n"/>
      <c r="G1113" s="5" t="n"/>
      <c r="H1113" s="5" t="n"/>
      <c r="I1113" s="5" t="n"/>
      <c r="J1113" s="5" t="n"/>
    </row>
    <row r="1114">
      <c r="A1114" t="n">
        <v>1111</v>
      </c>
      <c r="B1114" s="8" t="n"/>
      <c r="C1114" s="4" t="n"/>
      <c r="D1114" s="4" t="n"/>
      <c r="E1114" s="4" t="n"/>
      <c r="F1114" s="4" t="n"/>
      <c r="G1114" s="5" t="n"/>
      <c r="H1114" s="5" t="n"/>
      <c r="I1114" s="5" t="n"/>
      <c r="J1114" s="5" t="n"/>
    </row>
    <row r="1115">
      <c r="A1115" t="n">
        <v>1112</v>
      </c>
      <c r="B1115" s="8" t="n"/>
      <c r="C1115" s="4" t="n"/>
      <c r="D1115" s="4" t="n"/>
      <c r="E1115" s="4" t="n"/>
      <c r="F1115" s="4" t="n"/>
      <c r="G1115" s="5" t="n"/>
      <c r="H1115" s="5" t="n"/>
      <c r="I1115" s="5" t="n"/>
      <c r="J1115" s="5" t="n"/>
    </row>
    <row r="1116">
      <c r="A1116" t="n">
        <v>1113</v>
      </c>
      <c r="B1116" s="8" t="n"/>
      <c r="C1116" s="4" t="n"/>
      <c r="D1116" s="4" t="n"/>
      <c r="E1116" s="4" t="n"/>
      <c r="F1116" s="4" t="n"/>
      <c r="G1116" s="5" t="n"/>
      <c r="H1116" s="5" t="n"/>
      <c r="I1116" s="5" t="n"/>
      <c r="J1116" s="5" t="n"/>
    </row>
    <row r="1117">
      <c r="A1117" t="n">
        <v>1114</v>
      </c>
      <c r="B1117" s="8" t="n"/>
      <c r="C1117" s="4" t="n"/>
      <c r="D1117" s="4" t="n"/>
      <c r="E1117" s="4" t="n"/>
      <c r="F1117" s="4" t="n"/>
      <c r="G1117" s="5" t="n"/>
      <c r="H1117" s="5" t="n"/>
      <c r="I1117" s="5" t="n"/>
      <c r="J1117" s="5" t="n"/>
    </row>
    <row r="1118">
      <c r="A1118" t="n">
        <v>1115</v>
      </c>
      <c r="B1118" s="8" t="n"/>
      <c r="C1118" s="4" t="n"/>
      <c r="D1118" s="4" t="n"/>
      <c r="E1118" s="4" t="n"/>
      <c r="F1118" s="4" t="n"/>
      <c r="G1118" s="5" t="n"/>
      <c r="H1118" s="5" t="n"/>
      <c r="I1118" s="5" t="n"/>
      <c r="J1118" s="5" t="n"/>
    </row>
    <row r="1119">
      <c r="A1119" t="n">
        <v>1116</v>
      </c>
      <c r="B1119" s="8" t="n"/>
      <c r="C1119" s="4" t="n"/>
      <c r="D1119" s="4" t="n"/>
      <c r="E1119" s="4" t="n"/>
      <c r="F1119" s="4" t="n"/>
      <c r="G1119" s="5" t="n"/>
      <c r="H1119" s="5" t="n"/>
      <c r="I1119" s="5" t="n"/>
      <c r="J1119" s="5" t="n"/>
    </row>
    <row r="1120">
      <c r="A1120" t="n">
        <v>1117</v>
      </c>
      <c r="B1120" s="8" t="n"/>
      <c r="C1120" s="4" t="n"/>
      <c r="D1120" s="4" t="n"/>
      <c r="E1120" s="4" t="n"/>
      <c r="F1120" s="4" t="n"/>
      <c r="G1120" s="5" t="n"/>
      <c r="H1120" s="5" t="n"/>
      <c r="I1120" s="5" t="n"/>
      <c r="J1120" s="5" t="n"/>
    </row>
    <row r="1121">
      <c r="A1121" t="n">
        <v>1118</v>
      </c>
      <c r="B1121" s="8" t="n"/>
      <c r="C1121" s="4" t="n"/>
      <c r="D1121" s="4" t="n"/>
      <c r="E1121" s="4" t="n"/>
      <c r="F1121" s="4" t="n"/>
      <c r="G1121" s="5" t="n"/>
      <c r="H1121" s="5" t="n"/>
      <c r="I1121" s="5" t="n"/>
      <c r="J1121" s="5" t="n"/>
    </row>
    <row r="1122">
      <c r="A1122" t="n">
        <v>1119</v>
      </c>
      <c r="B1122" s="8" t="n"/>
      <c r="C1122" s="4" t="n"/>
      <c r="D1122" s="4" t="n"/>
      <c r="E1122" s="4" t="n"/>
      <c r="F1122" s="4" t="n"/>
      <c r="G1122" s="5" t="n"/>
      <c r="H1122" s="5" t="n"/>
      <c r="I1122" s="5" t="n"/>
      <c r="J1122" s="5" t="n"/>
    </row>
    <row r="1123">
      <c r="A1123" t="n">
        <v>1120</v>
      </c>
      <c r="B1123" s="8" t="n"/>
      <c r="C1123" s="4" t="n"/>
      <c r="D1123" s="4" t="n"/>
      <c r="E1123" s="4" t="n"/>
      <c r="F1123" s="4" t="n"/>
      <c r="G1123" s="5" t="n"/>
      <c r="H1123" s="5" t="n"/>
      <c r="I1123" s="5" t="n"/>
      <c r="J1123" s="5" t="n"/>
    </row>
    <row r="1124">
      <c r="A1124" t="n">
        <v>1121</v>
      </c>
      <c r="B1124" s="8" t="n"/>
      <c r="C1124" s="4" t="n"/>
      <c r="D1124" s="4" t="n"/>
      <c r="E1124" s="4" t="n"/>
      <c r="F1124" s="4" t="n"/>
      <c r="G1124" s="5" t="n"/>
      <c r="H1124" s="5" t="n"/>
      <c r="I1124" s="5" t="n"/>
      <c r="J1124" s="5" t="n"/>
    </row>
    <row r="1125">
      <c r="A1125" t="n">
        <v>1122</v>
      </c>
      <c r="B1125" s="8" t="n"/>
      <c r="C1125" s="4" t="n"/>
      <c r="D1125" s="4" t="n"/>
      <c r="E1125" s="4" t="n"/>
      <c r="F1125" s="4" t="n"/>
      <c r="G1125" s="5" t="n"/>
      <c r="H1125" s="5" t="n"/>
      <c r="I1125" s="5" t="n"/>
      <c r="J1125" s="5" t="n"/>
    </row>
    <row r="1126">
      <c r="A1126" t="n">
        <v>1123</v>
      </c>
      <c r="B1126" s="8" t="n"/>
      <c r="C1126" s="4" t="n"/>
      <c r="D1126" s="4" t="n"/>
      <c r="E1126" s="4" t="n"/>
      <c r="F1126" s="4" t="n"/>
      <c r="G1126" s="5" t="n"/>
      <c r="H1126" s="5" t="n"/>
      <c r="I1126" s="5" t="n"/>
      <c r="J1126" s="5" t="n"/>
    </row>
    <row r="1127">
      <c r="A1127" t="n">
        <v>1124</v>
      </c>
      <c r="B1127" s="8" t="n"/>
      <c r="C1127" s="4" t="n"/>
      <c r="D1127" s="4" t="n"/>
      <c r="E1127" s="4" t="n"/>
      <c r="F1127" s="4" t="n"/>
      <c r="G1127" s="5" t="n"/>
      <c r="H1127" s="5" t="n"/>
      <c r="I1127" s="5" t="n"/>
      <c r="J1127" s="5" t="n"/>
    </row>
    <row r="1128">
      <c r="A1128" t="n">
        <v>1125</v>
      </c>
      <c r="B1128" s="8" t="n"/>
      <c r="C1128" s="4" t="n"/>
      <c r="D1128" s="4" t="n"/>
      <c r="E1128" s="4" t="n"/>
      <c r="F1128" s="4" t="n"/>
      <c r="G1128" s="5" t="n"/>
      <c r="H1128" s="5" t="n"/>
      <c r="I1128" s="5" t="n"/>
      <c r="J1128" s="5" t="n"/>
    </row>
    <row r="1129">
      <c r="A1129" t="n">
        <v>1126</v>
      </c>
      <c r="B1129" s="8" t="n"/>
      <c r="C1129" s="4" t="n"/>
      <c r="D1129" s="4" t="n"/>
      <c r="E1129" s="4" t="n"/>
      <c r="F1129" s="4" t="n"/>
      <c r="G1129" s="5" t="n"/>
      <c r="H1129" s="5" t="n"/>
      <c r="I1129" s="5" t="n"/>
      <c r="J1129" s="5" t="n"/>
    </row>
    <row r="1130">
      <c r="A1130" t="n">
        <v>1127</v>
      </c>
      <c r="B1130" s="8" t="n"/>
      <c r="C1130" s="4" t="n"/>
      <c r="D1130" s="4" t="n"/>
      <c r="E1130" s="4" t="n"/>
      <c r="F1130" s="4" t="n"/>
      <c r="G1130" s="5" t="n"/>
      <c r="H1130" s="5" t="n"/>
      <c r="I1130" s="5" t="n"/>
      <c r="J1130" s="5" t="n"/>
    </row>
    <row r="1131">
      <c r="A1131" t="n">
        <v>1128</v>
      </c>
      <c r="B1131" s="8" t="n"/>
      <c r="C1131" s="4" t="n"/>
      <c r="D1131" s="4" t="n"/>
      <c r="E1131" s="4" t="n"/>
      <c r="F1131" s="4" t="n"/>
      <c r="G1131" s="5" t="n"/>
      <c r="H1131" s="5" t="n"/>
      <c r="I1131" s="5" t="n"/>
      <c r="J1131" s="5" t="n"/>
    </row>
    <row r="1132">
      <c r="A1132" t="n">
        <v>1129</v>
      </c>
      <c r="B1132" s="8" t="n"/>
      <c r="C1132" s="4" t="n"/>
      <c r="D1132" s="4" t="n"/>
      <c r="E1132" s="4" t="n"/>
      <c r="F1132" s="4" t="n"/>
      <c r="G1132" s="5" t="n"/>
      <c r="H1132" s="5" t="n"/>
      <c r="I1132" s="5" t="n"/>
      <c r="J1132" s="5" t="n"/>
    </row>
    <row r="1133">
      <c r="A1133" t="n">
        <v>1130</v>
      </c>
      <c r="B1133" s="8" t="n"/>
      <c r="C1133" s="4" t="n"/>
      <c r="D1133" s="4" t="n"/>
      <c r="E1133" s="4" t="n"/>
      <c r="F1133" s="4" t="n"/>
      <c r="G1133" s="5" t="n"/>
      <c r="H1133" s="5" t="n"/>
      <c r="I1133" s="5" t="n"/>
      <c r="J1133" s="5" t="n"/>
    </row>
    <row r="1134">
      <c r="A1134" t="n">
        <v>1131</v>
      </c>
      <c r="B1134" s="8" t="n"/>
      <c r="C1134" s="4" t="n"/>
      <c r="D1134" s="4" t="n"/>
      <c r="E1134" s="4" t="n"/>
      <c r="F1134" s="4" t="n"/>
      <c r="G1134" s="5" t="n"/>
      <c r="H1134" s="5" t="n"/>
      <c r="I1134" s="5" t="n"/>
      <c r="J1134" s="5" t="n"/>
    </row>
    <row r="1135">
      <c r="A1135" t="n">
        <v>1132</v>
      </c>
      <c r="B1135" s="8" t="n"/>
      <c r="C1135" s="4" t="n"/>
      <c r="D1135" s="4" t="n"/>
      <c r="E1135" s="4" t="n"/>
      <c r="F1135" s="4" t="n"/>
      <c r="G1135" s="5" t="n"/>
      <c r="H1135" s="5" t="n"/>
      <c r="I1135" s="5" t="n"/>
      <c r="J1135" s="5" t="n"/>
    </row>
    <row r="1136">
      <c r="A1136" t="n">
        <v>1133</v>
      </c>
      <c r="B1136" s="8" t="n"/>
      <c r="C1136" s="4" t="n"/>
      <c r="D1136" s="4" t="n"/>
      <c r="E1136" s="4" t="n"/>
      <c r="F1136" s="4" t="n"/>
      <c r="G1136" s="5" t="n"/>
      <c r="H1136" s="5" t="n"/>
      <c r="I1136" s="5" t="n"/>
      <c r="J1136" s="5" t="n"/>
    </row>
    <row r="1137">
      <c r="A1137" t="n">
        <v>1134</v>
      </c>
      <c r="B1137" s="8" t="n"/>
      <c r="C1137" s="4" t="n"/>
      <c r="D1137" s="4" t="n"/>
      <c r="E1137" s="4" t="n"/>
      <c r="F1137" s="4" t="n"/>
      <c r="G1137" s="5" t="n"/>
      <c r="H1137" s="5" t="n"/>
      <c r="I1137" s="5" t="n"/>
      <c r="J1137" s="5" t="n"/>
    </row>
    <row r="1138">
      <c r="A1138" t="n">
        <v>1135</v>
      </c>
      <c r="B1138" s="8" t="n"/>
      <c r="C1138" s="4" t="n"/>
      <c r="D1138" s="4" t="n"/>
      <c r="E1138" s="4" t="n"/>
      <c r="F1138" s="4" t="n"/>
      <c r="G1138" s="5" t="n"/>
      <c r="H1138" s="5" t="n"/>
      <c r="I1138" s="5" t="n"/>
      <c r="J1138" s="5" t="n"/>
    </row>
    <row r="1139">
      <c r="A1139" t="n">
        <v>1136</v>
      </c>
      <c r="B1139" s="8" t="n"/>
      <c r="C1139" s="4" t="n"/>
      <c r="D1139" s="4" t="n"/>
      <c r="E1139" s="4" t="n"/>
      <c r="F1139" s="4" t="n"/>
      <c r="G1139" s="5" t="n"/>
      <c r="H1139" s="5" t="n"/>
      <c r="I1139" s="5" t="n"/>
      <c r="J1139" s="5" t="n"/>
    </row>
    <row r="1140">
      <c r="A1140" t="n">
        <v>1137</v>
      </c>
      <c r="B1140" s="8" t="n"/>
      <c r="C1140" s="4" t="n"/>
      <c r="D1140" s="4" t="n"/>
      <c r="E1140" s="4" t="n"/>
      <c r="F1140" s="4" t="n"/>
      <c r="G1140" s="5" t="n"/>
      <c r="H1140" s="5" t="n"/>
      <c r="I1140" s="5" t="n"/>
      <c r="J1140" s="5" t="n"/>
    </row>
    <row r="1141">
      <c r="A1141" t="n">
        <v>1138</v>
      </c>
      <c r="B1141" s="8" t="n"/>
      <c r="C1141" s="4" t="n"/>
      <c r="D1141" s="4" t="n"/>
      <c r="E1141" s="4" t="n"/>
      <c r="F1141" s="4" t="n"/>
      <c r="G1141" s="5" t="n"/>
      <c r="H1141" s="5" t="n"/>
      <c r="I1141" s="5" t="n"/>
      <c r="J1141" s="5" t="n"/>
    </row>
    <row r="1142">
      <c r="A1142" t="n">
        <v>1139</v>
      </c>
      <c r="B1142" s="8" t="n"/>
      <c r="C1142" s="4" t="n"/>
      <c r="D1142" s="4" t="n"/>
      <c r="E1142" s="4" t="n"/>
      <c r="F1142" s="4" t="n"/>
      <c r="G1142" s="5" t="n"/>
      <c r="H1142" s="5" t="n"/>
      <c r="I1142" s="5" t="n"/>
      <c r="J1142" s="5" t="n"/>
    </row>
    <row r="1143">
      <c r="A1143" t="n">
        <v>1140</v>
      </c>
      <c r="B1143" s="8" t="n"/>
      <c r="C1143" s="4" t="n"/>
      <c r="D1143" s="4" t="n"/>
      <c r="E1143" s="4" t="n"/>
      <c r="F1143" s="4" t="n"/>
      <c r="G1143" s="5" t="n"/>
      <c r="H1143" s="5" t="n"/>
      <c r="I1143" s="5" t="n"/>
      <c r="J1143" s="5" t="n"/>
    </row>
    <row r="1144">
      <c r="A1144" t="n">
        <v>1141</v>
      </c>
      <c r="B1144" s="8" t="n"/>
      <c r="C1144" s="4" t="n"/>
      <c r="D1144" s="4" t="n"/>
      <c r="E1144" s="4" t="n"/>
      <c r="F1144" s="4" t="n"/>
      <c r="G1144" s="5" t="n"/>
      <c r="H1144" s="5" t="n"/>
      <c r="I1144" s="5" t="n"/>
      <c r="J1144" s="5" t="n"/>
    </row>
    <row r="1145">
      <c r="A1145" t="n">
        <v>1142</v>
      </c>
      <c r="B1145" s="8" t="n"/>
      <c r="C1145" s="4" t="n"/>
      <c r="D1145" s="4" t="n"/>
      <c r="E1145" s="4" t="n"/>
      <c r="F1145" s="4" t="n"/>
      <c r="G1145" s="5" t="n"/>
      <c r="H1145" s="5" t="n"/>
      <c r="I1145" s="5" t="n"/>
      <c r="J1145" s="5" t="n"/>
    </row>
    <row r="1146">
      <c r="A1146" t="n">
        <v>1143</v>
      </c>
      <c r="B1146" s="8" t="n"/>
      <c r="C1146" s="4" t="n"/>
      <c r="D1146" s="4" t="n"/>
      <c r="E1146" s="4" t="n"/>
      <c r="F1146" s="4" t="n"/>
      <c r="G1146" s="5" t="n"/>
      <c r="H1146" s="5" t="n"/>
      <c r="I1146" s="5" t="n"/>
      <c r="J1146" s="5" t="n"/>
    </row>
    <row r="1147">
      <c r="A1147" t="n">
        <v>1144</v>
      </c>
      <c r="B1147" s="8" t="n"/>
      <c r="C1147" s="4" t="n"/>
      <c r="D1147" s="4" t="n"/>
      <c r="E1147" s="4" t="n"/>
      <c r="F1147" s="4" t="n"/>
      <c r="G1147" s="5" t="n"/>
      <c r="H1147" s="5" t="n"/>
      <c r="I1147" s="5" t="n"/>
      <c r="J1147" s="5" t="n"/>
    </row>
    <row r="1148">
      <c r="A1148" t="n">
        <v>1145</v>
      </c>
      <c r="B1148" s="8" t="n"/>
      <c r="C1148" s="4" t="n"/>
      <c r="D1148" s="4" t="n"/>
      <c r="E1148" s="4" t="n"/>
      <c r="F1148" s="4" t="n"/>
      <c r="G1148" s="5" t="n"/>
      <c r="H1148" s="5" t="n"/>
      <c r="I1148" s="5" t="n"/>
      <c r="J1148" s="5" t="n"/>
    </row>
    <row r="1149">
      <c r="A1149" t="n">
        <v>1146</v>
      </c>
      <c r="B1149" s="8" t="n"/>
      <c r="C1149" s="4" t="n"/>
      <c r="D1149" s="4" t="n"/>
      <c r="E1149" s="4" t="n"/>
      <c r="F1149" s="4" t="n"/>
      <c r="G1149" s="5" t="n"/>
      <c r="H1149" s="5" t="n"/>
      <c r="I1149" s="5" t="n"/>
      <c r="J1149" s="5" t="n"/>
    </row>
    <row r="1150">
      <c r="A1150" t="n">
        <v>1147</v>
      </c>
      <c r="B1150" s="8" t="n"/>
      <c r="C1150" s="4" t="n"/>
      <c r="D1150" s="4" t="n"/>
      <c r="E1150" s="4" t="n"/>
      <c r="F1150" s="4" t="n"/>
      <c r="G1150" s="5" t="n"/>
      <c r="H1150" s="5" t="n"/>
      <c r="I1150" s="5" t="n"/>
      <c r="J1150" s="5" t="n"/>
    </row>
    <row r="1151">
      <c r="A1151" t="n">
        <v>1148</v>
      </c>
      <c r="B1151" s="8" t="n"/>
      <c r="C1151" s="4" t="n"/>
      <c r="D1151" s="4" t="n"/>
      <c r="E1151" s="4" t="n"/>
      <c r="F1151" s="4" t="n"/>
      <c r="G1151" s="5" t="n"/>
      <c r="H1151" s="5" t="n"/>
      <c r="I1151" s="5" t="n"/>
      <c r="J1151" s="5" t="n"/>
    </row>
    <row r="1152">
      <c r="A1152" t="n">
        <v>1149</v>
      </c>
      <c r="B1152" s="8" t="n"/>
      <c r="C1152" s="4" t="n"/>
      <c r="D1152" s="4" t="n"/>
      <c r="E1152" s="4" t="n"/>
      <c r="F1152" s="4" t="n"/>
      <c r="G1152" s="5" t="n"/>
      <c r="H1152" s="5" t="n"/>
      <c r="I1152" s="5" t="n"/>
      <c r="J1152" s="5" t="n"/>
    </row>
    <row r="1153">
      <c r="A1153" t="n">
        <v>1150</v>
      </c>
      <c r="B1153" s="8" t="n"/>
      <c r="C1153" s="4" t="n"/>
      <c r="D1153" s="4" t="n"/>
      <c r="E1153" s="4" t="n"/>
      <c r="F1153" s="4" t="n"/>
      <c r="G1153" s="5" t="n"/>
      <c r="H1153" s="5" t="n"/>
      <c r="I1153" s="5" t="n"/>
      <c r="J1153" s="5" t="n"/>
    </row>
    <row r="1154">
      <c r="A1154" t="n">
        <v>1151</v>
      </c>
      <c r="B1154" s="8" t="n"/>
      <c r="C1154" s="4" t="n"/>
      <c r="D1154" s="4" t="n"/>
      <c r="E1154" s="4" t="n"/>
      <c r="F1154" s="4" t="n"/>
      <c r="G1154" s="5" t="n"/>
      <c r="H1154" s="5" t="n"/>
      <c r="I1154" s="5" t="n"/>
      <c r="J1154" s="5" t="n"/>
    </row>
    <row r="1155">
      <c r="A1155" t="n">
        <v>1152</v>
      </c>
      <c r="B1155" s="8" t="n"/>
      <c r="C1155" s="4" t="n"/>
      <c r="D1155" s="4" t="n"/>
      <c r="E1155" s="4" t="n"/>
      <c r="F1155" s="4" t="n"/>
      <c r="G1155" s="5" t="n"/>
      <c r="H1155" s="5" t="n"/>
      <c r="I1155" s="5" t="n"/>
      <c r="J1155" s="5" t="n"/>
    </row>
    <row r="1156">
      <c r="A1156" t="n">
        <v>1153</v>
      </c>
      <c r="B1156" s="8" t="n"/>
      <c r="C1156" s="4" t="n"/>
      <c r="D1156" s="4" t="n"/>
      <c r="E1156" s="4" t="n"/>
      <c r="F1156" s="4" t="n"/>
      <c r="G1156" s="5" t="n"/>
      <c r="H1156" s="5" t="n"/>
      <c r="I1156" s="5" t="n"/>
      <c r="J1156" s="5" t="n"/>
    </row>
    <row r="1157">
      <c r="A1157" t="n">
        <v>1154</v>
      </c>
      <c r="B1157" s="8" t="n"/>
      <c r="C1157" s="4" t="n"/>
      <c r="D1157" s="4" t="n"/>
      <c r="E1157" s="4" t="n"/>
      <c r="F1157" s="4" t="n"/>
      <c r="G1157" s="5" t="n"/>
      <c r="H1157" s="5" t="n"/>
      <c r="I1157" s="5" t="n"/>
      <c r="J1157" s="5" t="n"/>
    </row>
    <row r="1158">
      <c r="A1158" t="n">
        <v>1155</v>
      </c>
      <c r="B1158" s="8" t="n"/>
      <c r="C1158" s="4" t="n"/>
      <c r="D1158" s="4" t="n"/>
      <c r="E1158" s="4" t="n"/>
      <c r="F1158" s="4" t="n"/>
      <c r="G1158" s="5" t="n"/>
      <c r="H1158" s="5" t="n"/>
      <c r="I1158" s="5" t="n"/>
      <c r="J1158" s="5" t="n"/>
    </row>
    <row r="1159">
      <c r="A1159" t="n">
        <v>1156</v>
      </c>
      <c r="B1159" s="8" t="n"/>
      <c r="C1159" s="4" t="n"/>
      <c r="D1159" s="4" t="n"/>
      <c r="E1159" s="4" t="n"/>
      <c r="F1159" s="4" t="n"/>
      <c r="G1159" s="5" t="n"/>
      <c r="H1159" s="5" t="n"/>
      <c r="I1159" s="5" t="n"/>
      <c r="J1159" s="5" t="n"/>
    </row>
    <row r="1160">
      <c r="A1160" t="n">
        <v>1157</v>
      </c>
      <c r="B1160" s="8" t="n"/>
      <c r="C1160" s="4" t="n"/>
      <c r="D1160" s="4" t="n"/>
      <c r="E1160" s="4" t="n"/>
      <c r="F1160" s="4" t="n"/>
      <c r="G1160" s="5" t="n"/>
      <c r="H1160" s="5" t="n"/>
      <c r="I1160" s="5" t="n"/>
      <c r="J1160" s="5" t="n"/>
    </row>
    <row r="1161">
      <c r="A1161" t="n">
        <v>1158</v>
      </c>
      <c r="B1161" s="8" t="n"/>
      <c r="C1161" s="4" t="n"/>
      <c r="D1161" s="4" t="n"/>
      <c r="E1161" s="4" t="n"/>
      <c r="F1161" s="4" t="n"/>
      <c r="G1161" s="5" t="n"/>
      <c r="H1161" s="5" t="n"/>
      <c r="I1161" s="5" t="n"/>
      <c r="J1161" s="5" t="n"/>
    </row>
    <row r="1162">
      <c r="A1162" t="n">
        <v>1159</v>
      </c>
      <c r="B1162" s="8" t="n"/>
      <c r="C1162" s="4" t="n"/>
      <c r="D1162" s="4" t="n"/>
      <c r="E1162" s="4" t="n"/>
      <c r="F1162" s="4" t="n"/>
      <c r="G1162" s="5" t="n"/>
      <c r="H1162" s="5" t="n"/>
      <c r="I1162" s="5" t="n"/>
      <c r="J1162" s="5" t="n"/>
    </row>
    <row r="1163">
      <c r="A1163" t="n">
        <v>1160</v>
      </c>
      <c r="B1163" s="8" t="n"/>
      <c r="C1163" s="4" t="n"/>
      <c r="D1163" s="4" t="n"/>
      <c r="E1163" s="4" t="n"/>
      <c r="F1163" s="4" t="n"/>
      <c r="G1163" s="5" t="n"/>
      <c r="H1163" s="5" t="n"/>
      <c r="I1163" s="5" t="n"/>
      <c r="J1163" s="5" t="n"/>
    </row>
    <row r="1164">
      <c r="A1164" t="n">
        <v>1161</v>
      </c>
      <c r="B1164" s="8" t="n"/>
      <c r="C1164" s="4" t="n"/>
      <c r="D1164" s="4" t="n"/>
      <c r="E1164" s="4" t="n"/>
      <c r="F1164" s="4" t="n"/>
      <c r="G1164" s="5" t="n"/>
      <c r="H1164" s="5" t="n"/>
      <c r="I1164" s="5" t="n"/>
      <c r="J1164" s="5" t="n"/>
    </row>
    <row r="1165">
      <c r="A1165" t="n">
        <v>1162</v>
      </c>
      <c r="B1165" s="8" t="n"/>
      <c r="C1165" s="4" t="n"/>
      <c r="D1165" s="4" t="n"/>
      <c r="E1165" s="4" t="n"/>
      <c r="F1165" s="4" t="n"/>
      <c r="G1165" s="5" t="n"/>
      <c r="H1165" s="5" t="n"/>
      <c r="I1165" s="5" t="n"/>
      <c r="J1165" s="5" t="n"/>
    </row>
    <row r="1166">
      <c r="A1166" t="n">
        <v>1163</v>
      </c>
      <c r="B1166" s="8" t="n"/>
      <c r="C1166" s="4" t="n"/>
      <c r="D1166" s="4" t="n"/>
      <c r="E1166" s="4" t="n"/>
      <c r="F1166" s="4" t="n"/>
      <c r="G1166" s="5" t="n"/>
      <c r="H1166" s="5" t="n"/>
      <c r="I1166" s="5" t="n"/>
      <c r="J1166" s="5" t="n"/>
    </row>
    <row r="1167">
      <c r="A1167" t="n">
        <v>1164</v>
      </c>
      <c r="B1167" s="8" t="n"/>
      <c r="C1167" s="4" t="n"/>
      <c r="D1167" s="4" t="n"/>
      <c r="E1167" s="4" t="n"/>
      <c r="F1167" s="4" t="n"/>
      <c r="G1167" s="5" t="n"/>
      <c r="H1167" s="5" t="n"/>
      <c r="I1167" s="5" t="n"/>
      <c r="J1167" s="5" t="n"/>
    </row>
    <row r="1168">
      <c r="A1168" t="n">
        <v>1165</v>
      </c>
      <c r="B1168" s="8" t="n"/>
      <c r="C1168" s="4" t="n"/>
      <c r="D1168" s="4" t="n"/>
      <c r="E1168" s="4" t="n"/>
      <c r="F1168" s="4" t="n"/>
      <c r="G1168" s="5" t="n"/>
      <c r="H1168" s="5" t="n"/>
      <c r="I1168" s="5" t="n"/>
      <c r="J1168" s="5" t="n"/>
    </row>
    <row r="1169">
      <c r="A1169" t="n">
        <v>1166</v>
      </c>
      <c r="B1169" s="8" t="n"/>
      <c r="C1169" s="4" t="n"/>
      <c r="D1169" s="4" t="n"/>
      <c r="E1169" s="4" t="n"/>
      <c r="F1169" s="4" t="n"/>
      <c r="G1169" s="5" t="n"/>
      <c r="H1169" s="5" t="n"/>
      <c r="I1169" s="5" t="n"/>
      <c r="J1169" s="5" t="n"/>
    </row>
    <row r="1170">
      <c r="A1170" t="n">
        <v>1167</v>
      </c>
      <c r="B1170" s="8" t="n"/>
      <c r="C1170" s="4" t="n"/>
      <c r="D1170" s="4" t="n"/>
      <c r="E1170" s="4" t="n"/>
      <c r="F1170" s="4" t="n"/>
      <c r="G1170" s="5" t="n"/>
      <c r="H1170" s="5" t="n"/>
      <c r="I1170" s="5" t="n"/>
      <c r="J1170" s="5" t="n"/>
    </row>
    <row r="1171">
      <c r="A1171" t="n">
        <v>1168</v>
      </c>
      <c r="B1171" s="8" t="n"/>
      <c r="C1171" s="4" t="n"/>
      <c r="D1171" s="4" t="n"/>
      <c r="E1171" s="4" t="n"/>
      <c r="F1171" s="4" t="n"/>
      <c r="G1171" s="5" t="n"/>
      <c r="H1171" s="5" t="n"/>
      <c r="I1171" s="5" t="n"/>
      <c r="J1171" s="5" t="n"/>
    </row>
    <row r="1172">
      <c r="A1172" t="n">
        <v>1169</v>
      </c>
      <c r="B1172" s="8" t="n"/>
      <c r="C1172" s="4" t="n"/>
      <c r="D1172" s="4" t="n"/>
      <c r="E1172" s="4" t="n"/>
      <c r="F1172" s="4" t="n"/>
      <c r="G1172" s="5" t="n"/>
      <c r="H1172" s="5" t="n"/>
      <c r="I1172" s="5" t="n"/>
      <c r="J1172" s="5" t="n"/>
    </row>
    <row r="1173">
      <c r="A1173" t="n">
        <v>1170</v>
      </c>
      <c r="B1173" s="8" t="n"/>
      <c r="C1173" s="4" t="n"/>
      <c r="D1173" s="4" t="n"/>
      <c r="E1173" s="4" t="n"/>
      <c r="F1173" s="4" t="n"/>
      <c r="G1173" s="5" t="n"/>
      <c r="H1173" s="5" t="n"/>
      <c r="I1173" s="5" t="n"/>
      <c r="J1173" s="5" t="n"/>
    </row>
    <row r="1174">
      <c r="A1174" t="n">
        <v>1171</v>
      </c>
      <c r="B1174" s="8" t="n"/>
      <c r="C1174" s="4" t="n"/>
      <c r="D1174" s="4" t="n"/>
      <c r="E1174" s="4" t="n"/>
      <c r="F1174" s="4" t="n"/>
      <c r="G1174" s="5" t="n"/>
      <c r="H1174" s="5" t="n"/>
      <c r="I1174" s="5" t="n"/>
      <c r="J1174" s="5" t="n"/>
    </row>
    <row r="1175">
      <c r="A1175" t="n">
        <v>1172</v>
      </c>
      <c r="B1175" s="8" t="n"/>
      <c r="C1175" s="4" t="n"/>
      <c r="D1175" s="4" t="n"/>
      <c r="E1175" s="4" t="n"/>
      <c r="F1175" s="4" t="n"/>
      <c r="G1175" s="5" t="n"/>
      <c r="H1175" s="5" t="n"/>
      <c r="I1175" s="5" t="n"/>
      <c r="J1175" s="5" t="n"/>
    </row>
    <row r="1176">
      <c r="A1176" t="n">
        <v>1173</v>
      </c>
      <c r="B1176" s="8" t="n"/>
      <c r="C1176" s="4" t="n"/>
      <c r="D1176" s="4" t="n"/>
      <c r="E1176" s="4" t="n"/>
      <c r="F1176" s="4" t="n"/>
      <c r="G1176" s="5" t="n"/>
      <c r="H1176" s="5" t="n"/>
      <c r="I1176" s="5" t="n"/>
      <c r="J1176" s="5" t="n"/>
    </row>
    <row r="1177">
      <c r="A1177" t="n">
        <v>1174</v>
      </c>
      <c r="B1177" s="8" t="n"/>
      <c r="C1177" s="4" t="n"/>
      <c r="D1177" s="4" t="n"/>
      <c r="E1177" s="4" t="n"/>
      <c r="F1177" s="4" t="n"/>
      <c r="G1177" s="5" t="n"/>
      <c r="H1177" s="5" t="n"/>
      <c r="I1177" s="5" t="n"/>
      <c r="J1177" s="5" t="n"/>
    </row>
    <row r="1178">
      <c r="A1178" t="n">
        <v>1175</v>
      </c>
      <c r="B1178" s="8" t="n"/>
      <c r="C1178" s="4" t="n"/>
      <c r="D1178" s="4" t="n"/>
      <c r="E1178" s="4" t="n"/>
      <c r="F1178" s="4" t="n"/>
      <c r="G1178" s="5" t="n"/>
      <c r="H1178" s="5" t="n"/>
      <c r="I1178" s="5" t="n"/>
      <c r="J1178" s="5" t="n"/>
    </row>
    <row r="1179">
      <c r="A1179" t="n">
        <v>1176</v>
      </c>
      <c r="B1179" s="8" t="n"/>
      <c r="C1179" s="4" t="n"/>
      <c r="D1179" s="4" t="n"/>
      <c r="E1179" s="4" t="n"/>
      <c r="F1179" s="4" t="n"/>
      <c r="G1179" s="5" t="n"/>
      <c r="H1179" s="5" t="n"/>
      <c r="I1179" s="5" t="n"/>
      <c r="J1179" s="5" t="n"/>
    </row>
    <row r="1180">
      <c r="A1180" t="n">
        <v>1177</v>
      </c>
      <c r="B1180" s="8" t="n"/>
      <c r="C1180" s="4" t="n"/>
      <c r="D1180" s="4" t="n"/>
      <c r="E1180" s="4" t="n"/>
      <c r="F1180" s="4" t="n"/>
      <c r="G1180" s="5" t="n"/>
      <c r="H1180" s="5" t="n"/>
      <c r="I1180" s="5" t="n"/>
      <c r="J1180" s="5" t="n"/>
    </row>
    <row r="1181">
      <c r="A1181" t="n">
        <v>1178</v>
      </c>
      <c r="B1181" s="8" t="n"/>
      <c r="C1181" s="4" t="n"/>
      <c r="D1181" s="4" t="n"/>
      <c r="E1181" s="4" t="n"/>
      <c r="F1181" s="4" t="n"/>
      <c r="G1181" s="5" t="n"/>
      <c r="H1181" s="5" t="n"/>
      <c r="I1181" s="5" t="n"/>
      <c r="J1181" s="5" t="n"/>
    </row>
    <row r="1182">
      <c r="A1182" t="n">
        <v>1179</v>
      </c>
      <c r="B1182" s="8" t="n"/>
      <c r="C1182" s="4" t="n"/>
      <c r="D1182" s="4" t="n"/>
      <c r="E1182" s="4" t="n"/>
      <c r="F1182" s="4" t="n"/>
      <c r="G1182" s="5" t="n"/>
      <c r="H1182" s="5" t="n"/>
      <c r="I1182" s="5" t="n"/>
      <c r="J1182" s="5" t="n"/>
    </row>
    <row r="1183">
      <c r="A1183" t="n">
        <v>1180</v>
      </c>
      <c r="B1183" s="8" t="n"/>
      <c r="C1183" s="4" t="n"/>
      <c r="D1183" s="4" t="n"/>
      <c r="E1183" s="4" t="n"/>
      <c r="F1183" s="4" t="n"/>
      <c r="G1183" s="5" t="n"/>
      <c r="H1183" s="5" t="n"/>
      <c r="I1183" s="5" t="n"/>
      <c r="J1183" s="5" t="n"/>
    </row>
    <row r="1184">
      <c r="A1184" t="n">
        <v>1181</v>
      </c>
      <c r="B1184" s="8" t="n"/>
      <c r="C1184" s="4" t="n"/>
      <c r="D1184" s="4" t="n"/>
      <c r="E1184" s="4" t="n"/>
      <c r="F1184" s="4" t="n"/>
      <c r="G1184" s="5" t="n"/>
      <c r="H1184" s="5" t="n"/>
      <c r="I1184" s="5" t="n"/>
      <c r="J1184" s="5" t="n"/>
    </row>
    <row r="1185">
      <c r="A1185" t="n">
        <v>1182</v>
      </c>
      <c r="B1185" s="8" t="n"/>
      <c r="C1185" s="4" t="n"/>
      <c r="D1185" s="4" t="n"/>
      <c r="E1185" s="4" t="n"/>
      <c r="F1185" s="4" t="n"/>
      <c r="G1185" s="5" t="n"/>
      <c r="H1185" s="5" t="n"/>
      <c r="I1185" s="5" t="n"/>
      <c r="J1185" s="5" t="n"/>
    </row>
    <row r="1186">
      <c r="A1186" t="n">
        <v>1183</v>
      </c>
      <c r="B1186" s="8" t="n"/>
      <c r="C1186" s="4" t="n"/>
      <c r="D1186" s="4" t="n"/>
      <c r="E1186" s="4" t="n"/>
      <c r="F1186" s="4" t="n"/>
      <c r="G1186" s="5" t="n"/>
      <c r="H1186" s="5" t="n"/>
      <c r="I1186" s="5" t="n"/>
      <c r="J1186" s="5" t="n"/>
    </row>
    <row r="1187">
      <c r="A1187" t="n">
        <v>1184</v>
      </c>
      <c r="B1187" s="8" t="n"/>
      <c r="C1187" s="4" t="n"/>
      <c r="D1187" s="4" t="n"/>
      <c r="E1187" s="4" t="n"/>
      <c r="F1187" s="4" t="n"/>
      <c r="G1187" s="5" t="n"/>
      <c r="H1187" s="5" t="n"/>
      <c r="I1187" s="5" t="n"/>
      <c r="J1187" s="5" t="n"/>
    </row>
    <row r="1188">
      <c r="A1188" t="n">
        <v>1185</v>
      </c>
      <c r="B1188" s="8" t="n"/>
      <c r="C1188" s="4" t="n"/>
      <c r="D1188" s="4" t="n"/>
      <c r="E1188" s="4" t="n"/>
      <c r="F1188" s="4" t="n"/>
      <c r="G1188" s="5" t="n"/>
      <c r="H1188" s="5" t="n"/>
      <c r="I1188" s="5" t="n"/>
      <c r="J1188" s="5" t="n"/>
    </row>
    <row r="1189">
      <c r="A1189" t="n">
        <v>1186</v>
      </c>
      <c r="B1189" s="8" t="n"/>
      <c r="C1189" s="4" t="n"/>
      <c r="D1189" s="4" t="n"/>
      <c r="E1189" s="4" t="n"/>
      <c r="F1189" s="4" t="n"/>
      <c r="G1189" s="5" t="n"/>
      <c r="H1189" s="5" t="n"/>
      <c r="I1189" s="5" t="n"/>
      <c r="J1189" s="5" t="n"/>
    </row>
    <row r="1190">
      <c r="A1190" t="n">
        <v>1187</v>
      </c>
      <c r="B1190" s="8" t="n"/>
      <c r="C1190" s="4" t="n"/>
      <c r="D1190" s="4" t="n"/>
      <c r="E1190" s="4" t="n"/>
      <c r="F1190" s="4" t="n"/>
      <c r="G1190" s="5" t="n"/>
      <c r="H1190" s="5" t="n"/>
      <c r="I1190" s="5" t="n"/>
      <c r="J1190" s="5" t="n"/>
    </row>
    <row r="1191">
      <c r="A1191" t="n">
        <v>1188</v>
      </c>
      <c r="B1191" s="8" t="n"/>
      <c r="C1191" s="4" t="n"/>
      <c r="D1191" s="4" t="n"/>
      <c r="E1191" s="4" t="n"/>
      <c r="F1191" s="4" t="n"/>
      <c r="G1191" s="5" t="n"/>
      <c r="H1191" s="5" t="n"/>
      <c r="I1191" s="5" t="n"/>
      <c r="J1191" s="5" t="n"/>
    </row>
    <row r="1192">
      <c r="A1192" t="n">
        <v>1189</v>
      </c>
      <c r="B1192" s="8" t="n"/>
      <c r="C1192" s="4" t="n"/>
      <c r="D1192" s="4" t="n"/>
      <c r="E1192" s="4" t="n"/>
      <c r="F1192" s="4" t="n"/>
      <c r="G1192" s="5" t="n"/>
      <c r="H1192" s="5" t="n"/>
      <c r="I1192" s="5" t="n"/>
      <c r="J1192" s="5" t="n"/>
    </row>
    <row r="1193">
      <c r="A1193" t="n">
        <v>1190</v>
      </c>
      <c r="B1193" s="8" t="n"/>
      <c r="C1193" s="4" t="n"/>
      <c r="D1193" s="4" t="n"/>
      <c r="E1193" s="4" t="n"/>
      <c r="F1193" s="4" t="n"/>
      <c r="G1193" s="5" t="n"/>
      <c r="H1193" s="5" t="n"/>
      <c r="I1193" s="5" t="n"/>
      <c r="J1193" s="5" t="n"/>
    </row>
    <row r="1194">
      <c r="A1194" t="n">
        <v>1191</v>
      </c>
      <c r="B1194" s="8" t="n"/>
      <c r="C1194" s="4" t="n"/>
      <c r="D1194" s="4" t="n"/>
      <c r="E1194" s="4" t="n"/>
      <c r="F1194" s="4" t="n"/>
      <c r="G1194" s="5" t="n"/>
      <c r="H1194" s="5" t="n"/>
      <c r="I1194" s="5" t="n"/>
      <c r="J1194" s="5" t="n"/>
    </row>
    <row r="1195">
      <c r="A1195" t="n">
        <v>1192</v>
      </c>
      <c r="B1195" s="8" t="n"/>
      <c r="C1195" s="4" t="n"/>
      <c r="D1195" s="4" t="n"/>
      <c r="E1195" s="4" t="n"/>
      <c r="F1195" s="4" t="n"/>
      <c r="G1195" s="5" t="n"/>
      <c r="H1195" s="5" t="n"/>
      <c r="I1195" s="5" t="n"/>
      <c r="J1195" s="5" t="n"/>
    </row>
    <row r="1196">
      <c r="A1196" t="n">
        <v>1193</v>
      </c>
      <c r="B1196" s="8" t="n"/>
      <c r="C1196" s="4" t="n"/>
      <c r="D1196" s="4" t="n"/>
      <c r="E1196" s="4" t="n"/>
      <c r="F1196" s="4" t="n"/>
      <c r="G1196" s="5" t="n"/>
      <c r="H1196" s="5" t="n"/>
      <c r="I1196" s="5" t="n"/>
      <c r="J1196" s="5" t="n"/>
    </row>
    <row r="1197">
      <c r="A1197" t="n">
        <v>1194</v>
      </c>
      <c r="B1197" s="8" t="n"/>
      <c r="C1197" s="4" t="n"/>
      <c r="D1197" s="4" t="n"/>
      <c r="E1197" s="4" t="n"/>
      <c r="F1197" s="4" t="n"/>
      <c r="G1197" s="5" t="n"/>
      <c r="H1197" s="5" t="n"/>
      <c r="I1197" s="5" t="n"/>
      <c r="J1197" s="5" t="n"/>
    </row>
    <row r="1198">
      <c r="A1198" t="n">
        <v>1195</v>
      </c>
      <c r="B1198" s="8" t="n"/>
      <c r="C1198" s="4" t="n"/>
      <c r="D1198" s="4" t="n"/>
      <c r="E1198" s="4" t="n"/>
      <c r="F1198" s="4" t="n"/>
      <c r="G1198" s="5" t="n"/>
      <c r="H1198" s="5" t="n"/>
      <c r="I1198" s="5" t="n"/>
      <c r="J1198" s="5" t="n"/>
    </row>
    <row r="1199">
      <c r="A1199" t="n">
        <v>1196</v>
      </c>
      <c r="B1199" s="8" t="n"/>
      <c r="C1199" s="4" t="n"/>
      <c r="D1199" s="4" t="n"/>
      <c r="E1199" s="4" t="n"/>
      <c r="F1199" s="4" t="n"/>
      <c r="G1199" s="5" t="n"/>
      <c r="H1199" s="5" t="n"/>
      <c r="I1199" s="5" t="n"/>
      <c r="J1199" s="5" t="n"/>
    </row>
    <row r="1200">
      <c r="A1200" t="n">
        <v>1197</v>
      </c>
      <c r="B1200" s="8" t="n"/>
      <c r="C1200" s="4" t="n"/>
      <c r="D1200" s="4" t="n"/>
      <c r="E1200" s="4" t="n"/>
      <c r="F1200" s="4" t="n"/>
      <c r="G1200" s="5" t="n"/>
      <c r="H1200" s="5" t="n"/>
      <c r="I1200" s="5" t="n"/>
      <c r="J1200" s="5" t="n"/>
    </row>
    <row r="1201">
      <c r="A1201" t="n">
        <v>1198</v>
      </c>
      <c r="B1201" s="8" t="n"/>
      <c r="C1201" s="4" t="n"/>
      <c r="D1201" s="4" t="n"/>
      <c r="E1201" s="4" t="n"/>
      <c r="F1201" s="4" t="n"/>
      <c r="G1201" s="5" t="n"/>
      <c r="H1201" s="5" t="n"/>
      <c r="I1201" s="5" t="n"/>
      <c r="J1201" s="5" t="n"/>
    </row>
    <row r="1202">
      <c r="A1202" t="n">
        <v>1199</v>
      </c>
      <c r="B1202" s="8" t="n"/>
      <c r="C1202" s="4" t="n"/>
      <c r="D1202" s="4" t="n"/>
      <c r="E1202" s="4" t="n"/>
      <c r="F1202" s="4" t="n"/>
      <c r="G1202" s="5" t="n"/>
      <c r="H1202" s="5" t="n"/>
      <c r="I1202" s="5" t="n"/>
      <c r="J1202" s="5" t="n"/>
    </row>
    <row r="1203">
      <c r="A1203" t="n">
        <v>1200</v>
      </c>
      <c r="B1203" s="8" t="n"/>
      <c r="C1203" s="4" t="n"/>
      <c r="D1203" s="4" t="n"/>
      <c r="E1203" s="4" t="n"/>
      <c r="F1203" s="4" t="n"/>
      <c r="G1203" s="5" t="n"/>
      <c r="H1203" s="5" t="n"/>
      <c r="I1203" s="5" t="n"/>
      <c r="J1203" s="5" t="n"/>
    </row>
    <row r="1204">
      <c r="A1204" t="n">
        <v>1201</v>
      </c>
      <c r="B1204" s="8" t="n"/>
      <c r="C1204" s="4" t="n"/>
      <c r="D1204" s="4" t="n"/>
      <c r="E1204" s="4" t="n"/>
      <c r="F1204" s="4" t="n"/>
      <c r="G1204" s="5" t="n"/>
      <c r="H1204" s="5" t="n"/>
      <c r="I1204" s="5" t="n"/>
      <c r="J1204" s="5" t="n"/>
    </row>
    <row r="1205">
      <c r="A1205" t="n">
        <v>1202</v>
      </c>
      <c r="B1205" s="8" t="n"/>
      <c r="C1205" s="4" t="n"/>
      <c r="D1205" s="4" t="n"/>
      <c r="E1205" s="4" t="n"/>
      <c r="F1205" s="4" t="n"/>
      <c r="G1205" s="5" t="n"/>
      <c r="H1205" s="5" t="n"/>
      <c r="I1205" s="5" t="n"/>
      <c r="J1205" s="5" t="n"/>
    </row>
    <row r="1206">
      <c r="A1206" t="n">
        <v>1203</v>
      </c>
      <c r="B1206" s="8" t="n"/>
      <c r="C1206" s="4" t="n"/>
      <c r="D1206" s="4" t="n"/>
      <c r="E1206" s="4" t="n"/>
      <c r="F1206" s="4" t="n"/>
      <c r="G1206" s="5" t="n"/>
      <c r="H1206" s="5" t="n"/>
      <c r="I1206" s="5" t="n"/>
      <c r="J1206" s="5" t="n"/>
    </row>
    <row r="1207">
      <c r="A1207" t="n">
        <v>1204</v>
      </c>
      <c r="B1207" s="8" t="n"/>
      <c r="C1207" s="4" t="n"/>
      <c r="D1207" s="4" t="n"/>
      <c r="E1207" s="4" t="n"/>
      <c r="F1207" s="4" t="n"/>
      <c r="G1207" s="5" t="n"/>
      <c r="H1207" s="5" t="n"/>
      <c r="I1207" s="5" t="n"/>
      <c r="J1207" s="5" t="n"/>
    </row>
    <row r="1208">
      <c r="A1208" t="n">
        <v>1205</v>
      </c>
      <c r="B1208" s="8" t="n"/>
      <c r="C1208" s="4" t="n"/>
      <c r="D1208" s="4" t="n"/>
      <c r="E1208" s="4" t="n"/>
      <c r="F1208" s="4" t="n"/>
      <c r="G1208" s="5" t="n"/>
      <c r="H1208" s="5" t="n"/>
      <c r="I1208" s="5" t="n"/>
      <c r="J1208" s="5" t="n"/>
    </row>
    <row r="1209">
      <c r="A1209" t="n">
        <v>1206</v>
      </c>
      <c r="B1209" s="8" t="n"/>
      <c r="C1209" s="4" t="n"/>
      <c r="D1209" s="4" t="n"/>
      <c r="E1209" s="4" t="n"/>
      <c r="F1209" s="4" t="n"/>
      <c r="G1209" s="5" t="n"/>
      <c r="H1209" s="5" t="n"/>
      <c r="I1209" s="5" t="n"/>
      <c r="J1209" s="5" t="n"/>
    </row>
    <row r="1210">
      <c r="A1210" t="n">
        <v>1207</v>
      </c>
      <c r="B1210" s="8" t="n"/>
      <c r="C1210" s="4" t="n"/>
      <c r="D1210" s="4" t="n"/>
      <c r="E1210" s="4" t="n"/>
      <c r="F1210" s="4" t="n"/>
      <c r="G1210" s="5" t="n"/>
      <c r="H1210" s="5" t="n"/>
      <c r="I1210" s="5" t="n"/>
      <c r="J1210" s="5" t="n"/>
    </row>
    <row r="1211">
      <c r="A1211" t="n">
        <v>1208</v>
      </c>
      <c r="B1211" s="8" t="n"/>
      <c r="C1211" s="4" t="n"/>
      <c r="D1211" s="4" t="n"/>
      <c r="E1211" s="4" t="n"/>
      <c r="F1211" s="4" t="n"/>
      <c r="G1211" s="5" t="n"/>
      <c r="H1211" s="5" t="n"/>
      <c r="I1211" s="5" t="n"/>
      <c r="J1211" s="5" t="n"/>
    </row>
    <row r="1212">
      <c r="A1212" t="n">
        <v>1209</v>
      </c>
      <c r="B1212" s="8" t="n"/>
      <c r="C1212" s="4" t="n"/>
      <c r="D1212" s="4" t="n"/>
      <c r="E1212" s="4" t="n"/>
      <c r="F1212" s="4" t="n"/>
      <c r="G1212" s="5" t="n"/>
      <c r="H1212" s="5" t="n"/>
      <c r="I1212" s="5" t="n"/>
      <c r="J1212" s="5" t="n"/>
    </row>
    <row r="1213">
      <c r="A1213" t="n">
        <v>1210</v>
      </c>
      <c r="B1213" s="8" t="n"/>
      <c r="C1213" s="4" t="n"/>
      <c r="D1213" s="4" t="n"/>
      <c r="E1213" s="4" t="n"/>
      <c r="F1213" s="4" t="n"/>
      <c r="G1213" s="5" t="n"/>
      <c r="H1213" s="5" t="n"/>
      <c r="I1213" s="5" t="n"/>
      <c r="J1213" s="5" t="n"/>
    </row>
    <row r="1214">
      <c r="A1214" t="n">
        <v>1211</v>
      </c>
      <c r="B1214" s="8" t="n"/>
      <c r="C1214" s="4" t="n"/>
      <c r="D1214" s="4" t="n"/>
      <c r="E1214" s="4" t="n"/>
      <c r="F1214" s="4" t="n"/>
      <c r="G1214" s="5" t="n"/>
      <c r="H1214" s="5" t="n"/>
      <c r="I1214" s="5" t="n"/>
      <c r="J1214" s="5" t="n"/>
    </row>
    <row r="1215">
      <c r="A1215" t="n">
        <v>1212</v>
      </c>
      <c r="B1215" s="8" t="n"/>
      <c r="C1215" s="4" t="n"/>
      <c r="D1215" s="4" t="n"/>
      <c r="E1215" s="4" t="n"/>
      <c r="F1215" s="4" t="n"/>
      <c r="G1215" s="5" t="n"/>
      <c r="H1215" s="5" t="n"/>
      <c r="I1215" s="5" t="n"/>
      <c r="J1215" s="5" t="n"/>
    </row>
    <row r="1216">
      <c r="A1216" t="n">
        <v>1213</v>
      </c>
      <c r="B1216" s="8" t="n"/>
      <c r="C1216" s="4" t="n"/>
      <c r="D1216" s="4" t="n"/>
      <c r="E1216" s="4" t="n"/>
      <c r="F1216" s="4" t="n"/>
      <c r="G1216" s="5" t="n"/>
      <c r="H1216" s="5" t="n"/>
      <c r="I1216" s="5" t="n"/>
      <c r="J1216" s="5" t="n"/>
    </row>
    <row r="1217">
      <c r="A1217" t="n">
        <v>1214</v>
      </c>
      <c r="B1217" s="8" t="n"/>
      <c r="C1217" s="4" t="n"/>
      <c r="D1217" s="4" t="n"/>
      <c r="E1217" s="4" t="n"/>
      <c r="F1217" s="4" t="n"/>
      <c r="G1217" s="5" t="n"/>
      <c r="H1217" s="5" t="n"/>
      <c r="I1217" s="5" t="n"/>
      <c r="J1217" s="5" t="n"/>
    </row>
    <row r="1218">
      <c r="A1218" t="n">
        <v>1215</v>
      </c>
      <c r="B1218" s="8" t="n"/>
      <c r="C1218" s="4" t="n"/>
      <c r="D1218" s="4" t="n"/>
      <c r="E1218" s="4" t="n"/>
      <c r="F1218" s="4" t="n"/>
      <c r="G1218" s="5" t="n"/>
      <c r="H1218" s="5" t="n"/>
      <c r="I1218" s="5" t="n"/>
      <c r="J1218" s="5" t="n"/>
    </row>
    <row r="1219">
      <c r="A1219" t="n">
        <v>1216</v>
      </c>
      <c r="B1219" s="8" t="n"/>
      <c r="C1219" s="4" t="n"/>
      <c r="D1219" s="4" t="n"/>
      <c r="E1219" s="4" t="n"/>
      <c r="F1219" s="4" t="n"/>
      <c r="G1219" s="5" t="n"/>
      <c r="H1219" s="5" t="n"/>
      <c r="I1219" s="5" t="n"/>
      <c r="J1219" s="5" t="n"/>
    </row>
    <row r="1220">
      <c r="A1220" t="n">
        <v>1217</v>
      </c>
      <c r="B1220" s="8" t="n"/>
      <c r="C1220" s="4" t="n"/>
      <c r="D1220" s="4" t="n"/>
      <c r="E1220" s="4" t="n"/>
      <c r="F1220" s="4" t="n"/>
      <c r="G1220" s="5" t="n"/>
      <c r="H1220" s="5" t="n"/>
      <c r="I1220" s="5" t="n"/>
      <c r="J1220" s="5" t="n"/>
    </row>
    <row r="1221">
      <c r="A1221" t="n">
        <v>1218</v>
      </c>
      <c r="B1221" s="8" t="n"/>
      <c r="C1221" s="4" t="n"/>
      <c r="D1221" s="4" t="n"/>
      <c r="E1221" s="4" t="n"/>
      <c r="F1221" s="4" t="n"/>
      <c r="G1221" s="5" t="n"/>
      <c r="H1221" s="5" t="n"/>
      <c r="I1221" s="5" t="n"/>
      <c r="J1221" s="5" t="n"/>
    </row>
    <row r="1222">
      <c r="A1222" t="n">
        <v>1219</v>
      </c>
      <c r="B1222" s="8" t="n"/>
      <c r="C1222" s="4" t="n"/>
      <c r="D1222" s="4" t="n"/>
      <c r="E1222" s="4" t="n"/>
      <c r="F1222" s="4" t="n"/>
      <c r="G1222" s="5" t="n"/>
      <c r="H1222" s="5" t="n"/>
      <c r="I1222" s="5" t="n"/>
      <c r="J1222" s="5" t="n"/>
    </row>
    <row r="1223">
      <c r="A1223" t="n">
        <v>1220</v>
      </c>
      <c r="B1223" s="8" t="n"/>
      <c r="C1223" s="4" t="n"/>
      <c r="D1223" s="4" t="n"/>
      <c r="E1223" s="4" t="n"/>
      <c r="F1223" s="4" t="n"/>
      <c r="G1223" s="5" t="n"/>
      <c r="H1223" s="5" t="n"/>
      <c r="I1223" s="5" t="n"/>
      <c r="J1223" s="5" t="n"/>
    </row>
    <row r="1224">
      <c r="A1224" t="n">
        <v>1221</v>
      </c>
      <c r="B1224" s="8" t="n"/>
      <c r="C1224" s="4" t="n"/>
      <c r="D1224" s="4" t="n"/>
      <c r="E1224" s="4" t="n"/>
      <c r="F1224" s="4" t="n"/>
      <c r="G1224" s="5" t="n"/>
      <c r="H1224" s="5" t="n"/>
      <c r="I1224" s="5" t="n"/>
      <c r="J1224" s="5" t="n"/>
    </row>
    <row r="1225">
      <c r="A1225" t="n">
        <v>1222</v>
      </c>
      <c r="B1225" s="8" t="n"/>
      <c r="C1225" s="4" t="n"/>
      <c r="D1225" s="4" t="n"/>
      <c r="E1225" s="4" t="n"/>
      <c r="F1225" s="4" t="n"/>
      <c r="G1225" s="5" t="n"/>
      <c r="H1225" s="5" t="n"/>
      <c r="I1225" s="5" t="n"/>
      <c r="J1225" s="5" t="n"/>
    </row>
    <row r="1226">
      <c r="A1226" t="n">
        <v>1223</v>
      </c>
      <c r="B1226" s="8" t="n"/>
      <c r="C1226" s="4" t="n"/>
      <c r="D1226" s="4" t="n"/>
      <c r="E1226" s="4" t="n"/>
      <c r="F1226" s="4" t="n"/>
      <c r="G1226" s="5" t="n"/>
      <c r="H1226" s="5" t="n"/>
      <c r="I1226" s="5" t="n"/>
      <c r="J1226" s="5" t="n"/>
    </row>
    <row r="1227">
      <c r="A1227" t="n">
        <v>1224</v>
      </c>
      <c r="B1227" s="8" t="n"/>
      <c r="C1227" s="4" t="n"/>
      <c r="D1227" s="4" t="n"/>
      <c r="E1227" s="4" t="n"/>
      <c r="F1227" s="4" t="n"/>
      <c r="G1227" s="5" t="n"/>
      <c r="H1227" s="5" t="n"/>
      <c r="I1227" s="5" t="n"/>
      <c r="J1227" s="5" t="n"/>
    </row>
    <row r="1228">
      <c r="A1228" t="n">
        <v>1225</v>
      </c>
      <c r="B1228" s="8" t="n"/>
      <c r="C1228" s="4" t="n"/>
      <c r="D1228" s="4" t="n"/>
      <c r="E1228" s="4" t="n"/>
      <c r="F1228" s="4" t="n"/>
      <c r="G1228" s="5" t="n"/>
      <c r="H1228" s="5" t="n"/>
      <c r="I1228" s="5" t="n"/>
      <c r="J1228" s="5" t="n"/>
    </row>
    <row r="1229">
      <c r="A1229" t="n">
        <v>1226</v>
      </c>
      <c r="B1229" s="8" t="n"/>
      <c r="C1229" s="4" t="n"/>
      <c r="D1229" s="4" t="n"/>
      <c r="E1229" s="4" t="n"/>
      <c r="F1229" s="4" t="n"/>
      <c r="G1229" s="5" t="n"/>
      <c r="H1229" s="5" t="n"/>
      <c r="I1229" s="5" t="n"/>
      <c r="J1229" s="5" t="n"/>
    </row>
    <row r="1230">
      <c r="A1230" t="n">
        <v>1227</v>
      </c>
      <c r="B1230" s="8" t="n"/>
      <c r="C1230" s="4" t="n"/>
      <c r="D1230" s="4" t="n"/>
      <c r="E1230" s="4" t="n"/>
      <c r="F1230" s="4" t="n"/>
      <c r="G1230" s="5" t="n"/>
      <c r="H1230" s="5" t="n"/>
      <c r="I1230" s="5" t="n"/>
      <c r="J1230" s="5" t="n"/>
    </row>
    <row r="1231">
      <c r="A1231" t="n">
        <v>1228</v>
      </c>
      <c r="B1231" s="8" t="n"/>
      <c r="C1231" s="4" t="n"/>
      <c r="D1231" s="4" t="n"/>
      <c r="E1231" s="4" t="n"/>
      <c r="F1231" s="4" t="n"/>
      <c r="G1231" s="5" t="n"/>
      <c r="H1231" s="5" t="n"/>
      <c r="I1231" s="5" t="n"/>
      <c r="J1231" s="5" t="n"/>
    </row>
    <row r="1232">
      <c r="A1232" t="n">
        <v>1229</v>
      </c>
      <c r="B1232" s="8" t="n"/>
      <c r="C1232" s="4" t="n"/>
      <c r="D1232" s="4" t="n"/>
      <c r="E1232" s="4" t="n"/>
      <c r="F1232" s="4" t="n"/>
      <c r="G1232" s="5" t="n"/>
      <c r="H1232" s="5" t="n"/>
      <c r="I1232" s="5" t="n"/>
      <c r="J1232" s="5" t="n"/>
    </row>
    <row r="1233">
      <c r="A1233" t="n">
        <v>1230</v>
      </c>
      <c r="B1233" s="8" t="n"/>
      <c r="C1233" s="4" t="n"/>
      <c r="D1233" s="4" t="n"/>
      <c r="E1233" s="4" t="n"/>
      <c r="F1233" s="4" t="n"/>
      <c r="G1233" s="5" t="n"/>
      <c r="H1233" s="5" t="n"/>
      <c r="I1233" s="5" t="n"/>
      <c r="J1233" s="5" t="n"/>
    </row>
    <row r="1234">
      <c r="A1234" t="n">
        <v>1231</v>
      </c>
      <c r="B1234" s="8" t="n"/>
      <c r="C1234" s="4" t="n"/>
      <c r="D1234" s="4" t="n"/>
      <c r="E1234" s="4" t="n"/>
      <c r="F1234" s="4" t="n"/>
      <c r="G1234" s="5" t="n"/>
      <c r="H1234" s="5" t="n"/>
      <c r="I1234" s="5" t="n"/>
      <c r="J1234" s="5" t="n"/>
    </row>
    <row r="1235">
      <c r="A1235" t="n">
        <v>1232</v>
      </c>
      <c r="B1235" s="8" t="n"/>
      <c r="C1235" s="4" t="n"/>
      <c r="D1235" s="4" t="n"/>
      <c r="E1235" s="4" t="n"/>
      <c r="F1235" s="4" t="n"/>
      <c r="G1235" s="5" t="n"/>
      <c r="H1235" s="5" t="n"/>
      <c r="I1235" s="5" t="n"/>
      <c r="J1235" s="5" t="n"/>
    </row>
    <row r="1236">
      <c r="A1236" t="n">
        <v>1233</v>
      </c>
      <c r="B1236" s="8" t="n"/>
      <c r="C1236" s="4" t="n"/>
      <c r="D1236" s="4" t="n"/>
      <c r="E1236" s="4" t="n"/>
      <c r="F1236" s="4" t="n"/>
      <c r="G1236" s="5" t="n"/>
      <c r="H1236" s="5" t="n"/>
      <c r="I1236" s="5" t="n"/>
      <c r="J1236" s="5" t="n"/>
    </row>
    <row r="1237">
      <c r="A1237" t="n">
        <v>1234</v>
      </c>
      <c r="B1237" s="8" t="n"/>
      <c r="C1237" s="4" t="n"/>
      <c r="D1237" s="4" t="n"/>
      <c r="E1237" s="4" t="n"/>
      <c r="F1237" s="4" t="n"/>
      <c r="G1237" s="5" t="n"/>
      <c r="H1237" s="5" t="n"/>
      <c r="I1237" s="5" t="n"/>
      <c r="J1237" s="5" t="n"/>
    </row>
    <row r="1238">
      <c r="A1238" t="n">
        <v>1235</v>
      </c>
      <c r="B1238" s="8" t="n"/>
      <c r="C1238" s="4" t="n"/>
      <c r="D1238" s="4" t="n"/>
      <c r="E1238" s="4" t="n"/>
      <c r="F1238" s="4" t="n"/>
      <c r="G1238" s="5" t="n"/>
      <c r="H1238" s="5" t="n"/>
      <c r="I1238" s="5" t="n"/>
      <c r="J1238" s="5" t="n"/>
    </row>
    <row r="1239">
      <c r="A1239" t="n">
        <v>1236</v>
      </c>
      <c r="B1239" s="8" t="n"/>
      <c r="C1239" s="4" t="n"/>
      <c r="D1239" s="4" t="n"/>
      <c r="E1239" s="4" t="n"/>
      <c r="F1239" s="4" t="n"/>
      <c r="G1239" s="5" t="n"/>
      <c r="H1239" s="5" t="n"/>
      <c r="I1239" s="5" t="n"/>
      <c r="J1239" s="5" t="n"/>
    </row>
    <row r="1240">
      <c r="A1240" t="n">
        <v>1237</v>
      </c>
      <c r="B1240" s="8" t="n"/>
      <c r="C1240" s="4" t="n"/>
      <c r="D1240" s="4" t="n"/>
      <c r="E1240" s="4" t="n"/>
      <c r="F1240" s="4" t="n"/>
      <c r="G1240" s="5" t="n"/>
      <c r="H1240" s="5" t="n"/>
      <c r="I1240" s="5" t="n"/>
      <c r="J1240" s="5" t="n"/>
    </row>
    <row r="1241">
      <c r="A1241" t="n">
        <v>1238</v>
      </c>
      <c r="B1241" s="8" t="n"/>
      <c r="C1241" s="4" t="n"/>
      <c r="D1241" s="4" t="n"/>
      <c r="E1241" s="4" t="n"/>
      <c r="F1241" s="4" t="n"/>
      <c r="G1241" s="5" t="n"/>
      <c r="H1241" s="5" t="n"/>
      <c r="I1241" s="5" t="n"/>
      <c r="J1241" s="5" t="n"/>
    </row>
    <row r="1242">
      <c r="A1242" t="n">
        <v>1239</v>
      </c>
      <c r="B1242" s="8" t="n"/>
      <c r="C1242" s="4" t="n"/>
      <c r="D1242" s="4" t="n"/>
      <c r="E1242" s="4" t="n"/>
      <c r="F1242" s="4" t="n"/>
      <c r="G1242" s="5" t="n"/>
      <c r="H1242" s="5" t="n"/>
      <c r="I1242" s="5" t="n"/>
      <c r="J1242" s="5" t="n"/>
    </row>
    <row r="1243">
      <c r="A1243" t="n">
        <v>1240</v>
      </c>
      <c r="B1243" s="8" t="n"/>
      <c r="C1243" s="4" t="n"/>
      <c r="D1243" s="4" t="n"/>
      <c r="E1243" s="4" t="n"/>
      <c r="F1243" s="4" t="n"/>
      <c r="G1243" s="5" t="n"/>
      <c r="H1243" s="5" t="n"/>
      <c r="I1243" s="5" t="n"/>
      <c r="J1243" s="5" t="n"/>
    </row>
    <row r="1244">
      <c r="A1244" t="n">
        <v>1241</v>
      </c>
      <c r="B1244" s="8" t="n"/>
      <c r="C1244" s="4" t="n"/>
      <c r="D1244" s="4" t="n"/>
      <c r="E1244" s="4" t="n"/>
      <c r="F1244" s="4" t="n"/>
      <c r="G1244" s="5" t="n"/>
      <c r="H1244" s="5" t="n"/>
      <c r="I1244" s="5" t="n"/>
      <c r="J1244" s="5" t="n"/>
    </row>
    <row r="1245">
      <c r="A1245" t="n">
        <v>1242</v>
      </c>
      <c r="B1245" s="8" t="n"/>
      <c r="C1245" s="4" t="n"/>
      <c r="D1245" s="4" t="n"/>
      <c r="E1245" s="4" t="n"/>
      <c r="F1245" s="4" t="n"/>
      <c r="G1245" s="5" t="n"/>
      <c r="H1245" s="5" t="n"/>
      <c r="I1245" s="5" t="n"/>
      <c r="J1245" s="5" t="n"/>
    </row>
    <row r="1246">
      <c r="A1246" t="n">
        <v>1243</v>
      </c>
      <c r="B1246" s="8" t="n"/>
      <c r="C1246" s="4" t="n"/>
      <c r="D1246" s="4" t="n"/>
      <c r="E1246" s="4" t="n"/>
      <c r="F1246" s="4" t="n"/>
      <c r="G1246" s="5" t="n"/>
      <c r="H1246" s="5" t="n"/>
      <c r="I1246" s="5" t="n"/>
      <c r="J1246" s="5" t="n"/>
    </row>
    <row r="1247">
      <c r="A1247" t="n">
        <v>1244</v>
      </c>
      <c r="B1247" s="8" t="n"/>
      <c r="C1247" s="4" t="n"/>
      <c r="D1247" s="4" t="n"/>
      <c r="E1247" s="4" t="n"/>
      <c r="F1247" s="4" t="n"/>
      <c r="G1247" s="5" t="n"/>
      <c r="H1247" s="5" t="n"/>
      <c r="I1247" s="5" t="n"/>
      <c r="J1247" s="5" t="n"/>
    </row>
    <row r="1248">
      <c r="A1248" t="n">
        <v>1245</v>
      </c>
      <c r="B1248" s="8" t="n"/>
      <c r="C1248" s="4" t="n"/>
      <c r="D1248" s="4" t="n"/>
      <c r="E1248" s="4" t="n"/>
      <c r="F1248" s="4" t="n"/>
      <c r="G1248" s="5" t="n"/>
      <c r="H1248" s="5" t="n"/>
      <c r="I1248" s="5" t="n"/>
      <c r="J1248" s="5" t="n"/>
    </row>
    <row r="1249">
      <c r="A1249" t="n">
        <v>1246</v>
      </c>
      <c r="B1249" s="8" t="n"/>
      <c r="C1249" s="4" t="n"/>
      <c r="D1249" s="4" t="n"/>
      <c r="E1249" s="4" t="n"/>
      <c r="F1249" s="4" t="n"/>
      <c r="G1249" s="5" t="n"/>
      <c r="H1249" s="5" t="n"/>
      <c r="I1249" s="5" t="n"/>
      <c r="J1249" s="5" t="n"/>
    </row>
    <row r="1250">
      <c r="A1250" t="n">
        <v>1247</v>
      </c>
      <c r="B1250" s="8" t="n"/>
      <c r="C1250" s="4" t="n"/>
      <c r="D1250" s="4" t="n"/>
      <c r="E1250" s="4" t="n"/>
      <c r="F1250" s="4" t="n"/>
      <c r="G1250" s="5" t="n"/>
      <c r="H1250" s="5" t="n"/>
      <c r="I1250" s="5" t="n"/>
      <c r="J1250" s="5" t="n"/>
    </row>
    <row r="1251">
      <c r="A1251" t="n">
        <v>1248</v>
      </c>
      <c r="B1251" s="8" t="n"/>
      <c r="C1251" s="4" t="n"/>
      <c r="D1251" s="4" t="n"/>
      <c r="E1251" s="4" t="n"/>
      <c r="F1251" s="4" t="n"/>
      <c r="G1251" s="5" t="n"/>
      <c r="H1251" s="5" t="n"/>
      <c r="I1251" s="5" t="n"/>
      <c r="J1251" s="5" t="n"/>
    </row>
    <row r="1252">
      <c r="A1252" t="n">
        <v>1249</v>
      </c>
      <c r="B1252" s="8" t="n"/>
      <c r="C1252" s="4" t="n"/>
      <c r="D1252" s="4" t="n"/>
      <c r="E1252" s="4" t="n"/>
      <c r="F1252" s="4" t="n"/>
      <c r="G1252" s="5" t="n"/>
      <c r="H1252" s="5" t="n"/>
      <c r="I1252" s="5" t="n"/>
      <c r="J1252" s="5" t="n"/>
    </row>
    <row r="1253">
      <c r="A1253" t="n">
        <v>1250</v>
      </c>
      <c r="B1253" s="8" t="n"/>
      <c r="C1253" s="4" t="n"/>
      <c r="D1253" s="4" t="n"/>
      <c r="E1253" s="4" t="n"/>
      <c r="F1253" s="4" t="n"/>
      <c r="G1253" s="5" t="n"/>
      <c r="H1253" s="5" t="n"/>
      <c r="I1253" s="5" t="n"/>
      <c r="J1253" s="5" t="n"/>
    </row>
    <row r="1254">
      <c r="A1254" t="n">
        <v>1251</v>
      </c>
      <c r="B1254" s="8" t="n"/>
      <c r="C1254" s="4" t="n"/>
      <c r="D1254" s="4" t="n"/>
      <c r="E1254" s="4" t="n"/>
      <c r="F1254" s="4" t="n"/>
      <c r="G1254" s="5" t="n"/>
      <c r="H1254" s="5" t="n"/>
      <c r="I1254" s="5" t="n"/>
      <c r="J1254" s="5" t="n"/>
    </row>
    <row r="1255">
      <c r="A1255" t="n">
        <v>1252</v>
      </c>
      <c r="B1255" s="8" t="n"/>
      <c r="C1255" s="4" t="n"/>
      <c r="D1255" s="4" t="n"/>
      <c r="E1255" s="4" t="n"/>
      <c r="F1255" s="4" t="n"/>
      <c r="G1255" s="5" t="n"/>
      <c r="H1255" s="5" t="n"/>
      <c r="I1255" s="5" t="n"/>
      <c r="J1255" s="5" t="n"/>
    </row>
    <row r="1256">
      <c r="A1256" t="n">
        <v>1253</v>
      </c>
      <c r="B1256" s="8" t="n"/>
      <c r="C1256" s="4" t="n"/>
      <c r="D1256" s="4" t="n"/>
      <c r="E1256" s="4" t="n"/>
      <c r="F1256" s="4" t="n"/>
      <c r="G1256" s="5" t="n"/>
      <c r="H1256" s="5" t="n"/>
      <c r="I1256" s="5" t="n"/>
      <c r="J1256" s="5" t="n"/>
    </row>
    <row r="1257">
      <c r="A1257" t="n">
        <v>1254</v>
      </c>
      <c r="B1257" s="8" t="n"/>
      <c r="C1257" s="4" t="n"/>
      <c r="D1257" s="4" t="n"/>
      <c r="E1257" s="4" t="n"/>
      <c r="F1257" s="4" t="n"/>
      <c r="G1257" s="5" t="n"/>
      <c r="H1257" s="5" t="n"/>
      <c r="I1257" s="5" t="n"/>
      <c r="J1257" s="5" t="n"/>
    </row>
    <row r="1258">
      <c r="A1258" t="n">
        <v>1255</v>
      </c>
      <c r="B1258" s="8" t="n"/>
      <c r="C1258" s="4" t="n"/>
      <c r="D1258" s="4" t="n"/>
      <c r="E1258" s="4" t="n"/>
      <c r="F1258" s="4" t="n"/>
      <c r="G1258" s="5" t="n"/>
      <c r="H1258" s="5" t="n"/>
      <c r="I1258" s="5" t="n"/>
      <c r="J1258" s="5" t="n"/>
    </row>
    <row r="1259">
      <c r="A1259" t="n">
        <v>1256</v>
      </c>
      <c r="B1259" s="8" t="n"/>
      <c r="C1259" s="4" t="n"/>
      <c r="D1259" s="4" t="n"/>
      <c r="E1259" s="4" t="n"/>
      <c r="F1259" s="4" t="n"/>
      <c r="G1259" s="5" t="n"/>
      <c r="H1259" s="5" t="n"/>
      <c r="I1259" s="5" t="n"/>
      <c r="J1259" s="5" t="n"/>
    </row>
    <row r="1260">
      <c r="A1260" t="n">
        <v>1257</v>
      </c>
      <c r="B1260" s="8" t="n"/>
      <c r="C1260" s="4" t="n"/>
      <c r="D1260" s="4" t="n"/>
      <c r="E1260" s="4" t="n"/>
      <c r="F1260" s="4" t="n"/>
      <c r="G1260" s="5" t="n"/>
      <c r="H1260" s="5" t="n"/>
      <c r="I1260" s="5" t="n"/>
      <c r="J1260" s="5" t="n"/>
    </row>
    <row r="1261">
      <c r="A1261" t="n">
        <v>1258</v>
      </c>
      <c r="B1261" s="8" t="n"/>
      <c r="C1261" s="4" t="n"/>
      <c r="D1261" s="4" t="n"/>
      <c r="E1261" s="4" t="n"/>
      <c r="F1261" s="4" t="n"/>
      <c r="G1261" s="5" t="n"/>
      <c r="H1261" s="5" t="n"/>
      <c r="I1261" s="5" t="n"/>
      <c r="J1261" s="5" t="n"/>
    </row>
    <row r="1262">
      <c r="A1262" t="n">
        <v>1259</v>
      </c>
      <c r="B1262" s="8" t="n"/>
      <c r="C1262" s="4" t="n"/>
      <c r="D1262" s="4" t="n"/>
      <c r="E1262" s="4" t="n"/>
      <c r="F1262" s="4" t="n"/>
      <c r="G1262" s="5" t="n"/>
      <c r="H1262" s="5" t="n"/>
      <c r="I1262" s="5" t="n"/>
      <c r="J1262" s="5" t="n"/>
    </row>
    <row r="1263">
      <c r="A1263" t="n">
        <v>1260</v>
      </c>
      <c r="B1263" s="8" t="n"/>
      <c r="C1263" s="4" t="n"/>
      <c r="D1263" s="4" t="n"/>
      <c r="E1263" s="4" t="n"/>
      <c r="F1263" s="4" t="n"/>
      <c r="G1263" s="5" t="n"/>
      <c r="H1263" s="5" t="n"/>
      <c r="I1263" s="5" t="n"/>
      <c r="J1263" s="5" t="n"/>
    </row>
    <row r="1264">
      <c r="A1264" t="n">
        <v>1261</v>
      </c>
      <c r="B1264" s="8" t="n"/>
      <c r="C1264" s="4" t="n"/>
      <c r="D1264" s="4" t="n"/>
      <c r="E1264" s="4" t="n"/>
      <c r="F1264" s="4" t="n"/>
      <c r="G1264" s="5" t="n"/>
      <c r="H1264" s="5" t="n"/>
      <c r="I1264" s="5" t="n"/>
      <c r="J1264" s="5" t="n"/>
    </row>
    <row r="1265">
      <c r="A1265" t="n">
        <v>1262</v>
      </c>
      <c r="B1265" s="8" t="n"/>
      <c r="C1265" s="4" t="n"/>
      <c r="D1265" s="4" t="n"/>
      <c r="E1265" s="4" t="n"/>
      <c r="F1265" s="4" t="n"/>
      <c r="G1265" s="5" t="n"/>
      <c r="H1265" s="5" t="n"/>
      <c r="I1265" s="5" t="n"/>
      <c r="J1265" s="5" t="n"/>
    </row>
    <row r="1266">
      <c r="A1266" t="n">
        <v>1263</v>
      </c>
      <c r="B1266" s="8" t="n"/>
      <c r="C1266" s="4" t="n"/>
      <c r="D1266" s="4" t="n"/>
      <c r="E1266" s="4" t="n"/>
      <c r="F1266" s="4" t="n"/>
      <c r="G1266" s="5" t="n"/>
      <c r="H1266" s="5" t="n"/>
      <c r="I1266" s="5" t="n"/>
      <c r="J1266" s="5" t="n"/>
    </row>
    <row r="1267">
      <c r="A1267" t="n">
        <v>1264</v>
      </c>
      <c r="B1267" s="8" t="n"/>
      <c r="C1267" s="4" t="n"/>
      <c r="D1267" s="4" t="n"/>
      <c r="E1267" s="4" t="n"/>
      <c r="F1267" s="4" t="n"/>
      <c r="G1267" s="5" t="n"/>
      <c r="H1267" s="5" t="n"/>
      <c r="I1267" s="5" t="n"/>
      <c r="J1267" s="5" t="n"/>
    </row>
    <row r="1268">
      <c r="A1268" t="n">
        <v>1265</v>
      </c>
      <c r="B1268" s="8" t="n"/>
      <c r="C1268" s="4" t="n"/>
      <c r="D1268" s="4" t="n"/>
      <c r="E1268" s="4" t="n"/>
      <c r="F1268" s="4" t="n"/>
      <c r="G1268" s="5" t="n"/>
      <c r="H1268" s="5" t="n"/>
      <c r="I1268" s="5" t="n"/>
      <c r="J1268" s="5" t="n"/>
    </row>
    <row r="1269">
      <c r="A1269" t="n">
        <v>1266</v>
      </c>
      <c r="B1269" s="8" t="n"/>
      <c r="C1269" s="4" t="n"/>
      <c r="D1269" s="4" t="n"/>
      <c r="E1269" s="4" t="n"/>
      <c r="F1269" s="4" t="n"/>
      <c r="G1269" s="5" t="n"/>
      <c r="H1269" s="5" t="n"/>
      <c r="I1269" s="5" t="n"/>
      <c r="J1269" s="5" t="n"/>
    </row>
    <row r="1270">
      <c r="A1270" t="n">
        <v>1267</v>
      </c>
      <c r="B1270" s="8" t="n"/>
      <c r="C1270" s="4" t="n"/>
      <c r="D1270" s="4" t="n"/>
      <c r="E1270" s="4" t="n"/>
      <c r="F1270" s="4" t="n"/>
      <c r="G1270" s="5" t="n"/>
      <c r="H1270" s="5" t="n"/>
      <c r="I1270" s="5" t="n"/>
      <c r="J1270" s="5" t="n"/>
    </row>
    <row r="1271">
      <c r="A1271" t="n">
        <v>1268</v>
      </c>
      <c r="B1271" s="8" t="n"/>
      <c r="C1271" s="4" t="n"/>
      <c r="D1271" s="4" t="n"/>
      <c r="E1271" s="4" t="n"/>
      <c r="F1271" s="4" t="n"/>
      <c r="G1271" s="5" t="n"/>
      <c r="H1271" s="5" t="n"/>
      <c r="I1271" s="5" t="n"/>
      <c r="J1271" s="5" t="n"/>
    </row>
    <row r="1272">
      <c r="A1272" t="n">
        <v>1269</v>
      </c>
      <c r="B1272" s="8" t="n"/>
      <c r="C1272" s="4" t="n"/>
      <c r="D1272" s="4" t="n"/>
      <c r="E1272" s="4" t="n"/>
      <c r="F1272" s="4" t="n"/>
      <c r="G1272" s="5" t="n"/>
      <c r="H1272" s="5" t="n"/>
      <c r="I1272" s="5" t="n"/>
      <c r="J1272" s="5" t="n"/>
    </row>
    <row r="1273">
      <c r="A1273" t="n">
        <v>1270</v>
      </c>
      <c r="B1273" s="8" t="n"/>
      <c r="C1273" s="4" t="n"/>
      <c r="D1273" s="4" t="n"/>
      <c r="E1273" s="4" t="n"/>
      <c r="F1273" s="4" t="n"/>
      <c r="G1273" s="5" t="n"/>
      <c r="H1273" s="5" t="n"/>
      <c r="I1273" s="5" t="n"/>
      <c r="J1273" s="5" t="n"/>
    </row>
    <row r="1274">
      <c r="A1274" t="n">
        <v>1271</v>
      </c>
      <c r="B1274" s="8" t="n"/>
      <c r="C1274" s="4" t="n"/>
      <c r="D1274" s="4" t="n"/>
      <c r="E1274" s="4" t="n"/>
      <c r="F1274" s="4" t="n"/>
      <c r="G1274" s="5" t="n"/>
      <c r="H1274" s="5" t="n"/>
      <c r="I1274" s="5" t="n"/>
      <c r="J1274" s="5" t="n"/>
    </row>
    <row r="1275">
      <c r="A1275" t="n">
        <v>1272</v>
      </c>
      <c r="B1275" s="8" t="n"/>
      <c r="C1275" s="4" t="n"/>
      <c r="D1275" s="4" t="n"/>
      <c r="E1275" s="4" t="n"/>
      <c r="F1275" s="4" t="n"/>
      <c r="G1275" s="5" t="n"/>
      <c r="H1275" s="5" t="n"/>
      <c r="I1275" s="5" t="n"/>
      <c r="J1275" s="5" t="n"/>
    </row>
    <row r="1276">
      <c r="A1276" t="n">
        <v>1273</v>
      </c>
      <c r="B1276" s="8" t="n"/>
      <c r="C1276" s="4" t="n"/>
      <c r="D1276" s="4" t="n"/>
      <c r="E1276" s="4" t="n"/>
      <c r="F1276" s="4" t="n"/>
      <c r="G1276" s="5" t="n"/>
      <c r="H1276" s="5" t="n"/>
      <c r="I1276" s="5" t="n"/>
      <c r="J1276" s="5" t="n"/>
    </row>
    <row r="1277">
      <c r="A1277" t="n">
        <v>1274</v>
      </c>
      <c r="B1277" s="8" t="n"/>
      <c r="C1277" s="4" t="n"/>
      <c r="D1277" s="4" t="n"/>
      <c r="E1277" s="4" t="n"/>
      <c r="F1277" s="4" t="n"/>
      <c r="G1277" s="5" t="n"/>
      <c r="H1277" s="5" t="n"/>
      <c r="I1277" s="5" t="n"/>
      <c r="J1277" s="5" t="n"/>
    </row>
    <row r="1278">
      <c r="A1278" t="n">
        <v>1275</v>
      </c>
      <c r="B1278" s="8" t="n"/>
      <c r="C1278" s="4" t="n"/>
      <c r="D1278" s="4" t="n"/>
      <c r="E1278" s="4" t="n"/>
      <c r="F1278" s="4" t="n"/>
      <c r="G1278" s="5" t="n"/>
      <c r="H1278" s="5" t="n"/>
      <c r="I1278" s="5" t="n"/>
      <c r="J1278" s="5" t="n"/>
    </row>
    <row r="1279">
      <c r="A1279" t="n">
        <v>1276</v>
      </c>
      <c r="B1279" s="8" t="n"/>
      <c r="C1279" s="4" t="n"/>
      <c r="D1279" s="4" t="n"/>
      <c r="E1279" s="4" t="n"/>
      <c r="F1279" s="4" t="n"/>
      <c r="G1279" s="5" t="n"/>
      <c r="H1279" s="5" t="n"/>
      <c r="I1279" s="5" t="n"/>
      <c r="J1279" s="5" t="n"/>
    </row>
    <row r="1280">
      <c r="A1280" t="n">
        <v>1277</v>
      </c>
      <c r="B1280" s="8" t="n"/>
      <c r="C1280" s="4" t="n"/>
      <c r="D1280" s="4" t="n"/>
      <c r="E1280" s="4" t="n"/>
      <c r="F1280" s="4" t="n"/>
      <c r="G1280" s="5" t="n"/>
      <c r="H1280" s="5" t="n"/>
      <c r="I1280" s="5" t="n"/>
      <c r="J1280" s="5" t="n"/>
    </row>
    <row r="1281">
      <c r="A1281" t="n">
        <v>1278</v>
      </c>
      <c r="B1281" s="8" t="n"/>
      <c r="C1281" s="4" t="n"/>
      <c r="D1281" s="4" t="n"/>
      <c r="E1281" s="4" t="n"/>
      <c r="F1281" s="4" t="n"/>
      <c r="G1281" s="5" t="n"/>
      <c r="H1281" s="5" t="n"/>
      <c r="I1281" s="5" t="n"/>
      <c r="J1281" s="5" t="n"/>
    </row>
    <row r="1282">
      <c r="A1282" t="n">
        <v>1279</v>
      </c>
      <c r="B1282" s="8" t="n"/>
      <c r="C1282" s="4" t="n"/>
      <c r="D1282" s="4" t="n"/>
      <c r="E1282" s="4" t="n"/>
      <c r="F1282" s="4" t="n"/>
      <c r="G1282" s="5" t="n"/>
      <c r="H1282" s="5" t="n"/>
      <c r="I1282" s="5" t="n"/>
      <c r="J1282" s="5" t="n"/>
    </row>
    <row r="1283">
      <c r="A1283" t="n">
        <v>1280</v>
      </c>
      <c r="B1283" s="8" t="n"/>
      <c r="C1283" s="4" t="n"/>
      <c r="D1283" s="4" t="n"/>
      <c r="E1283" s="4" t="n"/>
      <c r="F1283" s="4" t="n"/>
      <c r="G1283" s="5" t="n"/>
      <c r="H1283" s="5" t="n"/>
      <c r="I1283" s="5" t="n"/>
      <c r="J1283" s="5" t="n"/>
    </row>
    <row r="1284">
      <c r="A1284" t="n">
        <v>1281</v>
      </c>
      <c r="B1284" s="8" t="n"/>
      <c r="C1284" s="4" t="n"/>
      <c r="D1284" s="4" t="n"/>
      <c r="E1284" s="4" t="n"/>
      <c r="F1284" s="4" t="n"/>
      <c r="G1284" s="5" t="n"/>
      <c r="H1284" s="5" t="n"/>
      <c r="I1284" s="5" t="n"/>
      <c r="J1284" s="5" t="n"/>
    </row>
    <row r="1285">
      <c r="A1285" t="n">
        <v>1282</v>
      </c>
      <c r="B1285" s="8" t="n"/>
      <c r="C1285" s="4" t="n"/>
      <c r="D1285" s="4" t="n"/>
      <c r="E1285" s="4" t="n"/>
      <c r="F1285" s="4" t="n"/>
      <c r="G1285" s="5" t="n"/>
      <c r="H1285" s="5" t="n"/>
      <c r="I1285" s="5" t="n"/>
      <c r="J1285" s="5" t="n"/>
    </row>
    <row r="1286">
      <c r="A1286" t="n">
        <v>1283</v>
      </c>
      <c r="B1286" s="8" t="n"/>
      <c r="C1286" s="4" t="n"/>
      <c r="D1286" s="4" t="n"/>
      <c r="E1286" s="4" t="n"/>
      <c r="F1286" s="4" t="n"/>
      <c r="G1286" s="5" t="n"/>
      <c r="H1286" s="5" t="n"/>
      <c r="I1286" s="5" t="n"/>
      <c r="J1286" s="5" t="n"/>
    </row>
    <row r="1287">
      <c r="A1287" t="n">
        <v>1284</v>
      </c>
      <c r="B1287" s="8" t="n"/>
      <c r="C1287" s="4" t="n"/>
      <c r="D1287" s="4" t="n"/>
      <c r="E1287" s="4" t="n"/>
      <c r="F1287" s="4" t="n"/>
      <c r="G1287" s="5" t="n"/>
      <c r="H1287" s="5" t="n"/>
      <c r="I1287" s="5" t="n"/>
      <c r="J1287" s="5" t="n"/>
    </row>
    <row r="1288">
      <c r="A1288" t="n">
        <v>1285</v>
      </c>
      <c r="B1288" s="8" t="n"/>
      <c r="C1288" s="4" t="n"/>
      <c r="D1288" s="4" t="n"/>
      <c r="E1288" s="4" t="n"/>
      <c r="F1288" s="4" t="n"/>
      <c r="G1288" s="5" t="n"/>
      <c r="H1288" s="5" t="n"/>
      <c r="I1288" s="5" t="n"/>
      <c r="J1288" s="5" t="n"/>
    </row>
    <row r="1289">
      <c r="A1289" t="n">
        <v>1286</v>
      </c>
      <c r="B1289" s="8" t="n"/>
      <c r="C1289" s="4" t="n"/>
      <c r="D1289" s="4" t="n"/>
      <c r="E1289" s="4" t="n"/>
      <c r="F1289" s="4" t="n"/>
      <c r="G1289" s="5" t="n"/>
      <c r="H1289" s="5" t="n"/>
      <c r="I1289" s="5" t="n"/>
      <c r="J1289" s="5" t="n"/>
    </row>
    <row r="1290">
      <c r="A1290" t="n">
        <v>1287</v>
      </c>
      <c r="B1290" s="8" t="n"/>
      <c r="C1290" s="4" t="n"/>
      <c r="D1290" s="4" t="n"/>
      <c r="E1290" s="4" t="n"/>
      <c r="F1290" s="4" t="n"/>
      <c r="G1290" s="5" t="n"/>
      <c r="H1290" s="5" t="n"/>
      <c r="I1290" s="5" t="n"/>
      <c r="J1290" s="5" t="n"/>
    </row>
    <row r="1291">
      <c r="A1291" t="n">
        <v>1288</v>
      </c>
      <c r="B1291" s="8" t="n"/>
      <c r="C1291" s="4" t="n"/>
      <c r="D1291" s="4" t="n"/>
      <c r="E1291" s="4" t="n"/>
      <c r="F1291" s="4" t="n"/>
      <c r="G1291" s="5" t="n"/>
      <c r="H1291" s="5" t="n"/>
      <c r="I1291" s="5" t="n"/>
      <c r="J1291" s="5" t="n"/>
    </row>
    <row r="1292">
      <c r="A1292" t="n">
        <v>1289</v>
      </c>
      <c r="B1292" s="8" t="n"/>
      <c r="C1292" s="4" t="n"/>
      <c r="D1292" s="4" t="n"/>
      <c r="E1292" s="4" t="n"/>
      <c r="F1292" s="4" t="n"/>
      <c r="G1292" s="5" t="n"/>
      <c r="H1292" s="5" t="n"/>
      <c r="I1292" s="5" t="n"/>
      <c r="J1292" s="5" t="n"/>
    </row>
    <row r="1293">
      <c r="A1293" t="n">
        <v>1290</v>
      </c>
      <c r="B1293" s="8" t="n"/>
      <c r="C1293" s="4" t="n"/>
      <c r="D1293" s="4" t="n"/>
      <c r="E1293" s="4" t="n"/>
      <c r="F1293" s="4" t="n"/>
      <c r="G1293" s="5" t="n"/>
      <c r="H1293" s="5" t="n"/>
      <c r="I1293" s="5" t="n"/>
      <c r="J1293" s="5" t="n"/>
    </row>
    <row r="1294">
      <c r="A1294" t="n">
        <v>1291</v>
      </c>
      <c r="B1294" s="8" t="n"/>
      <c r="C1294" s="4" t="n"/>
      <c r="D1294" s="4" t="n"/>
      <c r="E1294" s="4" t="n"/>
      <c r="F1294" s="4" t="n"/>
      <c r="G1294" s="5" t="n"/>
      <c r="H1294" s="5" t="n"/>
      <c r="I1294" s="5" t="n"/>
      <c r="J1294" s="5" t="n"/>
    </row>
    <row r="1295">
      <c r="A1295" t="n">
        <v>1292</v>
      </c>
      <c r="B1295" s="8" t="n"/>
      <c r="C1295" s="4" t="n"/>
      <c r="D1295" s="4" t="n"/>
      <c r="E1295" s="4" t="n"/>
      <c r="F1295" s="4" t="n"/>
      <c r="G1295" s="5" t="n"/>
      <c r="H1295" s="5" t="n"/>
      <c r="I1295" s="5" t="n"/>
      <c r="J1295" s="5" t="n"/>
    </row>
    <row r="1296">
      <c r="A1296" t="n">
        <v>1293</v>
      </c>
      <c r="B1296" s="8" t="n"/>
      <c r="C1296" s="4" t="n"/>
      <c r="D1296" s="4" t="n"/>
      <c r="E1296" s="4" t="n"/>
      <c r="F1296" s="4" t="n"/>
      <c r="G1296" s="5" t="n"/>
      <c r="H1296" s="5" t="n"/>
      <c r="I1296" s="5" t="n"/>
      <c r="J1296" s="5" t="n"/>
    </row>
    <row r="1297">
      <c r="A1297" t="n">
        <v>1294</v>
      </c>
      <c r="B1297" s="8" t="n"/>
      <c r="C1297" s="4" t="n"/>
      <c r="D1297" s="4" t="n"/>
      <c r="E1297" s="4" t="n"/>
      <c r="F1297" s="4" t="n"/>
      <c r="G1297" s="5" t="n"/>
      <c r="H1297" s="5" t="n"/>
      <c r="I1297" s="5" t="n"/>
      <c r="J1297" s="5" t="n"/>
    </row>
    <row r="1298">
      <c r="A1298" t="n">
        <v>1295</v>
      </c>
      <c r="B1298" s="8" t="n"/>
      <c r="C1298" s="4" t="n"/>
      <c r="D1298" s="4" t="n"/>
      <c r="E1298" s="4" t="n"/>
      <c r="F1298" s="4" t="n"/>
      <c r="G1298" s="5" t="n"/>
      <c r="H1298" s="5" t="n"/>
      <c r="I1298" s="5" t="n"/>
      <c r="J1298" s="5" t="n"/>
    </row>
    <row r="1299">
      <c r="A1299" t="n">
        <v>1296</v>
      </c>
      <c r="B1299" s="8" t="n"/>
      <c r="C1299" s="4" t="n"/>
      <c r="D1299" s="4" t="n"/>
      <c r="E1299" s="4" t="n"/>
      <c r="F1299" s="4" t="n"/>
      <c r="G1299" s="5" t="n"/>
      <c r="H1299" s="5" t="n"/>
      <c r="I1299" s="5" t="n"/>
      <c r="J1299" s="5" t="n"/>
    </row>
    <row r="1300">
      <c r="A1300" t="n">
        <v>1297</v>
      </c>
      <c r="B1300" s="8" t="n"/>
      <c r="C1300" s="4" t="n"/>
      <c r="D1300" s="4" t="n"/>
      <c r="E1300" s="4" t="n"/>
      <c r="F1300" s="4" t="n"/>
      <c r="G1300" s="5" t="n"/>
      <c r="H1300" s="5" t="n"/>
      <c r="I1300" s="5" t="n"/>
      <c r="J1300" s="5" t="n"/>
    </row>
    <row r="1301">
      <c r="A1301" t="n">
        <v>1298</v>
      </c>
      <c r="B1301" s="8" t="n"/>
      <c r="C1301" s="4" t="n"/>
      <c r="D1301" s="4" t="n"/>
      <c r="E1301" s="4" t="n"/>
      <c r="F1301" s="4" t="n"/>
      <c r="G1301" s="5" t="n"/>
      <c r="H1301" s="5" t="n"/>
      <c r="I1301" s="5" t="n"/>
      <c r="J1301" s="5" t="n"/>
    </row>
    <row r="1302">
      <c r="A1302" t="n">
        <v>1299</v>
      </c>
      <c r="B1302" s="8" t="n"/>
      <c r="C1302" s="4" t="n"/>
      <c r="D1302" s="4" t="n"/>
      <c r="E1302" s="4" t="n"/>
      <c r="F1302" s="4" t="n"/>
      <c r="G1302" s="5" t="n"/>
      <c r="H1302" s="5" t="n"/>
      <c r="I1302" s="5" t="n"/>
      <c r="J1302" s="5" t="n"/>
    </row>
    <row r="1303">
      <c r="A1303" t="n">
        <v>1300</v>
      </c>
      <c r="B1303" s="8" t="n"/>
      <c r="C1303" s="4" t="n"/>
      <c r="D1303" s="4" t="n"/>
      <c r="E1303" s="4" t="n"/>
      <c r="F1303" s="4" t="n"/>
      <c r="G1303" s="5" t="n"/>
      <c r="H1303" s="5" t="n"/>
      <c r="I1303" s="5" t="n"/>
      <c r="J1303" s="5" t="n"/>
    </row>
    <row r="1304">
      <c r="A1304" t="n">
        <v>1301</v>
      </c>
      <c r="B1304" s="8" t="n"/>
      <c r="C1304" s="4" t="n"/>
      <c r="D1304" s="4" t="n"/>
      <c r="E1304" s="4" t="n"/>
      <c r="F1304" s="4" t="n"/>
      <c r="G1304" s="5" t="n"/>
      <c r="H1304" s="5" t="n"/>
      <c r="I1304" s="5" t="n"/>
      <c r="J1304" s="5" t="n"/>
    </row>
    <row r="1305">
      <c r="A1305" t="n">
        <v>1302</v>
      </c>
      <c r="B1305" s="8" t="n"/>
      <c r="C1305" s="4" t="n"/>
      <c r="D1305" s="4" t="n"/>
      <c r="E1305" s="4" t="n"/>
      <c r="F1305" s="4" t="n"/>
      <c r="G1305" s="5" t="n"/>
      <c r="H1305" s="5" t="n"/>
      <c r="I1305" s="5" t="n"/>
      <c r="J1305" s="5" t="n"/>
    </row>
    <row r="1306">
      <c r="A1306" t="n">
        <v>1303</v>
      </c>
      <c r="B1306" s="8" t="n"/>
      <c r="C1306" s="4" t="n"/>
      <c r="D1306" s="4" t="n"/>
      <c r="E1306" s="4" t="n"/>
      <c r="F1306" s="4" t="n"/>
      <c r="G1306" s="5" t="n"/>
      <c r="H1306" s="5" t="n"/>
      <c r="I1306" s="5" t="n"/>
      <c r="J1306" s="5" t="n"/>
    </row>
    <row r="1307">
      <c r="A1307" t="n">
        <v>1304</v>
      </c>
      <c r="B1307" s="8" t="n"/>
      <c r="C1307" s="4" t="n"/>
      <c r="D1307" s="4" t="n"/>
      <c r="E1307" s="4" t="n"/>
      <c r="F1307" s="4" t="n"/>
      <c r="G1307" s="5" t="n"/>
      <c r="H1307" s="5" t="n"/>
      <c r="I1307" s="5" t="n"/>
      <c r="J1307" s="5" t="n"/>
    </row>
    <row r="1308">
      <c r="A1308" t="n">
        <v>1305</v>
      </c>
      <c r="B1308" s="8" t="n"/>
      <c r="C1308" s="4" t="n"/>
      <c r="D1308" s="4" t="n"/>
      <c r="E1308" s="4" t="n"/>
      <c r="F1308" s="4" t="n"/>
      <c r="G1308" s="5" t="n"/>
      <c r="H1308" s="5" t="n"/>
      <c r="I1308" s="5" t="n"/>
      <c r="J1308" s="5" t="n"/>
    </row>
    <row r="1309">
      <c r="A1309" t="n">
        <v>1306</v>
      </c>
      <c r="B1309" s="8" t="n"/>
      <c r="C1309" s="4" t="n"/>
      <c r="D1309" s="4" t="n"/>
      <c r="E1309" s="4" t="n"/>
      <c r="F1309" s="4" t="n"/>
      <c r="G1309" s="5" t="n"/>
      <c r="H1309" s="5" t="n"/>
      <c r="I1309" s="5" t="n"/>
      <c r="J1309" s="5" t="n"/>
    </row>
    <row r="1310">
      <c r="A1310" t="n">
        <v>1307</v>
      </c>
      <c r="B1310" s="8" t="n"/>
      <c r="C1310" s="4" t="n"/>
      <c r="D1310" s="4" t="n"/>
      <c r="E1310" s="4" t="n"/>
      <c r="F1310" s="4" t="n"/>
      <c r="G1310" s="5" t="n"/>
      <c r="H1310" s="5" t="n"/>
      <c r="I1310" s="5" t="n"/>
      <c r="J1310" s="5" t="n"/>
    </row>
    <row r="1311">
      <c r="A1311" t="n">
        <v>1308</v>
      </c>
      <c r="B1311" s="8" t="n"/>
      <c r="C1311" s="4" t="n"/>
      <c r="D1311" s="4" t="n"/>
      <c r="E1311" s="4" t="n"/>
      <c r="F1311" s="4" t="n"/>
      <c r="G1311" s="5" t="n"/>
      <c r="H1311" s="5" t="n"/>
      <c r="I1311" s="5" t="n"/>
      <c r="J1311" s="5" t="n"/>
    </row>
    <row r="1312">
      <c r="A1312" t="n">
        <v>1309</v>
      </c>
      <c r="B1312" s="8" t="n"/>
      <c r="C1312" s="4" t="n"/>
      <c r="D1312" s="4" t="n"/>
      <c r="E1312" s="4" t="n"/>
      <c r="F1312" s="4" t="n"/>
      <c r="G1312" s="5" t="n"/>
      <c r="H1312" s="5" t="n"/>
      <c r="I1312" s="5" t="n"/>
      <c r="J1312" s="5" t="n"/>
    </row>
    <row r="1313">
      <c r="A1313" t="n">
        <v>1310</v>
      </c>
      <c r="B1313" s="8" t="n"/>
      <c r="C1313" s="4" t="n"/>
      <c r="D1313" s="4" t="n"/>
      <c r="E1313" s="4" t="n"/>
      <c r="F1313" s="4" t="n"/>
      <c r="G1313" s="5" t="n"/>
      <c r="H1313" s="5" t="n"/>
      <c r="I1313" s="5" t="n"/>
      <c r="J1313" s="5" t="n"/>
    </row>
    <row r="1314">
      <c r="A1314" t="n">
        <v>1311</v>
      </c>
      <c r="B1314" s="8" t="n"/>
      <c r="C1314" s="4" t="n"/>
      <c r="D1314" s="4" t="n"/>
      <c r="E1314" s="4" t="n"/>
      <c r="F1314" s="4" t="n"/>
      <c r="G1314" s="5" t="n"/>
      <c r="H1314" s="5" t="n"/>
      <c r="I1314" s="5" t="n"/>
      <c r="J1314" s="5" t="n"/>
    </row>
    <row r="1315">
      <c r="A1315" t="n">
        <v>1312</v>
      </c>
      <c r="B1315" s="8" t="n"/>
      <c r="C1315" s="4" t="n"/>
      <c r="D1315" s="4" t="n"/>
      <c r="E1315" s="4" t="n"/>
      <c r="F1315" s="4" t="n"/>
      <c r="G1315" s="5" t="n"/>
      <c r="H1315" s="5" t="n"/>
      <c r="I1315" s="5" t="n"/>
      <c r="J1315" s="5" t="n"/>
    </row>
    <row r="1316">
      <c r="A1316" t="n">
        <v>1313</v>
      </c>
      <c r="B1316" s="8" t="n"/>
      <c r="C1316" s="4" t="n"/>
      <c r="D1316" s="4" t="n"/>
      <c r="E1316" s="4" t="n"/>
      <c r="F1316" s="4" t="n"/>
      <c r="G1316" s="5" t="n"/>
      <c r="H1316" s="5" t="n"/>
      <c r="I1316" s="5" t="n"/>
      <c r="J1316" s="5" t="n"/>
    </row>
    <row r="1317">
      <c r="A1317" t="n">
        <v>1314</v>
      </c>
      <c r="B1317" s="8" t="n"/>
      <c r="C1317" s="4" t="n"/>
      <c r="D1317" s="4" t="n"/>
      <c r="E1317" s="4" t="n"/>
      <c r="F1317" s="4" t="n"/>
      <c r="G1317" s="5" t="n"/>
      <c r="H1317" s="5" t="n"/>
      <c r="I1317" s="5" t="n"/>
      <c r="J1317" s="5" t="n"/>
    </row>
    <row r="1318">
      <c r="A1318" t="n">
        <v>1315</v>
      </c>
      <c r="B1318" s="8" t="n"/>
      <c r="C1318" s="4" t="n"/>
      <c r="D1318" s="4" t="n"/>
      <c r="E1318" s="4" t="n"/>
      <c r="F1318" s="4" t="n"/>
      <c r="G1318" s="5" t="n"/>
      <c r="H1318" s="5" t="n"/>
      <c r="I1318" s="5" t="n"/>
      <c r="J1318" s="5" t="n"/>
    </row>
    <row r="1319">
      <c r="A1319" t="n">
        <v>1316</v>
      </c>
      <c r="B1319" s="8" t="n"/>
      <c r="C1319" s="4" t="n"/>
      <c r="D1319" s="4" t="n"/>
      <c r="E1319" s="4" t="n"/>
      <c r="F1319" s="4" t="n"/>
      <c r="G1319" s="5" t="n"/>
      <c r="H1319" s="5" t="n"/>
      <c r="I1319" s="5" t="n"/>
      <c r="J1319" s="5" t="n"/>
    </row>
    <row r="1320">
      <c r="A1320" t="n">
        <v>1317</v>
      </c>
      <c r="B1320" s="8" t="n"/>
      <c r="C1320" s="4" t="n"/>
      <c r="D1320" s="4" t="n"/>
      <c r="E1320" s="4" t="n"/>
      <c r="F1320" s="4" t="n"/>
      <c r="G1320" s="5" t="n"/>
      <c r="H1320" s="5" t="n"/>
      <c r="I1320" s="5" t="n"/>
      <c r="J1320" s="5" t="n"/>
    </row>
    <row r="1321">
      <c r="A1321" t="n">
        <v>1318</v>
      </c>
      <c r="B1321" s="8" t="n"/>
      <c r="C1321" s="4" t="n"/>
      <c r="D1321" s="4" t="n"/>
      <c r="E1321" s="4" t="n"/>
      <c r="F1321" s="4" t="n"/>
      <c r="G1321" s="5" t="n"/>
      <c r="H1321" s="5" t="n"/>
      <c r="I1321" s="5" t="n"/>
      <c r="J1321" s="5" t="n"/>
    </row>
    <row r="1322">
      <c r="A1322" t="n">
        <v>1319</v>
      </c>
      <c r="B1322" s="8" t="n"/>
      <c r="C1322" s="4" t="n"/>
      <c r="D1322" s="4" t="n"/>
      <c r="E1322" s="4" t="n"/>
      <c r="F1322" s="4" t="n"/>
      <c r="G1322" s="5" t="n"/>
      <c r="H1322" s="5" t="n"/>
      <c r="I1322" s="5" t="n"/>
      <c r="J1322" s="5" t="n"/>
    </row>
    <row r="1323">
      <c r="A1323" t="n">
        <v>1320</v>
      </c>
      <c r="B1323" s="8" t="n"/>
      <c r="C1323" s="4" t="n"/>
      <c r="D1323" s="4" t="n"/>
      <c r="E1323" s="4" t="n"/>
      <c r="F1323" s="4" t="n"/>
      <c r="G1323" s="5" t="n"/>
      <c r="H1323" s="5" t="n"/>
      <c r="I1323" s="5" t="n"/>
      <c r="J1323" s="5" t="n"/>
    </row>
    <row r="1324">
      <c r="A1324" t="n">
        <v>1321</v>
      </c>
      <c r="B1324" s="8" t="n"/>
      <c r="C1324" s="4" t="n"/>
      <c r="D1324" s="4" t="n"/>
      <c r="E1324" s="4" t="n"/>
      <c r="F1324" s="4" t="n"/>
      <c r="G1324" s="5" t="n"/>
      <c r="H1324" s="5" t="n"/>
      <c r="I1324" s="5" t="n"/>
      <c r="J1324" s="5" t="n"/>
    </row>
    <row r="1325">
      <c r="A1325" t="n">
        <v>1322</v>
      </c>
      <c r="B1325" s="8" t="n"/>
      <c r="C1325" s="4" t="n"/>
      <c r="D1325" s="4" t="n"/>
      <c r="E1325" s="4" t="n"/>
      <c r="F1325" s="4" t="n"/>
      <c r="G1325" s="5" t="n"/>
      <c r="H1325" s="5" t="n"/>
      <c r="I1325" s="5" t="n"/>
      <c r="J1325" s="5" t="n"/>
    </row>
    <row r="1326">
      <c r="A1326" t="n">
        <v>1323</v>
      </c>
      <c r="B1326" s="8" t="n"/>
      <c r="C1326" s="4" t="n"/>
      <c r="D1326" s="4" t="n"/>
      <c r="E1326" s="4" t="n"/>
      <c r="F1326" s="4" t="n"/>
      <c r="G1326" s="5" t="n"/>
      <c r="H1326" s="5" t="n"/>
      <c r="I1326" s="5" t="n"/>
      <c r="J1326" s="5" t="n"/>
    </row>
    <row r="1327">
      <c r="A1327" t="n">
        <v>1324</v>
      </c>
      <c r="B1327" s="8" t="n"/>
      <c r="C1327" s="4" t="n"/>
      <c r="D1327" s="4" t="n"/>
      <c r="E1327" s="4" t="n"/>
      <c r="F1327" s="4" t="n"/>
      <c r="G1327" s="5" t="n"/>
      <c r="H1327" s="5" t="n"/>
      <c r="I1327" s="5" t="n"/>
      <c r="J1327" s="5" t="n"/>
    </row>
    <row r="1328">
      <c r="A1328" t="n">
        <v>1325</v>
      </c>
      <c r="B1328" s="8" t="n"/>
      <c r="C1328" s="4" t="n"/>
      <c r="D1328" s="4" t="n"/>
      <c r="E1328" s="4" t="n"/>
      <c r="F1328" s="4" t="n"/>
      <c r="G1328" s="5" t="n"/>
      <c r="H1328" s="5" t="n"/>
      <c r="I1328" s="5" t="n"/>
      <c r="J1328" s="5" t="n"/>
    </row>
    <row r="1329">
      <c r="A1329" t="n">
        <v>1326</v>
      </c>
      <c r="B1329" s="8" t="n"/>
      <c r="C1329" s="4" t="n"/>
      <c r="D1329" s="4" t="n"/>
      <c r="E1329" s="4" t="n"/>
      <c r="F1329" s="4" t="n"/>
      <c r="G1329" s="5" t="n"/>
      <c r="H1329" s="5" t="n"/>
      <c r="I1329" s="5" t="n"/>
      <c r="J1329" s="5" t="n"/>
    </row>
    <row r="1330">
      <c r="A1330" t="n">
        <v>1327</v>
      </c>
      <c r="B1330" s="8" t="n"/>
      <c r="C1330" s="4" t="n"/>
      <c r="D1330" s="4" t="n"/>
      <c r="E1330" s="4" t="n"/>
      <c r="F1330" s="4" t="n"/>
      <c r="G1330" s="5" t="n"/>
      <c r="H1330" s="5" t="n"/>
      <c r="I1330" s="5" t="n"/>
      <c r="J1330" s="5" t="n"/>
    </row>
    <row r="1331">
      <c r="A1331" t="n">
        <v>1328</v>
      </c>
      <c r="B1331" s="8" t="n"/>
      <c r="C1331" s="4" t="n"/>
      <c r="D1331" s="4" t="n"/>
      <c r="E1331" s="4" t="n"/>
      <c r="F1331" s="4" t="n"/>
      <c r="G1331" s="5" t="n"/>
      <c r="H1331" s="5" t="n"/>
      <c r="I1331" s="5" t="n"/>
      <c r="J1331" s="5" t="n"/>
    </row>
    <row r="1332">
      <c r="A1332" t="n">
        <v>1329</v>
      </c>
      <c r="B1332" s="8" t="n"/>
      <c r="C1332" s="4" t="n"/>
      <c r="D1332" s="4" t="n"/>
      <c r="E1332" s="4" t="n"/>
      <c r="F1332" s="4" t="n"/>
      <c r="G1332" s="5" t="n"/>
      <c r="H1332" s="5" t="n"/>
      <c r="I1332" s="5" t="n"/>
      <c r="J1332" s="5" t="n"/>
    </row>
    <row r="1333">
      <c r="A1333" t="n">
        <v>1330</v>
      </c>
      <c r="B1333" s="8" t="n"/>
      <c r="C1333" s="4" t="n"/>
      <c r="D1333" s="4" t="n"/>
      <c r="E1333" s="4" t="n"/>
      <c r="F1333" s="4" t="n"/>
      <c r="G1333" s="5" t="n"/>
      <c r="H1333" s="5" t="n"/>
      <c r="I1333" s="5" t="n"/>
      <c r="J1333" s="5" t="n"/>
    </row>
    <row r="1334">
      <c r="A1334" t="n">
        <v>1331</v>
      </c>
      <c r="B1334" s="8" t="n"/>
      <c r="C1334" s="4" t="n"/>
      <c r="D1334" s="4" t="n"/>
      <c r="E1334" s="4" t="n"/>
      <c r="F1334" s="4" t="n"/>
      <c r="G1334" s="5" t="n"/>
      <c r="H1334" s="5" t="n"/>
      <c r="I1334" s="5" t="n"/>
      <c r="J1334" s="5" t="n"/>
    </row>
    <row r="1335">
      <c r="A1335" t="n">
        <v>1332</v>
      </c>
      <c r="B1335" s="8" t="n"/>
      <c r="C1335" s="4" t="n"/>
      <c r="D1335" s="4" t="n"/>
      <c r="E1335" s="4" t="n"/>
      <c r="F1335" s="4" t="n"/>
      <c r="G1335" s="5" t="n"/>
      <c r="H1335" s="5" t="n"/>
      <c r="I1335" s="5" t="n"/>
      <c r="J1335" s="5" t="n"/>
    </row>
    <row r="1336">
      <c r="A1336" t="n">
        <v>1333</v>
      </c>
      <c r="B1336" s="8" t="n"/>
      <c r="C1336" s="4" t="n"/>
      <c r="D1336" s="4" t="n"/>
      <c r="E1336" s="4" t="n"/>
      <c r="F1336" s="4" t="n"/>
      <c r="G1336" s="5" t="n"/>
      <c r="H1336" s="5" t="n"/>
      <c r="I1336" s="5" t="n"/>
      <c r="J1336" s="5" t="n"/>
    </row>
    <row r="1337">
      <c r="A1337" t="n">
        <v>1334</v>
      </c>
      <c r="B1337" s="8" t="n"/>
      <c r="C1337" s="4" t="n"/>
      <c r="D1337" s="4" t="n"/>
      <c r="E1337" s="4" t="n"/>
      <c r="F1337" s="4" t="n"/>
      <c r="G1337" s="5" t="n"/>
      <c r="H1337" s="5" t="n"/>
      <c r="I1337" s="5" t="n"/>
      <c r="J1337" s="5" t="n"/>
    </row>
    <row r="1338">
      <c r="A1338" t="n">
        <v>1335</v>
      </c>
      <c r="B1338" s="8" t="n"/>
      <c r="C1338" s="4" t="n"/>
      <c r="D1338" s="4" t="n"/>
      <c r="E1338" s="4" t="n"/>
      <c r="F1338" s="4" t="n"/>
      <c r="G1338" s="5" t="n"/>
      <c r="H1338" s="5" t="n"/>
      <c r="I1338" s="5" t="n"/>
      <c r="J1338" s="5" t="n"/>
    </row>
    <row r="1339">
      <c r="A1339" t="n">
        <v>1336</v>
      </c>
      <c r="B1339" s="8" t="n"/>
      <c r="C1339" s="4" t="n"/>
      <c r="D1339" s="4" t="n"/>
      <c r="E1339" s="4" t="n"/>
      <c r="F1339" s="4" t="n"/>
      <c r="G1339" s="5" t="n"/>
      <c r="H1339" s="5" t="n"/>
      <c r="I1339" s="5" t="n"/>
      <c r="J1339" s="5" t="n"/>
    </row>
    <row r="1340">
      <c r="A1340" t="n">
        <v>1337</v>
      </c>
      <c r="B1340" s="8" t="n"/>
      <c r="C1340" s="4" t="n"/>
      <c r="D1340" s="4" t="n"/>
      <c r="E1340" s="4" t="n"/>
      <c r="F1340" s="4" t="n"/>
      <c r="G1340" s="5" t="n"/>
      <c r="H1340" s="5" t="n"/>
      <c r="I1340" s="5" t="n"/>
      <c r="J1340" s="5" t="n"/>
    </row>
    <row r="1341">
      <c r="A1341" t="n">
        <v>1338</v>
      </c>
      <c r="B1341" s="8" t="n"/>
      <c r="C1341" s="4" t="n"/>
      <c r="D1341" s="4" t="n"/>
      <c r="E1341" s="4" t="n"/>
      <c r="F1341" s="4" t="n"/>
      <c r="G1341" s="5" t="n"/>
      <c r="H1341" s="5" t="n"/>
      <c r="I1341" s="5" t="n"/>
      <c r="J1341" s="5" t="n"/>
    </row>
    <row r="1342">
      <c r="A1342" t="n">
        <v>1339</v>
      </c>
      <c r="B1342" s="8" t="n"/>
      <c r="C1342" s="4" t="n"/>
      <c r="D1342" s="4" t="n"/>
      <c r="E1342" s="4" t="n"/>
      <c r="F1342" s="4" t="n"/>
      <c r="G1342" s="5" t="n"/>
      <c r="H1342" s="5" t="n"/>
      <c r="I1342" s="5" t="n"/>
      <c r="J1342" s="5" t="n"/>
    </row>
    <row r="1343">
      <c r="A1343" t="n">
        <v>1340</v>
      </c>
      <c r="B1343" s="8" t="n"/>
      <c r="C1343" s="4" t="n"/>
      <c r="D1343" s="4" t="n"/>
      <c r="E1343" s="4" t="n"/>
      <c r="F1343" s="4" t="n"/>
      <c r="G1343" s="5" t="n"/>
      <c r="H1343" s="5" t="n"/>
      <c r="I1343" s="5" t="n"/>
      <c r="J1343" s="5" t="n"/>
    </row>
    <row r="1344">
      <c r="A1344" t="n">
        <v>1341</v>
      </c>
      <c r="B1344" s="8" t="n"/>
      <c r="C1344" s="4" t="n"/>
      <c r="D1344" s="4" t="n"/>
      <c r="E1344" s="4" t="n"/>
      <c r="F1344" s="4" t="n"/>
      <c r="G1344" s="5" t="n"/>
      <c r="H1344" s="5" t="n"/>
      <c r="I1344" s="5" t="n"/>
      <c r="J1344" s="5" t="n"/>
    </row>
    <row r="1345">
      <c r="A1345" t="n">
        <v>1342</v>
      </c>
      <c r="B1345" s="8" t="n"/>
      <c r="C1345" s="4" t="n"/>
      <c r="D1345" s="4" t="n"/>
      <c r="E1345" s="4" t="n"/>
      <c r="F1345" s="4" t="n"/>
      <c r="G1345" s="5" t="n"/>
      <c r="H1345" s="5" t="n"/>
      <c r="I1345" s="5" t="n"/>
      <c r="J1345" s="5" t="n"/>
    </row>
    <row r="1346">
      <c r="A1346" t="n">
        <v>1343</v>
      </c>
      <c r="B1346" s="8" t="n"/>
      <c r="C1346" s="4" t="n"/>
      <c r="D1346" s="4" t="n"/>
      <c r="E1346" s="4" t="n"/>
      <c r="F1346" s="4" t="n"/>
      <c r="G1346" s="5" t="n"/>
      <c r="H1346" s="5" t="n"/>
      <c r="I1346" s="5" t="n"/>
      <c r="J1346" s="5" t="n"/>
    </row>
    <row r="1347">
      <c r="A1347" t="n">
        <v>1344</v>
      </c>
      <c r="B1347" s="8" t="n"/>
      <c r="C1347" s="4" t="n"/>
      <c r="D1347" s="4" t="n"/>
      <c r="E1347" s="4" t="n"/>
      <c r="F1347" s="4" t="n"/>
      <c r="G1347" s="5" t="n"/>
      <c r="H1347" s="5" t="n"/>
      <c r="I1347" s="5" t="n"/>
      <c r="J1347" s="5" t="n"/>
    </row>
    <row r="1348">
      <c r="A1348" t="n">
        <v>1345</v>
      </c>
      <c r="B1348" s="8" t="n"/>
      <c r="C1348" s="4" t="n"/>
      <c r="D1348" s="4" t="n"/>
      <c r="E1348" s="4" t="n"/>
      <c r="F1348" s="4" t="n"/>
      <c r="G1348" s="5" t="n"/>
      <c r="H1348" s="5" t="n"/>
      <c r="I1348" s="5" t="n"/>
      <c r="J1348" s="5" t="n"/>
    </row>
    <row r="1349">
      <c r="A1349" t="n">
        <v>1346</v>
      </c>
      <c r="B1349" s="8" t="n"/>
      <c r="C1349" s="4" t="n"/>
      <c r="D1349" s="4" t="n"/>
      <c r="E1349" s="4" t="n"/>
      <c r="F1349" s="4" t="n"/>
      <c r="G1349" s="5" t="n"/>
      <c r="H1349" s="5" t="n"/>
      <c r="I1349" s="5" t="n"/>
      <c r="J1349" s="5" t="n"/>
    </row>
    <row r="1350">
      <c r="A1350" t="n">
        <v>1347</v>
      </c>
      <c r="B1350" s="8" t="n"/>
      <c r="C1350" s="4" t="n"/>
      <c r="D1350" s="4" t="n"/>
      <c r="E1350" s="4" t="n"/>
      <c r="F1350" s="4" t="n"/>
      <c r="G1350" s="5" t="n"/>
      <c r="H1350" s="5" t="n"/>
      <c r="I1350" s="5" t="n"/>
      <c r="J1350" s="5" t="n"/>
    </row>
    <row r="1351">
      <c r="A1351" t="n">
        <v>1348</v>
      </c>
      <c r="B1351" s="8" t="n"/>
      <c r="C1351" s="4" t="n"/>
      <c r="D1351" s="4" t="n"/>
      <c r="E1351" s="4" t="n"/>
      <c r="F1351" s="4" t="n"/>
      <c r="G1351" s="5" t="n"/>
      <c r="H1351" s="5" t="n"/>
      <c r="I1351" s="5" t="n"/>
      <c r="J1351" s="5" t="n"/>
    </row>
    <row r="1352">
      <c r="A1352" t="n">
        <v>1349</v>
      </c>
      <c r="B1352" s="8" t="n"/>
      <c r="C1352" s="4" t="n"/>
      <c r="D1352" s="4" t="n"/>
      <c r="E1352" s="4" t="n"/>
      <c r="F1352" s="4" t="n"/>
      <c r="G1352" s="5" t="n"/>
      <c r="H1352" s="5" t="n"/>
      <c r="I1352" s="5" t="n"/>
      <c r="J1352" s="5" t="n"/>
    </row>
    <row r="1353">
      <c r="A1353" t="n">
        <v>1350</v>
      </c>
      <c r="B1353" s="8" t="n"/>
      <c r="C1353" s="4" t="n"/>
      <c r="D1353" s="4" t="n"/>
      <c r="E1353" s="4" t="n"/>
      <c r="F1353" s="4" t="n"/>
      <c r="G1353" s="5" t="n"/>
      <c r="H1353" s="5" t="n"/>
      <c r="I1353" s="5" t="n"/>
      <c r="J1353" s="5" t="n"/>
    </row>
    <row r="1354">
      <c r="A1354" t="n">
        <v>1351</v>
      </c>
      <c r="B1354" s="8" t="n"/>
      <c r="C1354" s="4" t="n"/>
      <c r="D1354" s="4" t="n"/>
      <c r="E1354" s="4" t="n"/>
      <c r="F1354" s="4" t="n"/>
      <c r="G1354" s="5" t="n"/>
      <c r="H1354" s="5" t="n"/>
      <c r="I1354" s="5" t="n"/>
      <c r="J1354" s="5" t="n"/>
    </row>
    <row r="1355">
      <c r="A1355" t="n">
        <v>1352</v>
      </c>
      <c r="B1355" s="8" t="n"/>
      <c r="C1355" s="4" t="n"/>
      <c r="D1355" s="4" t="n"/>
      <c r="E1355" s="4" t="n"/>
      <c r="F1355" s="4" t="n"/>
      <c r="G1355" s="5" t="n"/>
      <c r="H1355" s="5" t="n"/>
      <c r="I1355" s="5" t="n"/>
      <c r="J1355" s="5" t="n"/>
    </row>
    <row r="1356">
      <c r="A1356" t="n">
        <v>1353</v>
      </c>
      <c r="B1356" s="8" t="n"/>
      <c r="C1356" s="4" t="n"/>
      <c r="D1356" s="4" t="n"/>
      <c r="E1356" s="4" t="n"/>
      <c r="F1356" s="4" t="n"/>
      <c r="G1356" s="5" t="n"/>
      <c r="H1356" s="5" t="n"/>
      <c r="I1356" s="5" t="n"/>
      <c r="J1356" s="5" t="n"/>
    </row>
    <row r="1357">
      <c r="A1357" t="n">
        <v>1354</v>
      </c>
      <c r="B1357" s="8" t="n"/>
      <c r="C1357" s="4" t="n"/>
      <c r="D1357" s="4" t="n"/>
      <c r="E1357" s="4" t="n"/>
      <c r="F1357" s="4" t="n"/>
      <c r="G1357" s="5" t="n"/>
      <c r="H1357" s="5" t="n"/>
      <c r="I1357" s="5" t="n"/>
      <c r="J1357" s="5" t="n"/>
    </row>
    <row r="1358">
      <c r="A1358" t="n">
        <v>1355</v>
      </c>
      <c r="B1358" s="8" t="n"/>
      <c r="C1358" s="4" t="n"/>
      <c r="D1358" s="4" t="n"/>
      <c r="E1358" s="4" t="n"/>
      <c r="F1358" s="4" t="n"/>
      <c r="G1358" s="5" t="n"/>
      <c r="H1358" s="5" t="n"/>
      <c r="I1358" s="5" t="n"/>
      <c r="J1358" s="5" t="n"/>
    </row>
    <row r="1359">
      <c r="A1359" t="n">
        <v>1356</v>
      </c>
      <c r="B1359" s="8" t="n"/>
      <c r="C1359" s="4" t="n"/>
      <c r="D1359" s="4" t="n"/>
      <c r="E1359" s="4" t="n"/>
      <c r="F1359" s="4" t="n"/>
      <c r="G1359" s="5" t="n"/>
      <c r="H1359" s="5" t="n"/>
      <c r="I1359" s="5" t="n"/>
      <c r="J1359" s="5" t="n"/>
    </row>
    <row r="1360">
      <c r="A1360" t="n">
        <v>1357</v>
      </c>
      <c r="B1360" s="8" t="n"/>
      <c r="C1360" s="4" t="n"/>
      <c r="D1360" s="4" t="n"/>
      <c r="E1360" s="4" t="n"/>
      <c r="F1360" s="4" t="n"/>
      <c r="G1360" s="5" t="n"/>
      <c r="H1360" s="5" t="n"/>
      <c r="I1360" s="5" t="n"/>
      <c r="J1360" s="5" t="n"/>
    </row>
    <row r="1361">
      <c r="A1361" t="n">
        <v>1358</v>
      </c>
      <c r="B1361" s="8" t="n"/>
      <c r="C1361" s="4" t="n"/>
      <c r="D1361" s="4" t="n"/>
      <c r="E1361" s="4" t="n"/>
      <c r="F1361" s="4" t="n"/>
      <c r="G1361" s="5" t="n"/>
      <c r="H1361" s="5" t="n"/>
      <c r="I1361" s="5" t="n"/>
      <c r="J1361" s="5" t="n"/>
    </row>
    <row r="1362">
      <c r="A1362" t="n">
        <v>1359</v>
      </c>
      <c r="B1362" s="8" t="n"/>
      <c r="C1362" s="4" t="n"/>
      <c r="D1362" s="4" t="n"/>
      <c r="E1362" s="4" t="n"/>
      <c r="F1362" s="4" t="n"/>
      <c r="G1362" s="5" t="n"/>
      <c r="H1362" s="5" t="n"/>
      <c r="I1362" s="5" t="n"/>
      <c r="J1362" s="5" t="n"/>
    </row>
    <row r="1363">
      <c r="A1363" t="n">
        <v>1360</v>
      </c>
      <c r="B1363" s="8" t="n"/>
      <c r="C1363" s="4" t="n"/>
      <c r="D1363" s="4" t="n"/>
      <c r="E1363" s="4" t="n"/>
      <c r="F1363" s="4" t="n"/>
      <c r="G1363" s="5" t="n"/>
      <c r="H1363" s="5" t="n"/>
      <c r="I1363" s="5" t="n"/>
      <c r="J1363" s="5" t="n"/>
    </row>
    <row r="1364">
      <c r="A1364" t="n">
        <v>1361</v>
      </c>
      <c r="B1364" s="8" t="n"/>
      <c r="C1364" s="4" t="n"/>
      <c r="D1364" s="4" t="n"/>
      <c r="E1364" s="4" t="n"/>
      <c r="F1364" s="4" t="n"/>
      <c r="G1364" s="5" t="n"/>
      <c r="H1364" s="5" t="n"/>
      <c r="I1364" s="5" t="n"/>
      <c r="J1364" s="5" t="n"/>
    </row>
    <row r="1365">
      <c r="A1365" t="n">
        <v>1362</v>
      </c>
      <c r="B1365" s="8" t="n"/>
      <c r="C1365" s="4" t="n"/>
      <c r="D1365" s="4" t="n"/>
      <c r="E1365" s="4" t="n"/>
      <c r="F1365" s="4" t="n"/>
      <c r="G1365" s="5" t="n"/>
      <c r="H1365" s="5" t="n"/>
      <c r="I1365" s="5" t="n"/>
      <c r="J1365" s="5" t="n"/>
    </row>
    <row r="1366">
      <c r="A1366" t="n">
        <v>1363</v>
      </c>
      <c r="B1366" s="8" t="n"/>
      <c r="C1366" s="4" t="n"/>
      <c r="D1366" s="4" t="n"/>
      <c r="E1366" s="4" t="n"/>
      <c r="F1366" s="4" t="n"/>
      <c r="G1366" s="5" t="n"/>
      <c r="H1366" s="5" t="n"/>
      <c r="I1366" s="5" t="n"/>
      <c r="J1366" s="5" t="n"/>
    </row>
    <row r="1367">
      <c r="A1367" t="n">
        <v>1364</v>
      </c>
      <c r="B1367" s="8" t="n"/>
      <c r="C1367" s="4" t="n"/>
      <c r="D1367" s="4" t="n"/>
      <c r="E1367" s="4" t="n"/>
      <c r="F1367" s="4" t="n"/>
      <c r="G1367" s="5" t="n"/>
      <c r="H1367" s="5" t="n"/>
      <c r="I1367" s="5" t="n"/>
      <c r="J1367" s="5" t="n"/>
    </row>
    <row r="1368">
      <c r="A1368" t="n">
        <v>1365</v>
      </c>
      <c r="B1368" s="8" t="n"/>
      <c r="C1368" s="4" t="n"/>
      <c r="D1368" s="4" t="n"/>
      <c r="E1368" s="4" t="n"/>
      <c r="F1368" s="4" t="n"/>
      <c r="G1368" s="5" t="n"/>
      <c r="H1368" s="5" t="n"/>
      <c r="I1368" s="5" t="n"/>
      <c r="J1368" s="5" t="n"/>
    </row>
    <row r="1369">
      <c r="A1369" t="n">
        <v>1366</v>
      </c>
      <c r="B1369" s="8" t="n"/>
      <c r="C1369" s="4" t="n"/>
      <c r="D1369" s="4" t="n"/>
      <c r="E1369" s="4" t="n"/>
      <c r="F1369" s="4" t="n"/>
      <c r="G1369" s="5" t="n"/>
      <c r="H1369" s="5" t="n"/>
      <c r="I1369" s="5" t="n"/>
      <c r="J1369" s="5" t="n"/>
    </row>
    <row r="1370">
      <c r="A1370" t="n">
        <v>1367</v>
      </c>
      <c r="B1370" s="8" t="n"/>
      <c r="C1370" s="4" t="n"/>
      <c r="D1370" s="4" t="n"/>
      <c r="E1370" s="4" t="n"/>
      <c r="F1370" s="4" t="n"/>
      <c r="G1370" s="5" t="n"/>
      <c r="H1370" s="5" t="n"/>
      <c r="I1370" s="5" t="n"/>
      <c r="J1370" s="5" t="n"/>
    </row>
    <row r="1371">
      <c r="A1371" t="n">
        <v>1368</v>
      </c>
      <c r="B1371" s="8" t="n"/>
      <c r="C1371" s="4" t="n"/>
      <c r="D1371" s="4" t="n"/>
      <c r="E1371" s="4" t="n"/>
      <c r="F1371" s="4" t="n"/>
      <c r="G1371" s="5" t="n"/>
      <c r="H1371" s="5" t="n"/>
      <c r="I1371" s="5" t="n"/>
      <c r="J1371" s="5" t="n"/>
    </row>
    <row r="1372">
      <c r="A1372" t="n">
        <v>1369</v>
      </c>
      <c r="B1372" s="8" t="n"/>
      <c r="C1372" s="4" t="n"/>
      <c r="D1372" s="4" t="n"/>
      <c r="E1372" s="4" t="n"/>
      <c r="F1372" s="4" t="n"/>
      <c r="G1372" s="5" t="n"/>
      <c r="H1372" s="5" t="n"/>
      <c r="I1372" s="5" t="n"/>
      <c r="J1372" s="5" t="n"/>
    </row>
    <row r="1373">
      <c r="A1373" t="n">
        <v>1370</v>
      </c>
      <c r="B1373" s="8" t="n"/>
      <c r="C1373" s="4" t="n"/>
      <c r="D1373" s="4" t="n"/>
      <c r="E1373" s="4" t="n"/>
      <c r="F1373" s="4" t="n"/>
      <c r="G1373" s="5" t="n"/>
      <c r="H1373" s="5" t="n"/>
      <c r="I1373" s="5" t="n"/>
      <c r="J1373" s="5" t="n"/>
    </row>
    <row r="1374">
      <c r="A1374" t="n">
        <v>1371</v>
      </c>
      <c r="B1374" s="8" t="n"/>
      <c r="C1374" s="4" t="n"/>
      <c r="D1374" s="4" t="n"/>
      <c r="E1374" s="4" t="n"/>
      <c r="F1374" s="4" t="n"/>
      <c r="G1374" s="5" t="n"/>
      <c r="H1374" s="5" t="n"/>
      <c r="I1374" s="5" t="n"/>
      <c r="J1374" s="5" t="n"/>
    </row>
    <row r="1375">
      <c r="A1375" t="n">
        <v>1372</v>
      </c>
      <c r="B1375" s="8" t="n"/>
      <c r="C1375" s="4" t="n"/>
      <c r="D1375" s="4" t="n"/>
      <c r="E1375" s="4" t="n"/>
      <c r="F1375" s="4" t="n"/>
      <c r="G1375" s="5" t="n"/>
      <c r="H1375" s="5" t="n"/>
      <c r="I1375" s="5" t="n"/>
      <c r="J1375" s="5" t="n"/>
    </row>
    <row r="1376">
      <c r="A1376" t="n">
        <v>1373</v>
      </c>
      <c r="B1376" s="8" t="n"/>
      <c r="C1376" s="4" t="n"/>
      <c r="D1376" s="4" t="n"/>
      <c r="E1376" s="4" t="n"/>
      <c r="F1376" s="4" t="n"/>
      <c r="G1376" s="5" t="n"/>
      <c r="H1376" s="5" t="n"/>
      <c r="I1376" s="5" t="n"/>
      <c r="J1376" s="5" t="n"/>
    </row>
    <row r="1377">
      <c r="A1377" t="n">
        <v>1374</v>
      </c>
      <c r="B1377" s="8" t="n"/>
      <c r="C1377" s="4" t="n"/>
      <c r="D1377" s="4" t="n"/>
      <c r="E1377" s="4" t="n"/>
      <c r="F1377" s="4" t="n"/>
      <c r="G1377" s="5" t="n"/>
      <c r="H1377" s="5" t="n"/>
      <c r="I1377" s="5" t="n"/>
      <c r="J1377" s="5" t="n"/>
    </row>
    <row r="1378">
      <c r="A1378" t="n">
        <v>1375</v>
      </c>
      <c r="B1378" s="8" t="n"/>
      <c r="C1378" s="4" t="n"/>
      <c r="D1378" s="4" t="n"/>
      <c r="E1378" s="4" t="n"/>
      <c r="F1378" s="4" t="n"/>
      <c r="G1378" s="5" t="n"/>
      <c r="H1378" s="5" t="n"/>
      <c r="I1378" s="5" t="n"/>
      <c r="J1378" s="5" t="n"/>
    </row>
    <row r="1379">
      <c r="A1379" t="n">
        <v>1376</v>
      </c>
      <c r="B1379" s="8" t="n"/>
      <c r="C1379" s="4" t="n"/>
      <c r="D1379" s="4" t="n"/>
      <c r="E1379" s="4" t="n"/>
      <c r="F1379" s="4" t="n"/>
      <c r="G1379" s="5" t="n"/>
      <c r="H1379" s="5" t="n"/>
      <c r="I1379" s="5" t="n"/>
      <c r="J1379" s="5" t="n"/>
    </row>
    <row r="1380">
      <c r="A1380" t="n">
        <v>1377</v>
      </c>
      <c r="B1380" s="8" t="n"/>
      <c r="C1380" s="4" t="n"/>
      <c r="D1380" s="4" t="n"/>
      <c r="E1380" s="4" t="n"/>
      <c r="F1380" s="4" t="n"/>
      <c r="G1380" s="5" t="n"/>
      <c r="H1380" s="5" t="n"/>
      <c r="I1380" s="5" t="n"/>
      <c r="J1380" s="5" t="n"/>
    </row>
    <row r="1381">
      <c r="A1381" t="n">
        <v>1378</v>
      </c>
      <c r="B1381" s="8" t="n"/>
      <c r="C1381" s="4" t="n"/>
      <c r="D1381" s="4" t="n"/>
      <c r="E1381" s="4" t="n"/>
      <c r="F1381" s="4" t="n"/>
      <c r="G1381" s="5" t="n"/>
      <c r="H1381" s="5" t="n"/>
      <c r="I1381" s="5" t="n"/>
      <c r="J1381" s="5" t="n"/>
    </row>
    <row r="1382">
      <c r="A1382" t="n">
        <v>1379</v>
      </c>
      <c r="B1382" s="8" t="n"/>
      <c r="C1382" s="4" t="n"/>
      <c r="D1382" s="4" t="n"/>
      <c r="E1382" s="4" t="n"/>
      <c r="F1382" s="4" t="n"/>
      <c r="G1382" s="5" t="n"/>
      <c r="H1382" s="5" t="n"/>
      <c r="I1382" s="5" t="n"/>
      <c r="J1382" s="5" t="n"/>
    </row>
    <row r="1383">
      <c r="A1383" t="n">
        <v>1380</v>
      </c>
      <c r="B1383" s="8" t="n"/>
      <c r="C1383" s="4" t="n"/>
      <c r="D1383" s="4" t="n"/>
      <c r="E1383" s="4" t="n"/>
      <c r="F1383" s="4" t="n"/>
      <c r="G1383" s="5" t="n"/>
      <c r="H1383" s="5" t="n"/>
      <c r="I1383" s="5" t="n"/>
      <c r="J1383" s="5" t="n"/>
    </row>
    <row r="1384">
      <c r="A1384" t="n">
        <v>1381</v>
      </c>
      <c r="B1384" s="8" t="n"/>
      <c r="C1384" s="4" t="n"/>
      <c r="D1384" s="4" t="n"/>
      <c r="E1384" s="4" t="n"/>
      <c r="F1384" s="4" t="n"/>
      <c r="G1384" s="5" t="n"/>
      <c r="H1384" s="5" t="n"/>
      <c r="I1384" s="5" t="n"/>
      <c r="J1384" s="5" t="n"/>
    </row>
    <row r="1385">
      <c r="A1385" t="n">
        <v>1382</v>
      </c>
      <c r="B1385" s="8" t="n"/>
      <c r="C1385" s="4" t="n"/>
      <c r="D1385" s="4" t="n"/>
      <c r="E1385" s="4" t="n"/>
      <c r="F1385" s="4" t="n"/>
      <c r="G1385" s="5" t="n"/>
      <c r="H1385" s="5" t="n"/>
      <c r="I1385" s="5" t="n"/>
      <c r="J1385" s="5" t="n"/>
    </row>
    <row r="1386">
      <c r="A1386" t="n">
        <v>1383</v>
      </c>
      <c r="B1386" s="8" t="n"/>
      <c r="C1386" s="4" t="n"/>
      <c r="D1386" s="4" t="n"/>
      <c r="E1386" s="4" t="n"/>
      <c r="F1386" s="4" t="n"/>
      <c r="G1386" s="5" t="n"/>
      <c r="H1386" s="5" t="n"/>
      <c r="I1386" s="5" t="n"/>
      <c r="J1386" s="5" t="n"/>
    </row>
    <row r="1387">
      <c r="A1387" t="n">
        <v>1384</v>
      </c>
      <c r="B1387" s="8" t="n"/>
      <c r="C1387" s="4" t="n"/>
      <c r="D1387" s="4" t="n"/>
      <c r="E1387" s="4" t="n"/>
      <c r="F1387" s="4" t="n"/>
      <c r="G1387" s="5" t="n"/>
      <c r="H1387" s="5" t="n"/>
      <c r="I1387" s="5" t="n"/>
      <c r="J1387" s="5" t="n"/>
    </row>
    <row r="1388">
      <c r="A1388" t="n">
        <v>1385</v>
      </c>
      <c r="B1388" s="8" t="n"/>
      <c r="C1388" s="4" t="n"/>
      <c r="D1388" s="4" t="n"/>
      <c r="E1388" s="4" t="n"/>
      <c r="F1388" s="4" t="n"/>
      <c r="G1388" s="5" t="n"/>
      <c r="H1388" s="5" t="n"/>
      <c r="I1388" s="5" t="n"/>
      <c r="J1388" s="5" t="n"/>
    </row>
    <row r="1389">
      <c r="A1389" t="n">
        <v>1386</v>
      </c>
      <c r="B1389" s="8" t="n"/>
      <c r="C1389" s="4" t="n"/>
      <c r="D1389" s="4" t="n"/>
      <c r="E1389" s="4" t="n"/>
      <c r="F1389" s="4" t="n"/>
      <c r="G1389" s="5" t="n"/>
      <c r="H1389" s="5" t="n"/>
      <c r="I1389" s="5" t="n"/>
      <c r="J1389" s="5" t="n"/>
    </row>
    <row r="1390">
      <c r="A1390" t="n">
        <v>1387</v>
      </c>
      <c r="B1390" s="8" t="n"/>
      <c r="C1390" s="4" t="n"/>
      <c r="D1390" s="4" t="n"/>
      <c r="E1390" s="4" t="n"/>
      <c r="F1390" s="4" t="n"/>
      <c r="G1390" s="5" t="n"/>
      <c r="H1390" s="5" t="n"/>
      <c r="I1390" s="5" t="n"/>
      <c r="J1390" s="5" t="n"/>
    </row>
    <row r="1391">
      <c r="A1391" t="n">
        <v>1388</v>
      </c>
      <c r="B1391" s="8" t="n"/>
      <c r="C1391" s="4" t="n"/>
      <c r="D1391" s="4" t="n"/>
      <c r="E1391" s="4" t="n"/>
      <c r="F1391" s="4" t="n"/>
      <c r="G1391" s="5" t="n"/>
      <c r="H1391" s="5" t="n"/>
      <c r="I1391" s="5" t="n"/>
      <c r="J1391" s="5" t="n"/>
    </row>
    <row r="1392">
      <c r="A1392" t="n">
        <v>1389</v>
      </c>
      <c r="B1392" s="8" t="n"/>
      <c r="C1392" s="4" t="n"/>
      <c r="D1392" s="4" t="n"/>
      <c r="E1392" s="4" t="n"/>
      <c r="F1392" s="4" t="n"/>
      <c r="G1392" s="5" t="n"/>
      <c r="H1392" s="5" t="n"/>
      <c r="I1392" s="5" t="n"/>
      <c r="J1392" s="5" t="n"/>
    </row>
    <row r="1393">
      <c r="A1393" t="n">
        <v>1390</v>
      </c>
      <c r="B1393" s="8" t="n"/>
      <c r="C1393" s="4" t="n"/>
      <c r="D1393" s="4" t="n"/>
      <c r="E1393" s="4" t="n"/>
      <c r="F1393" s="4" t="n"/>
      <c r="G1393" s="5" t="n"/>
      <c r="H1393" s="5" t="n"/>
      <c r="I1393" s="5" t="n"/>
      <c r="J1393" s="5" t="n"/>
    </row>
    <row r="1394">
      <c r="A1394" t="n">
        <v>1391</v>
      </c>
      <c r="B1394" s="8" t="n"/>
      <c r="C1394" s="4" t="n"/>
      <c r="D1394" s="4" t="n"/>
      <c r="E1394" s="4" t="n"/>
      <c r="F1394" s="4" t="n"/>
      <c r="G1394" s="5" t="n"/>
      <c r="H1394" s="5" t="n"/>
      <c r="I1394" s="5" t="n"/>
      <c r="J1394" s="5" t="n"/>
    </row>
    <row r="1395">
      <c r="A1395" t="n">
        <v>1392</v>
      </c>
      <c r="B1395" s="8" t="n"/>
      <c r="C1395" s="4" t="n"/>
      <c r="D1395" s="4" t="n"/>
      <c r="E1395" s="4" t="n"/>
      <c r="F1395" s="4" t="n"/>
      <c r="G1395" s="5" t="n"/>
      <c r="H1395" s="5" t="n"/>
      <c r="I1395" s="5" t="n"/>
      <c r="J1395" s="5" t="n"/>
    </row>
    <row r="1396">
      <c r="A1396" t="n">
        <v>1393</v>
      </c>
      <c r="B1396" s="8" t="n"/>
      <c r="C1396" s="4" t="n"/>
      <c r="D1396" s="4" t="n"/>
      <c r="E1396" s="4" t="n"/>
      <c r="F1396" s="4" t="n"/>
      <c r="G1396" s="5" t="n"/>
      <c r="H1396" s="5" t="n"/>
      <c r="I1396" s="5" t="n"/>
      <c r="J1396" s="5" t="n"/>
    </row>
    <row r="1397">
      <c r="A1397" t="n">
        <v>1394</v>
      </c>
      <c r="B1397" s="8" t="n"/>
      <c r="C1397" s="4" t="n"/>
      <c r="D1397" s="4" t="n"/>
      <c r="E1397" s="4" t="n"/>
      <c r="F1397" s="4" t="n"/>
      <c r="G1397" s="5" t="n"/>
      <c r="H1397" s="5" t="n"/>
      <c r="I1397" s="5" t="n"/>
      <c r="J1397" s="5" t="n"/>
    </row>
    <row r="1398">
      <c r="A1398" t="n">
        <v>1395</v>
      </c>
      <c r="B1398" s="8" t="n"/>
      <c r="C1398" s="4" t="n"/>
      <c r="D1398" s="4" t="n"/>
      <c r="E1398" s="4" t="n"/>
      <c r="F1398" s="4" t="n"/>
      <c r="G1398" s="5" t="n"/>
      <c r="H1398" s="5" t="n"/>
      <c r="I1398" s="5" t="n"/>
      <c r="J1398" s="5" t="n"/>
    </row>
    <row r="1399">
      <c r="A1399" t="n">
        <v>1396</v>
      </c>
      <c r="B1399" s="8" t="n"/>
      <c r="C1399" s="4" t="n"/>
      <c r="D1399" s="4" t="n"/>
      <c r="E1399" s="4" t="n"/>
      <c r="F1399" s="4" t="n"/>
      <c r="G1399" s="5" t="n"/>
      <c r="H1399" s="5" t="n"/>
      <c r="I1399" s="5" t="n"/>
      <c r="J1399" s="5" t="n"/>
    </row>
    <row r="1400">
      <c r="A1400" t="n">
        <v>1397</v>
      </c>
      <c r="B1400" s="8" t="n"/>
      <c r="C1400" s="4" t="n"/>
      <c r="D1400" s="4" t="n"/>
      <c r="E1400" s="4" t="n"/>
      <c r="F1400" s="4" t="n"/>
      <c r="G1400" s="5" t="n"/>
      <c r="H1400" s="5" t="n"/>
      <c r="I1400" s="5" t="n"/>
      <c r="J1400" s="5" t="n"/>
    </row>
    <row r="1401">
      <c r="A1401" t="n">
        <v>1398</v>
      </c>
      <c r="B1401" s="8" t="n"/>
      <c r="C1401" s="4" t="n"/>
      <c r="D1401" s="4" t="n"/>
      <c r="E1401" s="4" t="n"/>
      <c r="F1401" s="4" t="n"/>
      <c r="G1401" s="5" t="n"/>
      <c r="H1401" s="5" t="n"/>
      <c r="I1401" s="5" t="n"/>
      <c r="J1401" s="5" t="n"/>
    </row>
    <row r="1402">
      <c r="A1402" t="n">
        <v>1399</v>
      </c>
      <c r="B1402" s="8" t="n"/>
      <c r="C1402" s="4" t="n"/>
      <c r="D1402" s="4" t="n"/>
      <c r="E1402" s="4" t="n"/>
      <c r="F1402" s="4" t="n"/>
      <c r="G1402" s="5" t="n"/>
      <c r="H1402" s="5" t="n"/>
      <c r="I1402" s="5" t="n"/>
      <c r="J1402" s="5" t="n"/>
    </row>
    <row r="1403">
      <c r="A1403" t="n">
        <v>1400</v>
      </c>
      <c r="B1403" s="8" t="n"/>
      <c r="C1403" s="4" t="n"/>
      <c r="D1403" s="4" t="n"/>
      <c r="E1403" s="4" t="n"/>
      <c r="F1403" s="4" t="n"/>
      <c r="G1403" s="5" t="n"/>
      <c r="H1403" s="5" t="n"/>
      <c r="I1403" s="5" t="n"/>
      <c r="J1403" s="5" t="n"/>
    </row>
    <row r="1404">
      <c r="A1404" t="n">
        <v>1401</v>
      </c>
      <c r="B1404" s="8" t="n"/>
      <c r="C1404" s="4" t="n"/>
      <c r="D1404" s="4" t="n"/>
      <c r="E1404" s="4" t="n"/>
      <c r="F1404" s="4" t="n"/>
      <c r="G1404" s="5" t="n"/>
      <c r="H1404" s="5" t="n"/>
      <c r="I1404" s="5" t="n"/>
      <c r="J1404" s="5" t="n"/>
    </row>
    <row r="1405">
      <c r="A1405" t="n">
        <v>1402</v>
      </c>
      <c r="B1405" s="8" t="n"/>
      <c r="C1405" s="4" t="n"/>
      <c r="D1405" s="4" t="n"/>
      <c r="E1405" s="4" t="n"/>
      <c r="F1405" s="4" t="n"/>
      <c r="G1405" s="5" t="n"/>
      <c r="H1405" s="5" t="n"/>
      <c r="I1405" s="5" t="n"/>
      <c r="J1405" s="5" t="n"/>
    </row>
    <row r="1406">
      <c r="A1406" t="n">
        <v>1403</v>
      </c>
      <c r="B1406" s="8" t="n"/>
      <c r="C1406" s="4" t="n"/>
      <c r="D1406" s="4" t="n"/>
      <c r="E1406" s="4" t="n"/>
      <c r="F1406" s="4" t="n"/>
      <c r="G1406" s="5" t="n"/>
      <c r="H1406" s="5" t="n"/>
      <c r="I1406" s="5" t="n"/>
      <c r="J1406" s="5" t="n"/>
    </row>
    <row r="1407">
      <c r="A1407" t="n">
        <v>1404</v>
      </c>
      <c r="B1407" s="8" t="n"/>
      <c r="C1407" s="4" t="n"/>
      <c r="D1407" s="4" t="n"/>
      <c r="E1407" s="4" t="n"/>
      <c r="F1407" s="4" t="n"/>
      <c r="G1407" s="5" t="n"/>
      <c r="H1407" s="5" t="n"/>
      <c r="I1407" s="5" t="n"/>
      <c r="J1407" s="5" t="n"/>
    </row>
    <row r="1408">
      <c r="A1408" t="n">
        <v>1405</v>
      </c>
      <c r="B1408" s="8" t="n"/>
      <c r="C1408" s="4" t="n"/>
      <c r="D1408" s="4" t="n"/>
      <c r="E1408" s="4" t="n"/>
      <c r="F1408" s="4" t="n"/>
      <c r="G1408" s="5" t="n"/>
      <c r="H1408" s="5" t="n"/>
      <c r="I1408" s="5" t="n"/>
      <c r="J1408" s="5" t="n"/>
    </row>
    <row r="1409">
      <c r="A1409" t="n">
        <v>1406</v>
      </c>
      <c r="B1409" s="8" t="n"/>
      <c r="C1409" s="4" t="n"/>
      <c r="D1409" s="4" t="n"/>
      <c r="E1409" s="4" t="n"/>
      <c r="F1409" s="4" t="n"/>
      <c r="G1409" s="5" t="n"/>
      <c r="H1409" s="5" t="n"/>
      <c r="I1409" s="5" t="n"/>
      <c r="J1409" s="5" t="n"/>
    </row>
    <row r="1410">
      <c r="A1410" t="n">
        <v>1407</v>
      </c>
      <c r="B1410" s="8" t="n"/>
      <c r="C1410" s="4" t="n"/>
      <c r="D1410" s="4" t="n"/>
      <c r="E1410" s="4" t="n"/>
      <c r="F1410" s="4" t="n"/>
      <c r="G1410" s="5" t="n"/>
      <c r="H1410" s="5" t="n"/>
      <c r="I1410" s="5" t="n"/>
      <c r="J1410" s="5" t="n"/>
    </row>
    <row r="1411">
      <c r="A1411" t="n">
        <v>1408</v>
      </c>
      <c r="B1411" s="8" t="n"/>
      <c r="C1411" s="4" t="n"/>
      <c r="D1411" s="4" t="n"/>
      <c r="E1411" s="4" t="n"/>
      <c r="F1411" s="4" t="n"/>
      <c r="G1411" s="5" t="n"/>
      <c r="H1411" s="5" t="n"/>
      <c r="I1411" s="5" t="n"/>
      <c r="J1411" s="5" t="n"/>
    </row>
    <row r="1412">
      <c r="A1412" t="n">
        <v>1409</v>
      </c>
      <c r="B1412" s="8" t="n"/>
      <c r="C1412" s="4" t="n"/>
      <c r="D1412" s="4" t="n"/>
      <c r="E1412" s="4" t="n"/>
      <c r="F1412" s="4" t="n"/>
      <c r="G1412" s="5" t="n"/>
      <c r="H1412" s="5" t="n"/>
      <c r="I1412" s="5" t="n"/>
      <c r="J1412" s="5" t="n"/>
    </row>
    <row r="1413">
      <c r="A1413" t="n">
        <v>1410</v>
      </c>
      <c r="B1413" s="8" t="n"/>
      <c r="C1413" s="4" t="n"/>
      <c r="D1413" s="4" t="n"/>
      <c r="E1413" s="4" t="n"/>
      <c r="F1413" s="4" t="n"/>
      <c r="G1413" s="5" t="n"/>
      <c r="H1413" s="5" t="n"/>
      <c r="I1413" s="5" t="n"/>
      <c r="J1413" s="5" t="n"/>
    </row>
    <row r="1414">
      <c r="A1414" t="n">
        <v>1411</v>
      </c>
      <c r="B1414" s="8" t="n"/>
      <c r="C1414" s="4" t="n"/>
      <c r="D1414" s="4" t="n"/>
      <c r="E1414" s="4" t="n"/>
      <c r="F1414" s="4" t="n"/>
      <c r="G1414" s="5" t="n"/>
      <c r="H1414" s="5" t="n"/>
      <c r="I1414" s="5" t="n"/>
      <c r="J1414" s="5" t="n"/>
    </row>
    <row r="1415">
      <c r="A1415" t="n">
        <v>1412</v>
      </c>
      <c r="B1415" s="8" t="n"/>
      <c r="C1415" s="4" t="n"/>
      <c r="D1415" s="4" t="n"/>
      <c r="E1415" s="4" t="n"/>
      <c r="F1415" s="4" t="n"/>
      <c r="G1415" s="5" t="n"/>
      <c r="H1415" s="5" t="n"/>
      <c r="I1415" s="5" t="n"/>
      <c r="J1415" s="5" t="n"/>
    </row>
    <row r="1416">
      <c r="A1416" t="n">
        <v>1413</v>
      </c>
      <c r="B1416" s="8" t="n"/>
      <c r="C1416" s="4" t="n"/>
      <c r="D1416" s="4" t="n"/>
      <c r="E1416" s="4" t="n"/>
      <c r="F1416" s="4" t="n"/>
      <c r="G1416" s="5" t="n"/>
      <c r="H1416" s="5" t="n"/>
      <c r="I1416" s="5" t="n"/>
      <c r="J1416" s="5" t="n"/>
    </row>
    <row r="1417">
      <c r="A1417" t="n">
        <v>1414</v>
      </c>
      <c r="B1417" s="8" t="n"/>
      <c r="C1417" s="4" t="n"/>
      <c r="D1417" s="4" t="n"/>
      <c r="E1417" s="4" t="n"/>
      <c r="F1417" s="4" t="n"/>
      <c r="G1417" s="5" t="n"/>
      <c r="H1417" s="5" t="n"/>
      <c r="I1417" s="5" t="n"/>
      <c r="J1417" s="5" t="n"/>
    </row>
    <row r="1418">
      <c r="A1418" t="n">
        <v>1415</v>
      </c>
      <c r="B1418" s="8" t="n"/>
      <c r="C1418" s="4" t="n"/>
      <c r="D1418" s="4" t="n"/>
      <c r="E1418" s="4" t="n"/>
      <c r="F1418" s="4" t="n"/>
      <c r="G1418" s="5" t="n"/>
      <c r="H1418" s="5" t="n"/>
      <c r="I1418" s="5" t="n"/>
      <c r="J1418" s="5" t="n"/>
    </row>
    <row r="1419">
      <c r="A1419" t="n">
        <v>1416</v>
      </c>
      <c r="B1419" s="8" t="n"/>
      <c r="C1419" s="4" t="n"/>
      <c r="D1419" s="4" t="n"/>
      <c r="E1419" s="4" t="n"/>
      <c r="F1419" s="4" t="n"/>
      <c r="G1419" s="5" t="n"/>
      <c r="H1419" s="5" t="n"/>
      <c r="I1419" s="5" t="n"/>
      <c r="J1419" s="5" t="n"/>
    </row>
    <row r="1420">
      <c r="A1420" t="n">
        <v>1417</v>
      </c>
      <c r="B1420" s="8" t="n"/>
      <c r="C1420" s="4" t="n"/>
      <c r="D1420" s="4" t="n"/>
      <c r="E1420" s="4" t="n"/>
      <c r="F1420" s="4" t="n"/>
      <c r="G1420" s="5" t="n"/>
      <c r="H1420" s="5" t="n"/>
      <c r="I1420" s="5" t="n"/>
      <c r="J1420" s="5" t="n"/>
    </row>
    <row r="1421">
      <c r="A1421" t="n">
        <v>1418</v>
      </c>
      <c r="B1421" s="8" t="n"/>
      <c r="C1421" s="4" t="n"/>
      <c r="D1421" s="4" t="n"/>
      <c r="E1421" s="4" t="n"/>
      <c r="F1421" s="4" t="n"/>
      <c r="G1421" s="5" t="n"/>
      <c r="H1421" s="5" t="n"/>
      <c r="I1421" s="5" t="n"/>
      <c r="J1421" s="5" t="n"/>
    </row>
    <row r="1422">
      <c r="A1422" t="n">
        <v>1419</v>
      </c>
      <c r="B1422" s="8" t="n"/>
      <c r="C1422" s="4" t="n"/>
      <c r="D1422" s="4" t="n"/>
      <c r="E1422" s="4" t="n"/>
      <c r="F1422" s="4" t="n"/>
      <c r="G1422" s="5" t="n"/>
      <c r="H1422" s="5" t="n"/>
      <c r="I1422" s="5" t="n"/>
      <c r="J1422" s="5" t="n"/>
    </row>
    <row r="1423">
      <c r="A1423" t="n">
        <v>1420</v>
      </c>
      <c r="B1423" s="8" t="n"/>
      <c r="C1423" s="4" t="n"/>
      <c r="D1423" s="4" t="n"/>
      <c r="E1423" s="4" t="n"/>
      <c r="F1423" s="4" t="n"/>
      <c r="G1423" s="5" t="n"/>
      <c r="H1423" s="5" t="n"/>
      <c r="I1423" s="5" t="n"/>
      <c r="J1423" s="5" t="n"/>
    </row>
    <row r="1424">
      <c r="A1424" t="n">
        <v>1421</v>
      </c>
      <c r="B1424" s="8" t="n"/>
      <c r="C1424" s="4" t="n"/>
      <c r="D1424" s="4" t="n"/>
      <c r="E1424" s="4" t="n"/>
      <c r="F1424" s="4" t="n"/>
      <c r="G1424" s="5" t="n"/>
      <c r="H1424" s="5" t="n"/>
      <c r="I1424" s="5" t="n"/>
      <c r="J1424" s="5" t="n"/>
    </row>
    <row r="1425">
      <c r="A1425" t="n">
        <v>1422</v>
      </c>
      <c r="B1425" s="8" t="n"/>
      <c r="C1425" s="4" t="n"/>
      <c r="D1425" s="4" t="n"/>
      <c r="E1425" s="4" t="n"/>
      <c r="F1425" s="4" t="n"/>
      <c r="G1425" s="5" t="n"/>
      <c r="H1425" s="5" t="n"/>
      <c r="I1425" s="5" t="n"/>
      <c r="J1425" s="5" t="n"/>
    </row>
    <row r="1426">
      <c r="A1426" t="n">
        <v>1423</v>
      </c>
      <c r="B1426" s="8" t="n"/>
      <c r="C1426" s="4" t="n"/>
      <c r="D1426" s="4" t="n"/>
      <c r="E1426" s="4" t="n"/>
      <c r="F1426" s="4" t="n"/>
      <c r="G1426" s="5" t="n"/>
      <c r="H1426" s="5" t="n"/>
      <c r="I1426" s="5" t="n"/>
      <c r="J1426" s="5" t="n"/>
    </row>
    <row r="1427">
      <c r="A1427" t="n">
        <v>1424</v>
      </c>
      <c r="B1427" s="8" t="n"/>
      <c r="C1427" s="4" t="n"/>
      <c r="D1427" s="4" t="n"/>
      <c r="E1427" s="4" t="n"/>
      <c r="F1427" s="4" t="n"/>
      <c r="G1427" s="5" t="n"/>
      <c r="H1427" s="5" t="n"/>
      <c r="I1427" s="5" t="n"/>
      <c r="J1427" s="5" t="n"/>
    </row>
    <row r="1428">
      <c r="A1428" t="n">
        <v>1425</v>
      </c>
      <c r="B1428" s="8" t="n"/>
      <c r="C1428" s="4" t="n"/>
      <c r="D1428" s="4" t="n"/>
      <c r="E1428" s="4" t="n"/>
      <c r="F1428" s="4" t="n"/>
      <c r="G1428" s="5" t="n"/>
      <c r="H1428" s="5" t="n"/>
      <c r="I1428" s="5" t="n"/>
      <c r="J1428" s="5" t="n"/>
    </row>
    <row r="1429">
      <c r="A1429" t="n">
        <v>1426</v>
      </c>
      <c r="B1429" s="8" t="n"/>
      <c r="C1429" s="4" t="n"/>
      <c r="D1429" s="4" t="n"/>
      <c r="E1429" s="4" t="n"/>
      <c r="F1429" s="4" t="n"/>
      <c r="G1429" s="5" t="n"/>
      <c r="H1429" s="5" t="n"/>
      <c r="I1429" s="5" t="n"/>
      <c r="J1429" s="5" t="n"/>
    </row>
    <row r="1430">
      <c r="A1430" t="n">
        <v>1427</v>
      </c>
      <c r="B1430" s="8" t="n"/>
      <c r="C1430" s="4" t="n"/>
      <c r="D1430" s="4" t="n"/>
      <c r="E1430" s="4" t="n"/>
      <c r="F1430" s="4" t="n"/>
      <c r="G1430" s="5" t="n"/>
      <c r="H1430" s="5" t="n"/>
      <c r="I1430" s="5" t="n"/>
      <c r="J1430" s="5" t="n"/>
    </row>
    <row r="1431">
      <c r="A1431" t="n">
        <v>1428</v>
      </c>
      <c r="B1431" s="8" t="n"/>
      <c r="C1431" s="4" t="n"/>
      <c r="D1431" s="4" t="n"/>
      <c r="E1431" s="4" t="n"/>
      <c r="F1431" s="4" t="n"/>
      <c r="G1431" s="5" t="n"/>
      <c r="H1431" s="5" t="n"/>
      <c r="I1431" s="5" t="n"/>
      <c r="J1431" s="5" t="n"/>
    </row>
    <row r="1432">
      <c r="A1432" t="n">
        <v>1429</v>
      </c>
      <c r="B1432" s="8" t="n"/>
      <c r="C1432" s="4" t="n"/>
      <c r="D1432" s="4" t="n"/>
      <c r="E1432" s="4" t="n"/>
      <c r="F1432" s="4" t="n"/>
      <c r="G1432" s="5" t="n"/>
      <c r="H1432" s="5" t="n"/>
      <c r="I1432" s="5" t="n"/>
      <c r="J1432" s="5" t="n"/>
    </row>
    <row r="1433">
      <c r="A1433" t="n">
        <v>1430</v>
      </c>
      <c r="B1433" s="8" t="n"/>
      <c r="C1433" s="4" t="n"/>
      <c r="D1433" s="4" t="n"/>
      <c r="E1433" s="4" t="n"/>
      <c r="F1433" s="4" t="n"/>
      <c r="G1433" s="5" t="n"/>
      <c r="H1433" s="5" t="n"/>
      <c r="I1433" s="5" t="n"/>
      <c r="J1433" s="5" t="n"/>
    </row>
    <row r="1434">
      <c r="A1434" t="n">
        <v>1431</v>
      </c>
      <c r="B1434" s="8" t="n"/>
      <c r="C1434" s="4" t="n"/>
      <c r="D1434" s="4" t="n"/>
      <c r="E1434" s="4" t="n"/>
      <c r="F1434" s="4" t="n"/>
      <c r="G1434" s="5" t="n"/>
      <c r="H1434" s="5" t="n"/>
      <c r="I1434" s="5" t="n"/>
      <c r="J1434" s="5" t="n"/>
    </row>
    <row r="1435">
      <c r="A1435" t="n">
        <v>1432</v>
      </c>
      <c r="B1435" s="8" t="n"/>
      <c r="C1435" s="4" t="n"/>
      <c r="D1435" s="4" t="n"/>
      <c r="E1435" s="4" t="n"/>
      <c r="F1435" s="4" t="n"/>
      <c r="G1435" s="5" t="n"/>
      <c r="H1435" s="5" t="n"/>
      <c r="I1435" s="5" t="n"/>
      <c r="J1435" s="5" t="n"/>
    </row>
    <row r="1436">
      <c r="A1436" t="n">
        <v>1433</v>
      </c>
      <c r="B1436" s="8" t="n"/>
      <c r="C1436" s="4" t="n"/>
      <c r="D1436" s="4" t="n"/>
      <c r="E1436" s="4" t="n"/>
      <c r="F1436" s="4" t="n"/>
      <c r="G1436" s="5" t="n"/>
      <c r="H1436" s="5" t="n"/>
      <c r="I1436" s="5" t="n"/>
      <c r="J1436" s="5" t="n"/>
    </row>
    <row r="1437">
      <c r="A1437" t="n">
        <v>1434</v>
      </c>
      <c r="B1437" s="8" t="n"/>
      <c r="C1437" s="4" t="n"/>
      <c r="D1437" s="4" t="n"/>
      <c r="E1437" s="4" t="n"/>
      <c r="F1437" s="4" t="n"/>
      <c r="G1437" s="5" t="n"/>
      <c r="H1437" s="5" t="n"/>
      <c r="I1437" s="5" t="n"/>
      <c r="J1437" s="5" t="n"/>
    </row>
    <row r="1438">
      <c r="A1438" t="n">
        <v>1435</v>
      </c>
      <c r="B1438" s="8" t="n"/>
      <c r="C1438" s="4" t="n"/>
      <c r="D1438" s="4" t="n"/>
      <c r="E1438" s="4" t="n"/>
      <c r="F1438" s="4" t="n"/>
      <c r="G1438" s="5" t="n"/>
      <c r="H1438" s="5" t="n"/>
      <c r="I1438" s="5" t="n"/>
      <c r="J1438" s="5" t="n"/>
    </row>
    <row r="1439">
      <c r="A1439" t="n">
        <v>1436</v>
      </c>
      <c r="B1439" s="8" t="n"/>
      <c r="C1439" s="4" t="n"/>
      <c r="D1439" s="4" t="n"/>
      <c r="E1439" s="4" t="n"/>
      <c r="F1439" s="4" t="n"/>
      <c r="G1439" s="5" t="n"/>
      <c r="H1439" s="5" t="n"/>
      <c r="I1439" s="5" t="n"/>
      <c r="J1439" s="5" t="n"/>
    </row>
    <row r="1440">
      <c r="A1440" t="n">
        <v>1437</v>
      </c>
      <c r="B1440" s="8" t="n"/>
      <c r="C1440" s="4" t="n"/>
      <c r="D1440" s="4" t="n"/>
      <c r="E1440" s="4" t="n"/>
      <c r="F1440" s="4" t="n"/>
      <c r="G1440" s="5" t="n"/>
      <c r="H1440" s="5" t="n"/>
      <c r="I1440" s="5" t="n"/>
      <c r="J1440" s="5" t="n"/>
    </row>
    <row r="1441">
      <c r="A1441" t="n">
        <v>1438</v>
      </c>
      <c r="B1441" s="8" t="n"/>
      <c r="C1441" s="4" t="n"/>
      <c r="D1441" s="4" t="n"/>
      <c r="E1441" s="4" t="n"/>
      <c r="F1441" s="4" t="n"/>
      <c r="G1441" s="5" t="n"/>
      <c r="H1441" s="5" t="n"/>
      <c r="I1441" s="5" t="n"/>
      <c r="J1441" s="5" t="n"/>
    </row>
    <row r="1442">
      <c r="A1442" t="n">
        <v>1439</v>
      </c>
      <c r="B1442" s="8" t="n"/>
      <c r="C1442" s="4" t="n"/>
      <c r="D1442" s="4" t="n"/>
      <c r="E1442" s="4" t="n"/>
      <c r="F1442" s="4" t="n"/>
      <c r="G1442" s="5" t="n"/>
      <c r="H1442" s="5" t="n"/>
      <c r="I1442" s="5" t="n"/>
      <c r="J1442" s="5" t="n"/>
    </row>
    <row r="1443">
      <c r="A1443" t="n">
        <v>1440</v>
      </c>
      <c r="B1443" s="8" t="n"/>
      <c r="C1443" s="4" t="n"/>
      <c r="D1443" s="4" t="n"/>
      <c r="E1443" s="4" t="n"/>
      <c r="F1443" s="4" t="n"/>
      <c r="G1443" s="5" t="n"/>
      <c r="H1443" s="5" t="n"/>
      <c r="I1443" s="5" t="n"/>
      <c r="J1443" s="5" t="n"/>
    </row>
    <row r="1444">
      <c r="A1444" t="n">
        <v>1441</v>
      </c>
      <c r="B1444" s="8" t="n"/>
      <c r="C1444" s="4" t="n"/>
      <c r="D1444" s="4" t="n"/>
      <c r="E1444" s="4" t="n"/>
      <c r="F1444" s="4" t="n"/>
      <c r="G1444" s="5" t="n"/>
      <c r="H1444" s="5" t="n"/>
      <c r="I1444" s="5" t="n"/>
      <c r="J1444" s="5" t="n"/>
    </row>
    <row r="1445">
      <c r="A1445" t="n">
        <v>1442</v>
      </c>
      <c r="B1445" s="8" t="n"/>
      <c r="C1445" s="4" t="n"/>
      <c r="D1445" s="4" t="n"/>
      <c r="E1445" s="4" t="n"/>
      <c r="F1445" s="4" t="n"/>
      <c r="G1445" s="5" t="n"/>
      <c r="H1445" s="5" t="n"/>
      <c r="I1445" s="5" t="n"/>
      <c r="J1445" s="5" t="n"/>
    </row>
    <row r="1446">
      <c r="A1446" t="n">
        <v>1443</v>
      </c>
      <c r="B1446" s="8" t="n"/>
      <c r="C1446" s="4" t="n"/>
      <c r="D1446" s="4" t="n"/>
      <c r="E1446" s="4" t="n"/>
      <c r="F1446" s="4" t="n"/>
      <c r="G1446" s="5" t="n"/>
      <c r="H1446" s="5" t="n"/>
      <c r="I1446" s="5" t="n"/>
      <c r="J1446" s="5" t="n"/>
    </row>
    <row r="1447">
      <c r="A1447" t="n">
        <v>1444</v>
      </c>
      <c r="B1447" s="8" t="n"/>
      <c r="C1447" s="4" t="n"/>
      <c r="D1447" s="4" t="n"/>
      <c r="E1447" s="4" t="n"/>
      <c r="F1447" s="4" t="n"/>
      <c r="G1447" s="5" t="n"/>
      <c r="H1447" s="5" t="n"/>
      <c r="I1447" s="5" t="n"/>
      <c r="J1447" s="5" t="n"/>
    </row>
    <row r="1448">
      <c r="A1448" t="n">
        <v>1445</v>
      </c>
      <c r="B1448" s="8" t="n"/>
      <c r="C1448" s="4" t="n"/>
      <c r="D1448" s="4" t="n"/>
      <c r="E1448" s="4" t="n"/>
      <c r="F1448" s="4" t="n"/>
      <c r="G1448" s="5" t="n"/>
      <c r="H1448" s="5" t="n"/>
      <c r="I1448" s="5" t="n"/>
      <c r="J1448" s="5" t="n"/>
    </row>
    <row r="1449">
      <c r="A1449" t="n">
        <v>1446</v>
      </c>
      <c r="B1449" s="8" t="n"/>
      <c r="C1449" s="4" t="n"/>
      <c r="D1449" s="4" t="n"/>
      <c r="E1449" s="4" t="n"/>
      <c r="F1449" s="4" t="n"/>
      <c r="G1449" s="5" t="n"/>
      <c r="H1449" s="5" t="n"/>
      <c r="I1449" s="5" t="n"/>
      <c r="J1449" s="5" t="n"/>
    </row>
    <row r="1450">
      <c r="A1450" t="n">
        <v>1447</v>
      </c>
      <c r="B1450" s="8" t="n"/>
      <c r="C1450" s="4" t="n"/>
      <c r="D1450" s="4" t="n"/>
      <c r="E1450" s="4" t="n"/>
      <c r="F1450" s="4" t="n"/>
      <c r="G1450" s="5" t="n"/>
      <c r="H1450" s="5" t="n"/>
      <c r="I1450" s="5" t="n"/>
      <c r="J1450" s="5" t="n"/>
    </row>
    <row r="1451">
      <c r="A1451" t="n">
        <v>1448</v>
      </c>
      <c r="B1451" s="8" t="n"/>
      <c r="C1451" s="4" t="n"/>
      <c r="D1451" s="4" t="n"/>
      <c r="E1451" s="4" t="n"/>
      <c r="F1451" s="4" t="n"/>
      <c r="G1451" s="5" t="n"/>
      <c r="H1451" s="5" t="n"/>
      <c r="I1451" s="5" t="n"/>
      <c r="J1451" s="5" t="n"/>
    </row>
    <row r="1452">
      <c r="A1452" t="n">
        <v>1449</v>
      </c>
      <c r="B1452" s="8" t="n"/>
      <c r="C1452" s="4" t="n"/>
      <c r="D1452" s="4" t="n"/>
      <c r="E1452" s="4" t="n"/>
      <c r="F1452" s="4" t="n"/>
      <c r="G1452" s="5" t="n"/>
      <c r="H1452" s="5" t="n"/>
      <c r="I1452" s="5" t="n"/>
      <c r="J1452" s="5" t="n"/>
    </row>
    <row r="1453">
      <c r="A1453" t="n">
        <v>1450</v>
      </c>
      <c r="B1453" s="8" t="n"/>
      <c r="C1453" s="4" t="n"/>
      <c r="D1453" s="4" t="n"/>
      <c r="E1453" s="4" t="n"/>
      <c r="F1453" s="4" t="n"/>
      <c r="G1453" s="5" t="n"/>
      <c r="H1453" s="5" t="n"/>
      <c r="I1453" s="5" t="n"/>
      <c r="J1453" s="5" t="n"/>
    </row>
    <row r="1454">
      <c r="A1454" t="n">
        <v>1451</v>
      </c>
      <c r="B1454" s="8" t="n"/>
      <c r="C1454" s="4" t="n"/>
      <c r="D1454" s="4" t="n"/>
      <c r="E1454" s="4" t="n"/>
      <c r="F1454" s="4" t="n"/>
      <c r="G1454" s="5" t="n"/>
      <c r="H1454" s="5" t="n"/>
      <c r="I1454" s="5" t="n"/>
      <c r="J1454" s="5" t="n"/>
    </row>
    <row r="1455">
      <c r="A1455" t="n">
        <v>1452</v>
      </c>
      <c r="B1455" s="8" t="n"/>
      <c r="C1455" s="4" t="n"/>
      <c r="D1455" s="4" t="n"/>
      <c r="E1455" s="4" t="n"/>
      <c r="F1455" s="4" t="n"/>
      <c r="G1455" s="5" t="n"/>
      <c r="H1455" s="5" t="n"/>
      <c r="I1455" s="5" t="n"/>
      <c r="J1455" s="5" t="n"/>
    </row>
    <row r="1456">
      <c r="A1456" t="n">
        <v>1453</v>
      </c>
      <c r="B1456" s="8" t="n"/>
      <c r="C1456" s="4" t="n"/>
      <c r="D1456" s="4" t="n"/>
      <c r="E1456" s="4" t="n"/>
      <c r="F1456" s="4" t="n"/>
      <c r="G1456" s="5" t="n"/>
      <c r="H1456" s="5" t="n"/>
      <c r="I1456" s="5" t="n"/>
      <c r="J1456" s="5" t="n"/>
    </row>
    <row r="1457">
      <c r="A1457" t="n">
        <v>1454</v>
      </c>
      <c r="B1457" s="8" t="n"/>
      <c r="C1457" s="4" t="n"/>
      <c r="D1457" s="4" t="n"/>
      <c r="E1457" s="4" t="n"/>
      <c r="F1457" s="4" t="n"/>
      <c r="G1457" s="5" t="n"/>
      <c r="H1457" s="5" t="n"/>
      <c r="I1457" s="5" t="n"/>
      <c r="J1457" s="5" t="n"/>
    </row>
    <row r="1458">
      <c r="A1458" t="n">
        <v>1455</v>
      </c>
      <c r="B1458" s="8" t="n"/>
      <c r="C1458" s="4" t="n"/>
      <c r="D1458" s="4" t="n"/>
      <c r="E1458" s="4" t="n"/>
      <c r="F1458" s="4" t="n"/>
      <c r="G1458" s="5" t="n"/>
      <c r="H1458" s="5" t="n"/>
      <c r="I1458" s="5" t="n"/>
      <c r="J1458" s="5" t="n"/>
    </row>
    <row r="1459">
      <c r="A1459" t="n">
        <v>1456</v>
      </c>
      <c r="B1459" s="8" t="n"/>
      <c r="C1459" s="4" t="n"/>
      <c r="D1459" s="4" t="n"/>
      <c r="E1459" s="4" t="n"/>
      <c r="F1459" s="4" t="n"/>
      <c r="G1459" s="5" t="n"/>
      <c r="H1459" s="5" t="n"/>
      <c r="I1459" s="5" t="n"/>
      <c r="J1459" s="5" t="n"/>
    </row>
    <row r="1460">
      <c r="A1460" t="n">
        <v>1457</v>
      </c>
      <c r="B1460" s="8" t="n"/>
      <c r="C1460" s="4" t="n"/>
      <c r="D1460" s="4" t="n"/>
      <c r="E1460" s="4" t="n"/>
      <c r="F1460" s="4" t="n"/>
      <c r="G1460" s="5" t="n"/>
      <c r="H1460" s="5" t="n"/>
      <c r="I1460" s="5" t="n"/>
      <c r="J1460" s="5" t="n"/>
    </row>
    <row r="1461">
      <c r="A1461" t="n">
        <v>1458</v>
      </c>
      <c r="B1461" s="8" t="n"/>
      <c r="C1461" s="4" t="n"/>
      <c r="D1461" s="4" t="n"/>
      <c r="E1461" s="4" t="n"/>
      <c r="F1461" s="4" t="n"/>
      <c r="G1461" s="5" t="n"/>
      <c r="H1461" s="5" t="n"/>
      <c r="I1461" s="5" t="n"/>
      <c r="J1461" s="5" t="n"/>
    </row>
    <row r="1462">
      <c r="A1462" t="n">
        <v>1459</v>
      </c>
      <c r="B1462" s="8" t="n"/>
      <c r="C1462" s="4" t="n"/>
      <c r="D1462" s="4" t="n"/>
      <c r="E1462" s="4" t="n"/>
      <c r="F1462" s="4" t="n"/>
      <c r="G1462" s="5" t="n"/>
      <c r="H1462" s="5" t="n"/>
      <c r="I1462" s="5" t="n"/>
      <c r="J1462" s="5" t="n"/>
    </row>
    <row r="1463">
      <c r="A1463" t="n">
        <v>1460</v>
      </c>
      <c r="B1463" s="8" t="n"/>
      <c r="C1463" s="4" t="n"/>
      <c r="D1463" s="4" t="n"/>
      <c r="E1463" s="4" t="n"/>
      <c r="F1463" s="4" t="n"/>
      <c r="G1463" s="5" t="n"/>
      <c r="H1463" s="5" t="n"/>
      <c r="I1463" s="5" t="n"/>
      <c r="J1463" s="5" t="n"/>
    </row>
    <row r="1464">
      <c r="A1464" t="n">
        <v>1461</v>
      </c>
      <c r="B1464" s="8" t="n"/>
      <c r="C1464" s="4" t="n"/>
      <c r="D1464" s="4" t="n"/>
      <c r="E1464" s="4" t="n"/>
      <c r="F1464" s="4" t="n"/>
      <c r="G1464" s="5" t="n"/>
      <c r="H1464" s="5" t="n"/>
      <c r="I1464" s="5" t="n"/>
      <c r="J1464" s="5" t="n"/>
    </row>
    <row r="1465">
      <c r="A1465" t="n">
        <v>1462</v>
      </c>
      <c r="B1465" s="8" t="n"/>
      <c r="C1465" s="4" t="n"/>
      <c r="D1465" s="4" t="n"/>
      <c r="E1465" s="4" t="n"/>
      <c r="F1465" s="4" t="n"/>
      <c r="G1465" s="5" t="n"/>
      <c r="H1465" s="5" t="n"/>
      <c r="I1465" s="5" t="n"/>
      <c r="J1465" s="5" t="n"/>
    </row>
    <row r="1466">
      <c r="A1466" t="n">
        <v>1463</v>
      </c>
      <c r="B1466" s="8" t="n"/>
      <c r="C1466" s="4" t="n"/>
      <c r="D1466" s="4" t="n"/>
      <c r="E1466" s="4" t="n"/>
      <c r="F1466" s="4" t="n"/>
      <c r="G1466" s="5" t="n"/>
      <c r="H1466" s="5" t="n"/>
      <c r="I1466" s="5" t="n"/>
      <c r="J1466" s="5" t="n"/>
    </row>
    <row r="1467">
      <c r="A1467" t="n">
        <v>1464</v>
      </c>
      <c r="B1467" s="8" t="n"/>
      <c r="C1467" s="4" t="n"/>
      <c r="D1467" s="4" t="n"/>
      <c r="E1467" s="4" t="n"/>
      <c r="F1467" s="4" t="n"/>
      <c r="G1467" s="5" t="n"/>
      <c r="H1467" s="5" t="n"/>
      <c r="I1467" s="5" t="n"/>
      <c r="J1467" s="5" t="n"/>
    </row>
    <row r="1468">
      <c r="A1468" t="n">
        <v>1465</v>
      </c>
      <c r="B1468" s="8" t="n"/>
      <c r="C1468" s="4" t="n"/>
      <c r="D1468" s="4" t="n"/>
      <c r="E1468" s="4" t="n"/>
      <c r="F1468" s="4" t="n"/>
      <c r="G1468" s="5" t="n"/>
      <c r="H1468" s="5" t="n"/>
      <c r="I1468" s="5" t="n"/>
      <c r="J1468" s="5" t="n"/>
    </row>
    <row r="1469">
      <c r="A1469" t="n">
        <v>1466</v>
      </c>
      <c r="B1469" s="8" t="n"/>
      <c r="C1469" s="4" t="n"/>
      <c r="D1469" s="4" t="n"/>
      <c r="E1469" s="4" t="n"/>
      <c r="F1469" s="4" t="n"/>
      <c r="G1469" s="5" t="n"/>
      <c r="H1469" s="5" t="n"/>
      <c r="I1469" s="5" t="n"/>
      <c r="J1469" s="5" t="n"/>
    </row>
    <row r="1470">
      <c r="A1470" t="n">
        <v>1467</v>
      </c>
      <c r="B1470" s="8" t="n"/>
      <c r="C1470" s="4" t="n"/>
      <c r="D1470" s="4" t="n"/>
      <c r="E1470" s="4" t="n"/>
      <c r="F1470" s="4" t="n"/>
      <c r="G1470" s="5" t="n"/>
      <c r="H1470" s="5" t="n"/>
      <c r="I1470" s="5" t="n"/>
      <c r="J1470" s="5" t="n"/>
    </row>
    <row r="1471">
      <c r="A1471" t="n">
        <v>1468</v>
      </c>
      <c r="B1471" s="8" t="n"/>
      <c r="C1471" s="4" t="n"/>
      <c r="D1471" s="4" t="n"/>
      <c r="E1471" s="4" t="n"/>
      <c r="F1471" s="4" t="n"/>
      <c r="G1471" s="5" t="n"/>
      <c r="H1471" s="5" t="n"/>
      <c r="I1471" s="5" t="n"/>
      <c r="J1471" s="5" t="n"/>
    </row>
    <row r="1472">
      <c r="A1472" t="n">
        <v>1469</v>
      </c>
      <c r="B1472" s="8" t="n"/>
      <c r="C1472" s="4" t="n"/>
      <c r="D1472" s="4" t="n"/>
      <c r="E1472" s="4" t="n"/>
      <c r="F1472" s="4" t="n"/>
      <c r="G1472" s="5" t="n"/>
      <c r="H1472" s="5" t="n"/>
      <c r="I1472" s="5" t="n"/>
      <c r="J1472" s="5" t="n"/>
    </row>
    <row r="1473">
      <c r="A1473" t="n">
        <v>1470</v>
      </c>
      <c r="B1473" s="8" t="n"/>
      <c r="C1473" s="4" t="n"/>
      <c r="D1473" s="4" t="n"/>
      <c r="E1473" s="4" t="n"/>
      <c r="F1473" s="4" t="n"/>
      <c r="G1473" s="5" t="n"/>
      <c r="H1473" s="5" t="n"/>
      <c r="I1473" s="5" t="n"/>
      <c r="J1473" s="5" t="n"/>
    </row>
    <row r="1474">
      <c r="A1474" t="n">
        <v>1471</v>
      </c>
      <c r="B1474" s="8" t="n"/>
      <c r="C1474" s="4" t="n"/>
      <c r="D1474" s="4" t="n"/>
      <c r="E1474" s="4" t="n"/>
      <c r="F1474" s="4" t="n"/>
      <c r="G1474" s="5" t="n"/>
      <c r="H1474" s="5" t="n"/>
      <c r="I1474" s="5" t="n"/>
      <c r="J1474" s="5" t="n"/>
    </row>
    <row r="1475">
      <c r="A1475" t="n">
        <v>1472</v>
      </c>
      <c r="B1475" s="8" t="n"/>
      <c r="C1475" s="4" t="n"/>
      <c r="D1475" s="4" t="n"/>
      <c r="E1475" s="4" t="n"/>
      <c r="F1475" s="4" t="n"/>
      <c r="G1475" s="5" t="n"/>
      <c r="H1475" s="5" t="n"/>
      <c r="I1475" s="5" t="n"/>
      <c r="J1475" s="5" t="n"/>
    </row>
    <row r="1476">
      <c r="A1476" t="n">
        <v>1473</v>
      </c>
      <c r="B1476" s="8" t="n"/>
      <c r="C1476" s="4" t="n"/>
      <c r="D1476" s="4" t="n"/>
      <c r="E1476" s="4" t="n"/>
      <c r="F1476" s="4" t="n"/>
      <c r="G1476" s="5" t="n"/>
      <c r="H1476" s="5" t="n"/>
      <c r="I1476" s="5" t="n"/>
      <c r="J1476" s="5" t="n"/>
    </row>
    <row r="1477">
      <c r="A1477" t="n">
        <v>1474</v>
      </c>
      <c r="B1477" s="8" t="n"/>
      <c r="C1477" s="4" t="n"/>
      <c r="D1477" s="4" t="n"/>
      <c r="E1477" s="4" t="n"/>
      <c r="F1477" s="4" t="n"/>
      <c r="G1477" s="5" t="n"/>
      <c r="H1477" s="5" t="n"/>
      <c r="I1477" s="5" t="n"/>
      <c r="J1477" s="5" t="n"/>
    </row>
    <row r="1478">
      <c r="A1478" t="n">
        <v>1475</v>
      </c>
      <c r="B1478" s="8" t="n"/>
      <c r="C1478" s="4" t="n"/>
      <c r="D1478" s="4" t="n"/>
      <c r="E1478" s="4" t="n"/>
      <c r="F1478" s="4" t="n"/>
      <c r="G1478" s="5" t="n"/>
      <c r="H1478" s="5" t="n"/>
      <c r="I1478" s="5" t="n"/>
      <c r="J1478" s="5" t="n"/>
    </row>
    <row r="1479">
      <c r="A1479" t="n">
        <v>1476</v>
      </c>
      <c r="B1479" s="8" t="n"/>
      <c r="C1479" s="4" t="n"/>
      <c r="D1479" s="4" t="n"/>
      <c r="E1479" s="4" t="n"/>
      <c r="F1479" s="4" t="n"/>
      <c r="G1479" s="5" t="n"/>
      <c r="H1479" s="5" t="n"/>
      <c r="I1479" s="5" t="n"/>
      <c r="J1479" s="5" t="n"/>
    </row>
    <row r="1480">
      <c r="A1480" t="n">
        <v>1477</v>
      </c>
      <c r="B1480" s="8" t="n"/>
      <c r="C1480" s="4" t="n"/>
      <c r="D1480" s="4" t="n"/>
      <c r="E1480" s="4" t="n"/>
      <c r="F1480" s="4" t="n"/>
      <c r="G1480" s="5" t="n"/>
      <c r="H1480" s="5" t="n"/>
      <c r="I1480" s="5" t="n"/>
      <c r="J1480" s="5" t="n"/>
    </row>
    <row r="1481">
      <c r="A1481" t="n">
        <v>1478</v>
      </c>
      <c r="B1481" s="8" t="n"/>
      <c r="C1481" s="4" t="n"/>
      <c r="D1481" s="4" t="n"/>
      <c r="E1481" s="4" t="n"/>
      <c r="F1481" s="4" t="n"/>
      <c r="G1481" s="5" t="n"/>
      <c r="H1481" s="5" t="n"/>
      <c r="I1481" s="5" t="n"/>
      <c r="J1481" s="5" t="n"/>
    </row>
    <row r="1482">
      <c r="A1482" t="n">
        <v>1479</v>
      </c>
      <c r="B1482" s="8" t="n"/>
      <c r="C1482" s="4" t="n"/>
      <c r="D1482" s="4" t="n"/>
      <c r="E1482" s="4" t="n"/>
      <c r="F1482" s="4" t="n"/>
      <c r="G1482" s="5" t="n"/>
      <c r="H1482" s="5" t="n"/>
      <c r="I1482" s="5" t="n"/>
      <c r="J1482" s="5" t="n"/>
    </row>
    <row r="1483">
      <c r="A1483" t="n">
        <v>1480</v>
      </c>
      <c r="B1483" s="8" t="n"/>
      <c r="C1483" s="4" t="n"/>
      <c r="D1483" s="4" t="n"/>
      <c r="E1483" s="4" t="n"/>
      <c r="F1483" s="4" t="n"/>
      <c r="G1483" s="5" t="n"/>
      <c r="H1483" s="5" t="n"/>
      <c r="I1483" s="5" t="n"/>
      <c r="J1483" s="5" t="n"/>
    </row>
    <row r="1484">
      <c r="A1484" t="n">
        <v>1481</v>
      </c>
      <c r="B1484" s="8" t="n"/>
      <c r="C1484" s="4" t="n"/>
      <c r="D1484" s="4" t="n"/>
      <c r="E1484" s="4" t="n"/>
      <c r="F1484" s="4" t="n"/>
      <c r="G1484" s="5" t="n"/>
      <c r="H1484" s="5" t="n"/>
      <c r="I1484" s="5" t="n"/>
      <c r="J1484" s="5" t="n"/>
    </row>
    <row r="1485">
      <c r="A1485" t="n">
        <v>1482</v>
      </c>
      <c r="B1485" s="8" t="n"/>
      <c r="C1485" s="4" t="n"/>
      <c r="D1485" s="4" t="n"/>
      <c r="E1485" s="4" t="n"/>
      <c r="F1485" s="4" t="n"/>
      <c r="G1485" s="5" t="n"/>
      <c r="H1485" s="5" t="n"/>
      <c r="I1485" s="5" t="n"/>
      <c r="J1485" s="5" t="n"/>
    </row>
    <row r="1486">
      <c r="A1486" t="n">
        <v>1483</v>
      </c>
      <c r="B1486" s="8" t="n"/>
      <c r="C1486" s="4" t="n"/>
      <c r="D1486" s="4" t="n"/>
      <c r="E1486" s="4" t="n"/>
      <c r="F1486" s="4" t="n"/>
      <c r="G1486" s="5" t="n"/>
      <c r="H1486" s="5" t="n"/>
      <c r="I1486" s="5" t="n"/>
      <c r="J1486" s="5" t="n"/>
    </row>
    <row r="1487">
      <c r="A1487" t="n">
        <v>1484</v>
      </c>
      <c r="B1487" s="8" t="n"/>
      <c r="C1487" s="4" t="n"/>
      <c r="D1487" s="4" t="n"/>
      <c r="E1487" s="4" t="n"/>
      <c r="F1487" s="4" t="n"/>
      <c r="G1487" s="5" t="n"/>
      <c r="H1487" s="5" t="n"/>
      <c r="I1487" s="5" t="n"/>
      <c r="J1487" s="5" t="n"/>
    </row>
    <row r="1488">
      <c r="A1488" t="n">
        <v>1485</v>
      </c>
      <c r="B1488" s="8" t="n"/>
      <c r="C1488" s="4" t="n"/>
      <c r="D1488" s="4" t="n"/>
      <c r="E1488" s="4" t="n"/>
      <c r="F1488" s="4" t="n"/>
      <c r="G1488" s="5" t="n"/>
      <c r="H1488" s="5" t="n"/>
      <c r="I1488" s="5" t="n"/>
      <c r="J1488" s="5" t="n"/>
    </row>
    <row r="1489">
      <c r="A1489" t="n">
        <v>1486</v>
      </c>
      <c r="B1489" s="8" t="n"/>
      <c r="C1489" s="4" t="n"/>
      <c r="D1489" s="4" t="n"/>
      <c r="E1489" s="4" t="n"/>
      <c r="F1489" s="4" t="n"/>
      <c r="G1489" s="5" t="n"/>
      <c r="H1489" s="5" t="n"/>
      <c r="I1489" s="5" t="n"/>
      <c r="J1489" s="5" t="n"/>
    </row>
    <row r="1490">
      <c r="A1490" t="n">
        <v>1487</v>
      </c>
      <c r="B1490" s="8" t="n"/>
      <c r="C1490" s="4" t="n"/>
      <c r="D1490" s="4" t="n"/>
      <c r="E1490" s="4" t="n"/>
      <c r="F1490" s="4" t="n"/>
      <c r="G1490" s="5" t="n"/>
      <c r="H1490" s="5" t="n"/>
      <c r="I1490" s="5" t="n"/>
      <c r="J1490" s="5" t="n"/>
    </row>
    <row r="1491">
      <c r="A1491" t="n">
        <v>1488</v>
      </c>
      <c r="B1491" s="8" t="n"/>
      <c r="C1491" s="4" t="n"/>
      <c r="D1491" s="4" t="n"/>
      <c r="E1491" s="4" t="n"/>
      <c r="F1491" s="4" t="n"/>
      <c r="G1491" s="5" t="n"/>
      <c r="H1491" s="5" t="n"/>
      <c r="I1491" s="5" t="n"/>
      <c r="J1491" s="5" t="n"/>
    </row>
    <row r="1492">
      <c r="A1492" t="n">
        <v>1489</v>
      </c>
      <c r="B1492" s="8" t="n"/>
      <c r="C1492" s="4" t="n"/>
      <c r="D1492" s="4" t="n"/>
      <c r="E1492" s="4" t="n"/>
      <c r="F1492" s="4" t="n"/>
      <c r="G1492" s="5" t="n"/>
      <c r="H1492" s="5" t="n"/>
      <c r="I1492" s="5" t="n"/>
      <c r="J1492" s="5" t="n"/>
    </row>
    <row r="1493">
      <c r="A1493" t="n">
        <v>1490</v>
      </c>
      <c r="B1493" s="8" t="n"/>
      <c r="C1493" s="4" t="n"/>
      <c r="D1493" s="4" t="n"/>
      <c r="E1493" s="4" t="n"/>
      <c r="F1493" s="4" t="n"/>
      <c r="G1493" s="5" t="n"/>
      <c r="H1493" s="5" t="n"/>
      <c r="I1493" s="5" t="n"/>
      <c r="J1493" s="5" t="n"/>
    </row>
    <row r="1494">
      <c r="A1494" t="n">
        <v>1491</v>
      </c>
      <c r="B1494" s="8" t="n"/>
      <c r="C1494" s="4" t="n"/>
      <c r="D1494" s="4" t="n"/>
      <c r="E1494" s="4" t="n"/>
      <c r="F1494" s="4" t="n"/>
      <c r="G1494" s="5" t="n"/>
      <c r="H1494" s="5" t="n"/>
      <c r="I1494" s="5" t="n"/>
      <c r="J1494" s="5" t="n"/>
    </row>
    <row r="1495">
      <c r="A1495" t="n">
        <v>1492</v>
      </c>
      <c r="B1495" s="8" t="n"/>
      <c r="C1495" s="4" t="n"/>
      <c r="D1495" s="4" t="n"/>
      <c r="E1495" s="4" t="n"/>
      <c r="F1495" s="4" t="n"/>
      <c r="G1495" s="5" t="n"/>
      <c r="H1495" s="5" t="n"/>
      <c r="I1495" s="5" t="n"/>
      <c r="J1495" s="5" t="n"/>
    </row>
    <row r="1496">
      <c r="A1496" t="n">
        <v>1493</v>
      </c>
      <c r="B1496" s="8" t="n"/>
      <c r="C1496" s="4" t="n"/>
      <c r="D1496" s="4" t="n"/>
      <c r="E1496" s="4" t="n"/>
      <c r="F1496" s="4" t="n"/>
      <c r="G1496" s="5" t="n"/>
      <c r="H1496" s="5" t="n"/>
      <c r="I1496" s="5" t="n"/>
      <c r="J1496" s="5" t="n"/>
    </row>
    <row r="1497">
      <c r="A1497" t="n">
        <v>1494</v>
      </c>
      <c r="B1497" s="8" t="n"/>
      <c r="C1497" s="4" t="n"/>
      <c r="D1497" s="4" t="n"/>
      <c r="E1497" s="4" t="n"/>
      <c r="F1497" s="4" t="n"/>
      <c r="G1497" s="5" t="n"/>
      <c r="H1497" s="5" t="n"/>
      <c r="I1497" s="5" t="n"/>
      <c r="J1497" s="5" t="n"/>
    </row>
    <row r="1498">
      <c r="A1498" t="n">
        <v>1495</v>
      </c>
      <c r="B1498" s="8" t="n"/>
      <c r="C1498" s="4" t="n"/>
      <c r="D1498" s="4" t="n"/>
      <c r="E1498" s="4" t="n"/>
      <c r="F1498" s="4" t="n"/>
      <c r="G1498" s="5" t="n"/>
      <c r="H1498" s="5" t="n"/>
      <c r="I1498" s="5" t="n"/>
      <c r="J1498" s="5" t="n"/>
    </row>
    <row r="1499">
      <c r="A1499" t="n">
        <v>1496</v>
      </c>
      <c r="B1499" s="8" t="n"/>
      <c r="C1499" s="4" t="n"/>
      <c r="D1499" s="4" t="n"/>
      <c r="E1499" s="4" t="n"/>
      <c r="F1499" s="4" t="n"/>
      <c r="G1499" s="5" t="n"/>
      <c r="H1499" s="5" t="n"/>
      <c r="I1499" s="5" t="n"/>
      <c r="J1499" s="5" t="n"/>
    </row>
    <row r="1500">
      <c r="A1500" t="n">
        <v>1497</v>
      </c>
      <c r="B1500" s="8" t="n"/>
      <c r="C1500" s="4" t="n"/>
      <c r="D1500" s="4" t="n"/>
      <c r="E1500" s="4" t="n"/>
      <c r="F1500" s="4" t="n"/>
      <c r="G1500" s="5" t="n"/>
      <c r="H1500" s="5" t="n"/>
      <c r="I1500" s="5" t="n"/>
      <c r="J1500" s="5" t="n"/>
    </row>
    <row r="1501">
      <c r="A1501" t="n">
        <v>1498</v>
      </c>
      <c r="B1501" s="8" t="n"/>
      <c r="C1501" s="4" t="n"/>
      <c r="D1501" s="4" t="n"/>
      <c r="E1501" s="4" t="n"/>
      <c r="F1501" s="4" t="n"/>
      <c r="G1501" s="5" t="n"/>
      <c r="H1501" s="5" t="n"/>
      <c r="I1501" s="5" t="n"/>
      <c r="J1501" s="5" t="n"/>
    </row>
    <row r="1502">
      <c r="A1502" t="n">
        <v>1499</v>
      </c>
      <c r="B1502" s="8" t="n"/>
      <c r="C1502" s="4" t="n"/>
      <c r="D1502" s="4" t="n"/>
      <c r="E1502" s="4" t="n"/>
      <c r="F1502" s="4" t="n"/>
      <c r="G1502" s="5" t="n"/>
      <c r="H1502" s="5" t="n"/>
      <c r="I1502" s="5" t="n"/>
      <c r="J1502" s="5" t="n"/>
    </row>
    <row r="1503">
      <c r="A1503" t="n">
        <v>1500</v>
      </c>
      <c r="B1503" s="8" t="n"/>
      <c r="C1503" s="4" t="n"/>
      <c r="D1503" s="4" t="n"/>
      <c r="E1503" s="4" t="n"/>
      <c r="F1503" s="4" t="n"/>
      <c r="G1503" s="5" t="n"/>
      <c r="H1503" s="5" t="n"/>
      <c r="I1503" s="5" t="n"/>
      <c r="J1503" s="5" t="n"/>
    </row>
    <row r="1504">
      <c r="A1504" t="n">
        <v>1501</v>
      </c>
      <c r="B1504" s="8" t="n"/>
      <c r="C1504" s="4" t="n"/>
      <c r="D1504" s="4" t="n"/>
      <c r="E1504" s="4" t="n"/>
      <c r="F1504" s="4" t="n"/>
      <c r="G1504" s="5" t="n"/>
      <c r="H1504" s="5" t="n"/>
      <c r="I1504" s="5" t="n"/>
      <c r="J1504" s="5" t="n"/>
    </row>
    <row r="1505">
      <c r="A1505" t="n">
        <v>1502</v>
      </c>
      <c r="B1505" s="8" t="n"/>
      <c r="C1505" s="4" t="n"/>
      <c r="D1505" s="4" t="n"/>
      <c r="E1505" s="4" t="n"/>
      <c r="F1505" s="4" t="n"/>
      <c r="G1505" s="5" t="n"/>
      <c r="H1505" s="5" t="n"/>
      <c r="I1505" s="5" t="n"/>
      <c r="J1505" s="5" t="n"/>
    </row>
    <row r="1506">
      <c r="A1506" t="n">
        <v>1503</v>
      </c>
      <c r="B1506" s="8" t="n"/>
      <c r="C1506" s="4" t="n"/>
      <c r="D1506" s="4" t="n"/>
      <c r="E1506" s="4" t="n"/>
      <c r="F1506" s="4" t="n"/>
      <c r="G1506" s="5" t="n"/>
      <c r="H1506" s="5" t="n"/>
      <c r="I1506" s="5" t="n"/>
      <c r="J1506" s="5" t="n"/>
    </row>
    <row r="1507">
      <c r="A1507" t="n">
        <v>1504</v>
      </c>
      <c r="B1507" s="8" t="n"/>
      <c r="C1507" s="4" t="n"/>
      <c r="D1507" s="4" t="n"/>
      <c r="E1507" s="4" t="n"/>
      <c r="F1507" s="4" t="n"/>
      <c r="G1507" s="5" t="n"/>
      <c r="H1507" s="5" t="n"/>
      <c r="I1507" s="5" t="n"/>
      <c r="J1507" s="5" t="n"/>
    </row>
    <row r="1508">
      <c r="A1508" t="n">
        <v>1505</v>
      </c>
      <c r="B1508" s="8" t="n"/>
      <c r="C1508" s="4" t="n"/>
      <c r="D1508" s="4" t="n"/>
      <c r="E1508" s="4" t="n"/>
      <c r="F1508" s="4" t="n"/>
      <c r="G1508" s="5" t="n"/>
      <c r="H1508" s="5" t="n"/>
      <c r="I1508" s="5" t="n"/>
      <c r="J1508" s="5" t="n"/>
    </row>
    <row r="1509">
      <c r="A1509" t="n">
        <v>1506</v>
      </c>
      <c r="B1509" s="8" t="n"/>
      <c r="C1509" s="4" t="n"/>
      <c r="D1509" s="4" t="n"/>
      <c r="E1509" s="4" t="n"/>
      <c r="F1509" s="4" t="n"/>
      <c r="G1509" s="5" t="n"/>
      <c r="H1509" s="5" t="n"/>
      <c r="I1509" s="5" t="n"/>
      <c r="J1509" s="5" t="n"/>
    </row>
    <row r="1510">
      <c r="A1510" t="n">
        <v>1507</v>
      </c>
      <c r="B1510" s="8" t="n"/>
      <c r="C1510" s="4" t="n"/>
      <c r="D1510" s="4" t="n"/>
      <c r="E1510" s="4" t="n"/>
      <c r="F1510" s="4" t="n"/>
      <c r="G1510" s="5" t="n"/>
      <c r="H1510" s="5" t="n"/>
      <c r="I1510" s="5" t="n"/>
      <c r="J1510" s="5" t="n"/>
    </row>
    <row r="1511">
      <c r="A1511" t="n">
        <v>1508</v>
      </c>
      <c r="B1511" s="8" t="n"/>
      <c r="C1511" s="4" t="n"/>
      <c r="D1511" s="4" t="n"/>
      <c r="E1511" s="4" t="n"/>
      <c r="F1511" s="4" t="n"/>
      <c r="G1511" s="5" t="n"/>
      <c r="H1511" s="5" t="n"/>
      <c r="I1511" s="5" t="n"/>
      <c r="J1511" s="5" t="n"/>
    </row>
    <row r="1512">
      <c r="A1512" t="n">
        <v>1509</v>
      </c>
      <c r="B1512" s="8" t="n"/>
      <c r="C1512" s="4" t="n"/>
      <c r="D1512" s="4" t="n"/>
      <c r="E1512" s="4" t="n"/>
      <c r="F1512" s="4" t="n"/>
      <c r="G1512" s="5" t="n"/>
      <c r="H1512" s="5" t="n"/>
      <c r="I1512" s="5" t="n"/>
      <c r="J1512" s="5" t="n"/>
    </row>
    <row r="1513">
      <c r="A1513" t="n">
        <v>1510</v>
      </c>
      <c r="B1513" s="8" t="n"/>
      <c r="C1513" s="4" t="n"/>
      <c r="D1513" s="4" t="n"/>
      <c r="E1513" s="4" t="n"/>
      <c r="F1513" s="4" t="n"/>
      <c r="G1513" s="5" t="n"/>
      <c r="H1513" s="5" t="n"/>
      <c r="I1513" s="5" t="n"/>
      <c r="J1513" s="5" t="n"/>
    </row>
    <row r="1514">
      <c r="A1514" t="n">
        <v>1511</v>
      </c>
      <c r="B1514" s="8" t="n"/>
      <c r="C1514" s="4" t="n"/>
      <c r="D1514" s="4" t="n"/>
      <c r="E1514" s="4" t="n"/>
      <c r="F1514" s="4" t="n"/>
      <c r="G1514" s="5" t="n"/>
      <c r="H1514" s="5" t="n"/>
      <c r="I1514" s="5" t="n"/>
      <c r="J1514" s="5" t="n"/>
    </row>
    <row r="1515">
      <c r="A1515" t="n">
        <v>1512</v>
      </c>
      <c r="B1515" s="8" t="n"/>
      <c r="C1515" s="4" t="n"/>
      <c r="D1515" s="4" t="n"/>
      <c r="E1515" s="4" t="n"/>
      <c r="F1515" s="4" t="n"/>
      <c r="G1515" s="5" t="n"/>
      <c r="H1515" s="5" t="n"/>
      <c r="I1515" s="5" t="n"/>
      <c r="J1515" s="5" t="n"/>
    </row>
    <row r="1516">
      <c r="A1516" t="n">
        <v>1513</v>
      </c>
      <c r="B1516" s="8" t="n"/>
      <c r="C1516" s="4" t="n"/>
      <c r="D1516" s="4" t="n"/>
      <c r="E1516" s="4" t="n"/>
      <c r="F1516" s="4" t="n"/>
      <c r="G1516" s="5" t="n"/>
      <c r="H1516" s="5" t="n"/>
      <c r="I1516" s="5" t="n"/>
      <c r="J1516" s="5" t="n"/>
    </row>
    <row r="1517">
      <c r="A1517" t="n">
        <v>1514</v>
      </c>
      <c r="B1517" s="8" t="n"/>
      <c r="C1517" s="4" t="n"/>
      <c r="D1517" s="4" t="n"/>
      <c r="E1517" s="4" t="n"/>
      <c r="F1517" s="4" t="n"/>
      <c r="G1517" s="5" t="n"/>
      <c r="H1517" s="5" t="n"/>
      <c r="I1517" s="5" t="n"/>
      <c r="J1517" s="5" t="n"/>
    </row>
    <row r="1518">
      <c r="A1518" t="n">
        <v>1515</v>
      </c>
      <c r="B1518" s="8" t="n"/>
      <c r="C1518" s="4" t="n"/>
      <c r="D1518" s="4" t="n"/>
      <c r="E1518" s="4" t="n"/>
      <c r="F1518" s="4" t="n"/>
      <c r="G1518" s="5" t="n"/>
      <c r="H1518" s="5" t="n"/>
      <c r="I1518" s="5" t="n"/>
      <c r="J1518" s="5" t="n"/>
    </row>
    <row r="1519">
      <c r="A1519" t="n">
        <v>1516</v>
      </c>
      <c r="B1519" s="8" t="n"/>
      <c r="C1519" s="4" t="n"/>
      <c r="D1519" s="4" t="n"/>
      <c r="E1519" s="4" t="n"/>
      <c r="F1519" s="4" t="n"/>
      <c r="G1519" s="5" t="n"/>
      <c r="H1519" s="5" t="n"/>
      <c r="I1519" s="5" t="n"/>
      <c r="J1519" s="5" t="n"/>
    </row>
    <row r="1520">
      <c r="A1520" t="n">
        <v>1517</v>
      </c>
      <c r="B1520" s="8" t="n"/>
      <c r="C1520" s="4" t="n"/>
      <c r="D1520" s="4" t="n"/>
      <c r="E1520" s="4" t="n"/>
      <c r="F1520" s="4" t="n"/>
      <c r="G1520" s="5" t="n"/>
      <c r="H1520" s="5" t="n"/>
      <c r="I1520" s="5" t="n"/>
      <c r="J1520" s="5" t="n"/>
    </row>
    <row r="1521">
      <c r="A1521" t="n">
        <v>1518</v>
      </c>
      <c r="B1521" s="8" t="n"/>
      <c r="C1521" s="4" t="n"/>
      <c r="D1521" s="4" t="n"/>
      <c r="E1521" s="4" t="n"/>
      <c r="F1521" s="4" t="n"/>
      <c r="G1521" s="5" t="n"/>
      <c r="H1521" s="5" t="n"/>
      <c r="I1521" s="5" t="n"/>
      <c r="J1521" s="5" t="n"/>
    </row>
    <row r="1522">
      <c r="A1522" t="n">
        <v>1519</v>
      </c>
      <c r="B1522" s="8" t="n"/>
      <c r="C1522" s="4" t="n"/>
      <c r="D1522" s="4" t="n"/>
      <c r="E1522" s="4" t="n"/>
      <c r="F1522" s="4" t="n"/>
      <c r="G1522" s="5" t="n"/>
      <c r="H1522" s="5" t="n"/>
      <c r="I1522" s="5" t="n"/>
      <c r="J1522" s="5" t="n"/>
    </row>
    <row r="1523">
      <c r="A1523" t="n">
        <v>1520</v>
      </c>
      <c r="B1523" s="8" t="n"/>
      <c r="C1523" s="4" t="n"/>
      <c r="D1523" s="4" t="n"/>
      <c r="E1523" s="4" t="n"/>
      <c r="F1523" s="4" t="n"/>
      <c r="G1523" s="5" t="n"/>
      <c r="H1523" s="5" t="n"/>
      <c r="I1523" s="5" t="n"/>
      <c r="J1523" s="5" t="n"/>
    </row>
    <row r="1524">
      <c r="A1524" t="n">
        <v>1521</v>
      </c>
      <c r="B1524" s="8" t="n"/>
      <c r="C1524" s="4" t="n"/>
      <c r="D1524" s="4" t="n"/>
      <c r="E1524" s="4" t="n"/>
      <c r="F1524" s="4" t="n"/>
      <c r="G1524" s="5" t="n"/>
      <c r="H1524" s="5" t="n"/>
      <c r="I1524" s="5" t="n"/>
      <c r="J1524" s="5" t="n"/>
    </row>
    <row r="1525">
      <c r="A1525" t="n">
        <v>1522</v>
      </c>
      <c r="B1525" s="8" t="n"/>
      <c r="C1525" s="4" t="n"/>
      <c r="D1525" s="4" t="n"/>
      <c r="E1525" s="4" t="n"/>
      <c r="F1525" s="4" t="n"/>
      <c r="G1525" s="5" t="n"/>
      <c r="H1525" s="5" t="n"/>
      <c r="I1525" s="5" t="n"/>
      <c r="J1525" s="5" t="n"/>
    </row>
    <row r="1526">
      <c r="A1526" t="n">
        <v>1523</v>
      </c>
      <c r="B1526" s="8" t="n"/>
      <c r="C1526" s="4" t="n"/>
      <c r="D1526" s="4" t="n"/>
      <c r="E1526" s="4" t="n"/>
      <c r="F1526" s="4" t="n"/>
      <c r="G1526" s="5" t="n"/>
      <c r="H1526" s="5" t="n"/>
      <c r="I1526" s="5" t="n"/>
      <c r="J1526" s="5" t="n"/>
    </row>
    <row r="1527">
      <c r="A1527" t="n">
        <v>1524</v>
      </c>
      <c r="B1527" s="8" t="n"/>
      <c r="C1527" s="4" t="n"/>
      <c r="D1527" s="4" t="n"/>
      <c r="E1527" s="4" t="n"/>
      <c r="F1527" s="4" t="n"/>
      <c r="G1527" s="5" t="n"/>
      <c r="H1527" s="5" t="n"/>
      <c r="I1527" s="5" t="n"/>
      <c r="J1527" s="5" t="n"/>
    </row>
    <row r="1528">
      <c r="A1528" t="n">
        <v>1525</v>
      </c>
      <c r="B1528" s="8" t="n"/>
      <c r="C1528" s="4" t="n"/>
      <c r="D1528" s="4" t="n"/>
      <c r="E1528" s="4" t="n"/>
      <c r="F1528" s="4" t="n"/>
      <c r="G1528" s="5" t="n"/>
      <c r="H1528" s="5" t="n"/>
      <c r="I1528" s="5" t="n"/>
      <c r="J1528" s="5" t="n"/>
    </row>
    <row r="1529">
      <c r="A1529" t="n">
        <v>1526</v>
      </c>
      <c r="B1529" s="8" t="n"/>
      <c r="C1529" s="4" t="n"/>
      <c r="D1529" s="4" t="n"/>
      <c r="E1529" s="4" t="n"/>
      <c r="F1529" s="4" t="n"/>
      <c r="G1529" s="5" t="n"/>
      <c r="H1529" s="5" t="n"/>
      <c r="I1529" s="5" t="n"/>
      <c r="J1529" s="5" t="n"/>
    </row>
    <row r="1530">
      <c r="A1530" t="n">
        <v>1527</v>
      </c>
      <c r="B1530" s="8" t="n"/>
      <c r="C1530" s="4" t="n"/>
      <c r="D1530" s="4" t="n"/>
      <c r="E1530" s="4" t="n"/>
      <c r="F1530" s="4" t="n"/>
      <c r="G1530" s="5" t="n"/>
      <c r="H1530" s="5" t="n"/>
      <c r="I1530" s="5" t="n"/>
      <c r="J1530" s="5" t="n"/>
    </row>
    <row r="1531">
      <c r="A1531" t="n">
        <v>1528</v>
      </c>
      <c r="B1531" s="8" t="n"/>
      <c r="C1531" s="4" t="n"/>
      <c r="D1531" s="4" t="n"/>
      <c r="E1531" s="4" t="n"/>
      <c r="F1531" s="4" t="n"/>
      <c r="G1531" s="5" t="n"/>
      <c r="H1531" s="5" t="n"/>
      <c r="I1531" s="5" t="n"/>
      <c r="J1531" s="5" t="n"/>
    </row>
    <row r="1532">
      <c r="A1532" t="n">
        <v>1529</v>
      </c>
      <c r="B1532" s="8" t="n"/>
      <c r="C1532" s="4" t="n"/>
      <c r="D1532" s="4" t="n"/>
      <c r="E1532" s="4" t="n"/>
      <c r="F1532" s="4" t="n"/>
      <c r="G1532" s="5" t="n"/>
      <c r="H1532" s="5" t="n"/>
      <c r="I1532" s="5" t="n"/>
      <c r="J1532" s="5" t="n"/>
    </row>
    <row r="1533">
      <c r="A1533" t="n">
        <v>1530</v>
      </c>
      <c r="B1533" s="8" t="n"/>
      <c r="C1533" s="4" t="n"/>
      <c r="D1533" s="4" t="n"/>
      <c r="E1533" s="4" t="n"/>
      <c r="F1533" s="4" t="n"/>
      <c r="G1533" s="5" t="n"/>
      <c r="H1533" s="5" t="n"/>
      <c r="I1533" s="5" t="n"/>
      <c r="J1533" s="5" t="n"/>
    </row>
    <row r="1534">
      <c r="A1534" t="n">
        <v>1531</v>
      </c>
      <c r="B1534" s="8" t="n"/>
      <c r="C1534" s="4" t="n"/>
      <c r="D1534" s="4" t="n"/>
      <c r="E1534" s="4" t="n"/>
      <c r="F1534" s="4" t="n"/>
      <c r="G1534" s="5" t="n"/>
      <c r="H1534" s="5" t="n"/>
      <c r="I1534" s="5" t="n"/>
      <c r="J1534" s="5" t="n"/>
    </row>
    <row r="1535">
      <c r="A1535" t="n">
        <v>1532</v>
      </c>
      <c r="B1535" s="8" t="n"/>
      <c r="C1535" s="4" t="n"/>
      <c r="D1535" s="4" t="n"/>
      <c r="E1535" s="4" t="n"/>
      <c r="F1535" s="4" t="n"/>
      <c r="G1535" s="5" t="n"/>
      <c r="H1535" s="5" t="n"/>
      <c r="I1535" s="5" t="n"/>
      <c r="J1535" s="5" t="n"/>
    </row>
    <row r="1536">
      <c r="A1536" t="n">
        <v>1533</v>
      </c>
      <c r="B1536" s="8" t="n"/>
      <c r="C1536" s="4" t="n"/>
      <c r="D1536" s="4" t="n"/>
      <c r="E1536" s="4" t="n"/>
      <c r="F1536" s="4" t="n"/>
      <c r="G1536" s="5" t="n"/>
      <c r="H1536" s="5" t="n"/>
      <c r="I1536" s="5" t="n"/>
      <c r="J1536" s="5" t="n"/>
    </row>
    <row r="1537">
      <c r="A1537" t="n">
        <v>1534</v>
      </c>
      <c r="B1537" s="8" t="n"/>
      <c r="C1537" s="4" t="n"/>
      <c r="D1537" s="4" t="n"/>
      <c r="E1537" s="4" t="n"/>
      <c r="F1537" s="4" t="n"/>
      <c r="G1537" s="5" t="n"/>
      <c r="H1537" s="5" t="n"/>
      <c r="I1537" s="5" t="n"/>
      <c r="J1537" s="5" t="n"/>
    </row>
    <row r="1538">
      <c r="A1538" t="n">
        <v>1535</v>
      </c>
      <c r="B1538" s="8" t="n"/>
      <c r="C1538" s="4" t="n"/>
      <c r="D1538" s="4" t="n"/>
      <c r="E1538" s="4" t="n"/>
      <c r="F1538" s="4" t="n"/>
      <c r="G1538" s="5" t="n"/>
      <c r="H1538" s="5" t="n"/>
      <c r="I1538" s="5" t="n"/>
      <c r="J1538" s="5" t="n"/>
    </row>
    <row r="1539">
      <c r="A1539" t="n">
        <v>1536</v>
      </c>
      <c r="B1539" s="8" t="n"/>
      <c r="C1539" s="4" t="n"/>
      <c r="D1539" s="4" t="n"/>
      <c r="E1539" s="4" t="n"/>
      <c r="F1539" s="4" t="n"/>
      <c r="G1539" s="5" t="n"/>
      <c r="H1539" s="5" t="n"/>
      <c r="I1539" s="5" t="n"/>
      <c r="J1539" s="5" t="n"/>
    </row>
    <row r="1540">
      <c r="A1540" t="n">
        <v>1537</v>
      </c>
      <c r="B1540" s="8" t="n"/>
      <c r="C1540" s="4" t="n"/>
      <c r="D1540" s="4" t="n"/>
      <c r="E1540" s="4" t="n"/>
      <c r="F1540" s="4" t="n"/>
      <c r="G1540" s="5" t="n"/>
      <c r="H1540" s="5" t="n"/>
      <c r="I1540" s="5" t="n"/>
      <c r="J1540" s="5" t="n"/>
    </row>
    <row r="1541">
      <c r="A1541" t="n">
        <v>1538</v>
      </c>
      <c r="B1541" s="8" t="n"/>
      <c r="C1541" s="4" t="n"/>
      <c r="D1541" s="4" t="n"/>
      <c r="E1541" s="4" t="n"/>
      <c r="F1541" s="4" t="n"/>
      <c r="G1541" s="5" t="n"/>
      <c r="H1541" s="5" t="n"/>
      <c r="I1541" s="5" t="n"/>
      <c r="J1541" s="5" t="n"/>
    </row>
    <row r="1542">
      <c r="A1542" t="n">
        <v>1539</v>
      </c>
      <c r="B1542" s="8" t="n"/>
      <c r="C1542" s="4" t="n"/>
      <c r="D1542" s="4" t="n"/>
      <c r="E1542" s="4" t="n"/>
      <c r="F1542" s="4" t="n"/>
      <c r="G1542" s="5" t="n"/>
      <c r="H1542" s="5" t="n"/>
      <c r="I1542" s="5" t="n"/>
      <c r="J1542" s="5" t="n"/>
    </row>
    <row r="1543">
      <c r="A1543" t="n">
        <v>1540</v>
      </c>
      <c r="B1543" s="8" t="n"/>
      <c r="C1543" s="4" t="n"/>
      <c r="D1543" s="4" t="n"/>
      <c r="E1543" s="4" t="n"/>
      <c r="F1543" s="4" t="n"/>
      <c r="G1543" s="5" t="n"/>
      <c r="H1543" s="5" t="n"/>
      <c r="I1543" s="5" t="n"/>
      <c r="J1543" s="5" t="n"/>
    </row>
    <row r="1544">
      <c r="A1544" t="n">
        <v>1541</v>
      </c>
      <c r="B1544" s="8" t="n"/>
      <c r="C1544" s="4" t="n"/>
      <c r="D1544" s="4" t="n"/>
      <c r="E1544" s="4" t="n"/>
      <c r="F1544" s="4" t="n"/>
      <c r="G1544" s="5" t="n"/>
      <c r="H1544" s="5" t="n"/>
      <c r="I1544" s="5" t="n"/>
      <c r="J1544" s="5" t="n"/>
    </row>
    <row r="1545">
      <c r="A1545" t="n">
        <v>1542</v>
      </c>
      <c r="B1545" s="8" t="n"/>
      <c r="C1545" s="4" t="n"/>
      <c r="D1545" s="4" t="n"/>
      <c r="E1545" s="4" t="n"/>
      <c r="F1545" s="4" t="n"/>
      <c r="G1545" s="5" t="n"/>
      <c r="H1545" s="5" t="n"/>
      <c r="I1545" s="5" t="n"/>
      <c r="J1545" s="5" t="n"/>
    </row>
    <row r="1546">
      <c r="A1546" t="n">
        <v>1543</v>
      </c>
      <c r="B1546" s="8" t="n"/>
      <c r="C1546" s="4" t="n"/>
      <c r="D1546" s="4" t="n"/>
      <c r="E1546" s="4" t="n"/>
      <c r="F1546" s="4" t="n"/>
      <c r="G1546" s="5" t="n"/>
      <c r="H1546" s="5" t="n"/>
      <c r="I1546" s="5" t="n"/>
      <c r="J1546" s="5" t="n"/>
    </row>
    <row r="1547">
      <c r="A1547" t="n">
        <v>1544</v>
      </c>
      <c r="B1547" s="8" t="n"/>
      <c r="C1547" s="4" t="n"/>
      <c r="D1547" s="4" t="n"/>
      <c r="E1547" s="4" t="n"/>
      <c r="F1547" s="4" t="n"/>
      <c r="G1547" s="5" t="n"/>
      <c r="H1547" s="5" t="n"/>
      <c r="I1547" s="5" t="n"/>
      <c r="J1547" s="5" t="n"/>
    </row>
    <row r="1548">
      <c r="A1548" t="n">
        <v>1545</v>
      </c>
      <c r="B1548" s="8" t="n"/>
      <c r="C1548" s="4" t="n"/>
      <c r="D1548" s="4" t="n"/>
      <c r="E1548" s="4" t="n"/>
      <c r="F1548" s="4" t="n"/>
      <c r="G1548" s="5" t="n"/>
      <c r="H1548" s="5" t="n"/>
      <c r="I1548" s="5" t="n"/>
      <c r="J1548" s="5" t="n"/>
    </row>
    <row r="1549">
      <c r="A1549" t="n">
        <v>1546</v>
      </c>
      <c r="B1549" s="8" t="n"/>
      <c r="C1549" s="4" t="n"/>
      <c r="D1549" s="4" t="n"/>
      <c r="E1549" s="4" t="n"/>
      <c r="F1549" s="4" t="n"/>
      <c r="G1549" s="5" t="n"/>
      <c r="H1549" s="5" t="n"/>
      <c r="I1549" s="5" t="n"/>
      <c r="J1549" s="5" t="n"/>
    </row>
    <row r="1550">
      <c r="A1550" t="n">
        <v>1547</v>
      </c>
      <c r="B1550" s="8" t="n"/>
      <c r="C1550" s="4" t="n"/>
      <c r="D1550" s="4" t="n"/>
      <c r="E1550" s="4" t="n"/>
      <c r="F1550" s="4" t="n"/>
      <c r="G1550" s="5" t="n"/>
      <c r="H1550" s="5" t="n"/>
      <c r="I1550" s="5" t="n"/>
      <c r="J1550" s="5" t="n"/>
    </row>
    <row r="1551">
      <c r="A1551" t="n">
        <v>1548</v>
      </c>
      <c r="B1551" s="8" t="n"/>
      <c r="C1551" s="4" t="n"/>
      <c r="D1551" s="4" t="n"/>
      <c r="E1551" s="4" t="n"/>
      <c r="F1551" s="4" t="n"/>
      <c r="G1551" s="5" t="n"/>
      <c r="H1551" s="5" t="n"/>
      <c r="I1551" s="5" t="n"/>
      <c r="J1551" s="5" t="n"/>
    </row>
    <row r="1552">
      <c r="A1552" t="n">
        <v>1549</v>
      </c>
      <c r="B1552" s="8" t="n"/>
      <c r="C1552" s="4" t="n"/>
      <c r="D1552" s="4" t="n"/>
      <c r="E1552" s="4" t="n"/>
      <c r="F1552" s="4" t="n"/>
      <c r="G1552" s="5" t="n"/>
      <c r="H1552" s="5" t="n"/>
      <c r="I1552" s="5" t="n"/>
      <c r="J1552" s="5" t="n"/>
    </row>
    <row r="1553">
      <c r="A1553" t="n">
        <v>1550</v>
      </c>
      <c r="B1553" s="8" t="n"/>
      <c r="C1553" s="4" t="n"/>
      <c r="D1553" s="4" t="n"/>
      <c r="E1553" s="4" t="n"/>
      <c r="F1553" s="4" t="n"/>
      <c r="G1553" s="5" t="n"/>
      <c r="H1553" s="5" t="n"/>
      <c r="I1553" s="5" t="n"/>
      <c r="J1553" s="5" t="n"/>
    </row>
    <row r="1554">
      <c r="A1554" t="n">
        <v>1551</v>
      </c>
      <c r="B1554" s="8" t="n"/>
      <c r="C1554" s="4" t="n"/>
      <c r="D1554" s="4" t="n"/>
      <c r="E1554" s="4" t="n"/>
      <c r="F1554" s="4" t="n"/>
      <c r="G1554" s="5" t="n"/>
      <c r="H1554" s="5" t="n"/>
      <c r="I1554" s="5" t="n"/>
      <c r="J1554" s="5" t="n"/>
    </row>
    <row r="1555">
      <c r="A1555" t="n">
        <v>1552</v>
      </c>
      <c r="B1555" s="8" t="n"/>
      <c r="C1555" s="4" t="n"/>
      <c r="D1555" s="4" t="n"/>
      <c r="E1555" s="4" t="n"/>
      <c r="F1555" s="4" t="n"/>
      <c r="G1555" s="5" t="n"/>
      <c r="H1555" s="5" t="n"/>
      <c r="I1555" s="5" t="n"/>
      <c r="J1555" s="5" t="n"/>
    </row>
    <row r="1556">
      <c r="A1556" t="n">
        <v>1553</v>
      </c>
      <c r="B1556" s="8" t="n"/>
      <c r="C1556" s="4" t="n"/>
      <c r="D1556" s="4" t="n"/>
      <c r="E1556" s="4" t="n"/>
      <c r="F1556" s="4" t="n"/>
      <c r="G1556" s="5" t="n"/>
      <c r="H1556" s="5" t="n"/>
      <c r="I1556" s="5" t="n"/>
      <c r="J1556" s="5" t="n"/>
    </row>
    <row r="1557">
      <c r="A1557" t="n">
        <v>1554</v>
      </c>
      <c r="B1557" s="8" t="n"/>
      <c r="C1557" s="4" t="n"/>
      <c r="D1557" s="4" t="n"/>
      <c r="E1557" s="4" t="n"/>
      <c r="F1557" s="4" t="n"/>
      <c r="G1557" s="5" t="n"/>
      <c r="H1557" s="5" t="n"/>
      <c r="I1557" s="5" t="n"/>
      <c r="J1557" s="5" t="n"/>
    </row>
    <row r="1558">
      <c r="A1558" t="n">
        <v>1555</v>
      </c>
      <c r="B1558" s="8" t="n"/>
      <c r="C1558" s="4" t="n"/>
      <c r="D1558" s="4" t="n"/>
      <c r="E1558" s="4" t="n"/>
      <c r="F1558" s="4" t="n"/>
      <c r="G1558" s="5" t="n"/>
      <c r="H1558" s="5" t="n"/>
      <c r="I1558" s="5" t="n"/>
      <c r="J1558" s="5" t="n"/>
    </row>
    <row r="1559">
      <c r="A1559" t="n">
        <v>1556</v>
      </c>
      <c r="B1559" s="8" t="n"/>
      <c r="C1559" s="4" t="n"/>
      <c r="D1559" s="4" t="n"/>
      <c r="E1559" s="4" t="n"/>
      <c r="F1559" s="4" t="n"/>
      <c r="G1559" s="5" t="n"/>
      <c r="H1559" s="5" t="n"/>
      <c r="I1559" s="5" t="n"/>
      <c r="J1559" s="5" t="n"/>
    </row>
    <row r="1560">
      <c r="A1560" t="n">
        <v>1557</v>
      </c>
      <c r="B1560" s="8" t="n"/>
      <c r="C1560" s="4" t="n"/>
      <c r="D1560" s="4" t="n"/>
      <c r="E1560" s="4" t="n"/>
      <c r="F1560" s="4" t="n"/>
      <c r="G1560" s="5" t="n"/>
      <c r="H1560" s="5" t="n"/>
      <c r="I1560" s="5" t="n"/>
      <c r="J1560" s="5" t="n"/>
    </row>
    <row r="1561">
      <c r="A1561" t="n">
        <v>1558</v>
      </c>
      <c r="B1561" s="8" t="n"/>
      <c r="C1561" s="4" t="n"/>
      <c r="D1561" s="4" t="n"/>
      <c r="E1561" s="4" t="n"/>
      <c r="F1561" s="4" t="n"/>
      <c r="G1561" s="5" t="n"/>
      <c r="H1561" s="5" t="n"/>
      <c r="I1561" s="5" t="n"/>
      <c r="J1561" s="5" t="n"/>
    </row>
    <row r="1562">
      <c r="A1562" t="n">
        <v>1559</v>
      </c>
      <c r="B1562" s="8" t="n"/>
      <c r="C1562" s="4" t="n"/>
      <c r="D1562" s="4" t="n"/>
      <c r="E1562" s="4" t="n"/>
      <c r="F1562" s="4" t="n"/>
      <c r="G1562" s="5" t="n"/>
      <c r="H1562" s="5" t="n"/>
      <c r="I1562" s="5" t="n"/>
      <c r="J1562" s="5" t="n"/>
    </row>
    <row r="1563">
      <c r="A1563" t="n">
        <v>1560</v>
      </c>
      <c r="B1563" s="8" t="n"/>
      <c r="C1563" s="4" t="n"/>
      <c r="D1563" s="4" t="n"/>
      <c r="E1563" s="4" t="n"/>
      <c r="F1563" s="4" t="n"/>
      <c r="G1563" s="5" t="n"/>
      <c r="H1563" s="5" t="n"/>
      <c r="I1563" s="5" t="n"/>
      <c r="J1563" s="5" t="n"/>
    </row>
    <row r="1564">
      <c r="A1564" t="n">
        <v>1561</v>
      </c>
      <c r="B1564" s="8" t="n"/>
      <c r="C1564" s="4" t="n"/>
      <c r="D1564" s="4" t="n"/>
      <c r="E1564" s="4" t="n"/>
      <c r="F1564" s="4" t="n"/>
      <c r="G1564" s="5" t="n"/>
      <c r="H1564" s="5" t="n"/>
      <c r="I1564" s="5" t="n"/>
      <c r="J1564" s="5" t="n"/>
    </row>
    <row r="1565">
      <c r="A1565" t="n">
        <v>1562</v>
      </c>
      <c r="B1565" s="8" t="n"/>
      <c r="C1565" s="4" t="n"/>
      <c r="D1565" s="4" t="n"/>
      <c r="E1565" s="4" t="n"/>
      <c r="F1565" s="4" t="n"/>
      <c r="G1565" s="5" t="n"/>
      <c r="H1565" s="5" t="n"/>
      <c r="I1565" s="5" t="n"/>
      <c r="J1565" s="5" t="n"/>
    </row>
    <row r="1566">
      <c r="A1566" t="n">
        <v>1563</v>
      </c>
      <c r="B1566" s="8" t="n"/>
      <c r="C1566" s="4" t="n"/>
      <c r="D1566" s="4" t="n"/>
      <c r="E1566" s="4" t="n"/>
      <c r="F1566" s="4" t="n"/>
      <c r="G1566" s="5" t="n"/>
      <c r="H1566" s="5" t="n"/>
      <c r="I1566" s="5" t="n"/>
      <c r="J1566" s="5" t="n"/>
    </row>
    <row r="1567">
      <c r="A1567" t="n">
        <v>1564</v>
      </c>
      <c r="B1567" s="8" t="n"/>
      <c r="C1567" s="4" t="n"/>
      <c r="D1567" s="4" t="n"/>
      <c r="E1567" s="4" t="n"/>
      <c r="F1567" s="4" t="n"/>
      <c r="G1567" s="5" t="n"/>
      <c r="H1567" s="5" t="n"/>
      <c r="I1567" s="5" t="n"/>
      <c r="J1567" s="5" t="n"/>
    </row>
    <row r="1568">
      <c r="A1568" t="n">
        <v>1565</v>
      </c>
      <c r="B1568" s="8" t="n"/>
      <c r="C1568" s="4" t="n"/>
      <c r="D1568" s="4" t="n"/>
      <c r="E1568" s="4" t="n"/>
      <c r="F1568" s="4" t="n"/>
      <c r="G1568" s="5" t="n"/>
      <c r="H1568" s="5" t="n"/>
      <c r="I1568" s="5" t="n"/>
      <c r="J1568" s="5" t="n"/>
    </row>
    <row r="1569">
      <c r="A1569" t="n">
        <v>1566</v>
      </c>
      <c r="B1569" s="8" t="n"/>
      <c r="C1569" s="4" t="n"/>
      <c r="D1569" s="4" t="n"/>
      <c r="E1569" s="4" t="n"/>
      <c r="F1569" s="4" t="n"/>
      <c r="G1569" s="5" t="n"/>
      <c r="H1569" s="5" t="n"/>
      <c r="I1569" s="5" t="n"/>
      <c r="J1569" s="5" t="n"/>
    </row>
    <row r="1570">
      <c r="A1570" t="n">
        <v>1567</v>
      </c>
      <c r="B1570" s="8" t="n"/>
      <c r="C1570" s="4" t="n"/>
      <c r="D1570" s="4" t="n"/>
      <c r="E1570" s="4" t="n"/>
      <c r="F1570" s="4" t="n"/>
      <c r="G1570" s="5" t="n"/>
      <c r="H1570" s="5" t="n"/>
      <c r="I1570" s="5" t="n"/>
      <c r="J1570" s="5" t="n"/>
    </row>
    <row r="1571">
      <c r="A1571" t="n">
        <v>1568</v>
      </c>
      <c r="B1571" s="8" t="n"/>
      <c r="C1571" s="4" t="n"/>
      <c r="D1571" s="4" t="n"/>
      <c r="E1571" s="4" t="n"/>
      <c r="F1571" s="4" t="n"/>
      <c r="G1571" s="5" t="n"/>
      <c r="H1571" s="5" t="n"/>
      <c r="I1571" s="5" t="n"/>
      <c r="J1571" s="5" t="n"/>
    </row>
    <row r="1572">
      <c r="A1572" t="n">
        <v>1569</v>
      </c>
      <c r="B1572" s="8" t="n"/>
      <c r="C1572" s="4" t="n"/>
      <c r="D1572" s="4" t="n"/>
      <c r="E1572" s="4" t="n"/>
      <c r="F1572" s="4" t="n"/>
      <c r="G1572" s="5" t="n"/>
      <c r="H1572" s="5" t="n"/>
      <c r="I1572" s="5" t="n"/>
      <c r="J1572" s="5" t="n"/>
    </row>
    <row r="1573">
      <c r="A1573" t="n">
        <v>1570</v>
      </c>
      <c r="B1573" s="8" t="n"/>
      <c r="C1573" s="4" t="n"/>
      <c r="D1573" s="4" t="n"/>
      <c r="E1573" s="4" t="n"/>
      <c r="F1573" s="4" t="n"/>
      <c r="G1573" s="5" t="n"/>
      <c r="H1573" s="5" t="n"/>
      <c r="I1573" s="5" t="n"/>
      <c r="J1573" s="5" t="n"/>
    </row>
    <row r="1574">
      <c r="A1574" t="n">
        <v>1571</v>
      </c>
      <c r="B1574" s="8" t="n"/>
      <c r="C1574" s="4" t="n"/>
      <c r="D1574" s="4" t="n"/>
      <c r="E1574" s="4" t="n"/>
      <c r="F1574" s="4" t="n"/>
      <c r="G1574" s="5" t="n"/>
      <c r="H1574" s="5" t="n"/>
      <c r="I1574" s="5" t="n"/>
      <c r="J1574" s="5" t="n"/>
    </row>
    <row r="1575">
      <c r="A1575" t="n">
        <v>1572</v>
      </c>
      <c r="B1575" s="8" t="n"/>
      <c r="C1575" s="4" t="n"/>
      <c r="D1575" s="4" t="n"/>
      <c r="E1575" s="4" t="n"/>
      <c r="F1575" s="4" t="n"/>
      <c r="G1575" s="5" t="n"/>
      <c r="H1575" s="5" t="n"/>
      <c r="I1575" s="5" t="n"/>
      <c r="J1575" s="5" t="n"/>
    </row>
    <row r="1576">
      <c r="A1576" t="n">
        <v>1573</v>
      </c>
      <c r="B1576" s="8" t="n"/>
      <c r="C1576" s="4" t="n"/>
      <c r="D1576" s="4" t="n"/>
      <c r="E1576" s="4" t="n"/>
      <c r="F1576" s="4" t="n"/>
      <c r="G1576" s="5" t="n"/>
      <c r="H1576" s="5" t="n"/>
      <c r="I1576" s="5" t="n"/>
      <c r="J1576" s="5" t="n"/>
    </row>
    <row r="1577">
      <c r="A1577" t="n">
        <v>1574</v>
      </c>
      <c r="B1577" s="8" t="n"/>
      <c r="C1577" s="4" t="n"/>
      <c r="D1577" s="4" t="n"/>
      <c r="E1577" s="4" t="n"/>
      <c r="F1577" s="4" t="n"/>
      <c r="G1577" s="5" t="n"/>
      <c r="H1577" s="5" t="n"/>
      <c r="I1577" s="5" t="n"/>
      <c r="J1577" s="5" t="n"/>
    </row>
    <row r="1578">
      <c r="A1578" t="n">
        <v>1575</v>
      </c>
      <c r="B1578" s="8" t="n"/>
      <c r="C1578" s="4" t="n"/>
      <c r="D1578" s="4" t="n"/>
      <c r="E1578" s="4" t="n"/>
      <c r="F1578" s="4" t="n"/>
      <c r="G1578" s="5" t="n"/>
      <c r="H1578" s="5" t="n"/>
      <c r="I1578" s="5" t="n"/>
      <c r="J1578" s="5" t="n"/>
    </row>
    <row r="1579">
      <c r="A1579" t="n">
        <v>1576</v>
      </c>
      <c r="B1579" s="8" t="n"/>
      <c r="C1579" s="4" t="n"/>
      <c r="D1579" s="4" t="n"/>
      <c r="E1579" s="4" t="n"/>
      <c r="F1579" s="4" t="n"/>
      <c r="G1579" s="5" t="n"/>
      <c r="H1579" s="5" t="n"/>
      <c r="I1579" s="5" t="n"/>
      <c r="J1579" s="5" t="n"/>
    </row>
    <row r="1580">
      <c r="A1580" t="n">
        <v>1577</v>
      </c>
      <c r="B1580" s="8" t="n"/>
      <c r="C1580" s="4" t="n"/>
      <c r="D1580" s="4" t="n"/>
      <c r="E1580" s="4" t="n"/>
      <c r="F1580" s="4" t="n"/>
      <c r="G1580" s="5" t="n"/>
      <c r="H1580" s="5" t="n"/>
      <c r="I1580" s="5" t="n"/>
      <c r="J1580" s="5" t="n"/>
    </row>
    <row r="1581">
      <c r="A1581" t="n">
        <v>1578</v>
      </c>
      <c r="B1581" s="8" t="n"/>
      <c r="C1581" s="4" t="n"/>
      <c r="D1581" s="4" t="n"/>
      <c r="E1581" s="4" t="n"/>
      <c r="F1581" s="4" t="n"/>
      <c r="G1581" s="5" t="n"/>
      <c r="H1581" s="5" t="n"/>
      <c r="I1581" s="5" t="n"/>
      <c r="J1581" s="5" t="n"/>
    </row>
    <row r="1582">
      <c r="A1582" t="n">
        <v>1579</v>
      </c>
      <c r="B1582" s="8" t="n"/>
      <c r="C1582" s="4" t="n"/>
      <c r="D1582" s="4" t="n"/>
      <c r="E1582" s="4" t="n"/>
      <c r="F1582" s="4" t="n"/>
      <c r="G1582" s="5" t="n"/>
      <c r="H1582" s="5" t="n"/>
      <c r="I1582" s="5" t="n"/>
      <c r="J1582" s="5" t="n"/>
    </row>
    <row r="1583">
      <c r="A1583" t="n">
        <v>1580</v>
      </c>
      <c r="B1583" s="8" t="n"/>
      <c r="C1583" s="4" t="n"/>
      <c r="D1583" s="4" t="n"/>
      <c r="E1583" s="4" t="n"/>
      <c r="F1583" s="4" t="n"/>
      <c r="G1583" s="5" t="n"/>
      <c r="H1583" s="5" t="n"/>
      <c r="I1583" s="5" t="n"/>
      <c r="J1583" s="5" t="n"/>
    </row>
    <row r="1584">
      <c r="A1584" t="n">
        <v>1581</v>
      </c>
      <c r="B1584" s="8" t="n"/>
      <c r="C1584" s="4" t="n"/>
      <c r="D1584" s="4" t="n"/>
      <c r="E1584" s="4" t="n"/>
      <c r="F1584" s="4" t="n"/>
      <c r="G1584" s="5" t="n"/>
      <c r="H1584" s="5" t="n"/>
      <c r="I1584" s="5" t="n"/>
      <c r="J1584" s="5" t="n"/>
    </row>
    <row r="1585">
      <c r="A1585" t="n">
        <v>1582</v>
      </c>
      <c r="B1585" s="8" t="n"/>
      <c r="C1585" s="4" t="n"/>
      <c r="D1585" s="4" t="n"/>
      <c r="E1585" s="4" t="n"/>
      <c r="F1585" s="4" t="n"/>
      <c r="G1585" s="5" t="n"/>
      <c r="H1585" s="5" t="n"/>
      <c r="I1585" s="5" t="n"/>
      <c r="J1585" s="5" t="n"/>
    </row>
    <row r="1586">
      <c r="A1586" t="n">
        <v>1583</v>
      </c>
      <c r="B1586" s="8" t="n"/>
      <c r="C1586" s="4" t="n"/>
      <c r="D1586" s="4" t="n"/>
      <c r="E1586" s="4" t="n"/>
      <c r="F1586" s="4" t="n"/>
      <c r="G1586" s="5" t="n"/>
      <c r="H1586" s="5" t="n"/>
      <c r="I1586" s="5" t="n"/>
      <c r="J1586" s="5" t="n"/>
    </row>
    <row r="1587">
      <c r="A1587" t="n">
        <v>1584</v>
      </c>
      <c r="B1587" s="8" t="n"/>
      <c r="C1587" s="4" t="n"/>
      <c r="D1587" s="4" t="n"/>
      <c r="E1587" s="4" t="n"/>
      <c r="F1587" s="4" t="n"/>
      <c r="G1587" s="5" t="n"/>
      <c r="H1587" s="5" t="n"/>
      <c r="I1587" s="5" t="n"/>
      <c r="J1587" s="5" t="n"/>
    </row>
    <row r="1588">
      <c r="A1588" t="n">
        <v>1585</v>
      </c>
      <c r="B1588" s="8" t="n"/>
      <c r="C1588" s="4" t="n"/>
      <c r="D1588" s="4" t="n"/>
      <c r="E1588" s="4" t="n"/>
      <c r="F1588" s="4" t="n"/>
      <c r="G1588" s="5" t="n"/>
      <c r="H1588" s="5" t="n"/>
      <c r="I1588" s="5" t="n"/>
      <c r="J1588" s="5" t="n"/>
    </row>
    <row r="1589">
      <c r="A1589" t="n">
        <v>1586</v>
      </c>
      <c r="B1589" s="8" t="n"/>
      <c r="C1589" s="4" t="n"/>
      <c r="D1589" s="4" t="n"/>
      <c r="E1589" s="4" t="n"/>
      <c r="F1589" s="4" t="n"/>
      <c r="G1589" s="5" t="n"/>
      <c r="H1589" s="5" t="n"/>
      <c r="I1589" s="5" t="n"/>
      <c r="J1589" s="5" t="n"/>
    </row>
    <row r="1590">
      <c r="A1590" t="n">
        <v>1587</v>
      </c>
      <c r="B1590" s="8" t="n"/>
      <c r="C1590" s="4" t="n"/>
      <c r="D1590" s="4" t="n"/>
      <c r="E1590" s="4" t="n"/>
      <c r="F1590" s="4" t="n"/>
      <c r="G1590" s="5" t="n"/>
      <c r="H1590" s="5" t="n"/>
      <c r="I1590" s="5" t="n"/>
      <c r="J1590" s="5" t="n"/>
    </row>
    <row r="1591">
      <c r="A1591" t="n">
        <v>1588</v>
      </c>
      <c r="B1591" s="8" t="n"/>
      <c r="C1591" s="4" t="n"/>
      <c r="D1591" s="4" t="n"/>
      <c r="E1591" s="4" t="n"/>
      <c r="F1591" s="4" t="n"/>
      <c r="G1591" s="5" t="n"/>
      <c r="H1591" s="5" t="n"/>
      <c r="I1591" s="5" t="n"/>
      <c r="J1591" s="5" t="n"/>
    </row>
    <row r="1592">
      <c r="A1592" t="n">
        <v>1589</v>
      </c>
      <c r="B1592" s="8" t="n"/>
      <c r="C1592" s="4" t="n"/>
      <c r="D1592" s="4" t="n"/>
      <c r="E1592" s="4" t="n"/>
      <c r="F1592" s="4" t="n"/>
      <c r="G1592" s="5" t="n"/>
      <c r="H1592" s="5" t="n"/>
      <c r="I1592" s="5" t="n"/>
      <c r="J1592" s="5" t="n"/>
    </row>
    <row r="1593">
      <c r="A1593" t="n">
        <v>1590</v>
      </c>
      <c r="B1593" s="8" t="n"/>
      <c r="C1593" s="4" t="n"/>
      <c r="D1593" s="4" t="n"/>
      <c r="E1593" s="4" t="n"/>
      <c r="F1593" s="4" t="n"/>
      <c r="G1593" s="5" t="n"/>
      <c r="H1593" s="5" t="n"/>
      <c r="I1593" s="5" t="n"/>
      <c r="J1593" s="5" t="n"/>
    </row>
    <row r="1594">
      <c r="A1594" t="n">
        <v>1591</v>
      </c>
      <c r="B1594" s="8" t="n"/>
      <c r="C1594" s="4" t="n"/>
      <c r="D1594" s="4" t="n"/>
      <c r="E1594" s="4" t="n"/>
      <c r="F1594" s="4" t="n"/>
      <c r="G1594" s="5" t="n"/>
      <c r="H1594" s="5" t="n"/>
      <c r="I1594" s="5" t="n"/>
      <c r="J1594" s="5" t="n"/>
    </row>
    <row r="1595">
      <c r="A1595" t="n">
        <v>1592</v>
      </c>
      <c r="B1595" s="8" t="n"/>
      <c r="C1595" s="4" t="n"/>
      <c r="D1595" s="4" t="n"/>
      <c r="E1595" s="4" t="n"/>
      <c r="F1595" s="4" t="n"/>
      <c r="G1595" s="5" t="n"/>
      <c r="H1595" s="5" t="n"/>
      <c r="I1595" s="5" t="n"/>
      <c r="J1595" s="5" t="n"/>
    </row>
    <row r="1596">
      <c r="A1596" t="n">
        <v>1593</v>
      </c>
      <c r="B1596" s="8" t="n"/>
      <c r="C1596" s="4" t="n"/>
      <c r="D1596" s="4" t="n"/>
      <c r="E1596" s="4" t="n"/>
      <c r="F1596" s="4" t="n"/>
      <c r="G1596" s="5" t="n"/>
      <c r="H1596" s="5" t="n"/>
      <c r="I1596" s="5" t="n"/>
      <c r="J1596" s="5" t="n"/>
    </row>
    <row r="1597">
      <c r="A1597" t="n">
        <v>1594</v>
      </c>
      <c r="B1597" s="8" t="n"/>
      <c r="C1597" s="4" t="n"/>
      <c r="D1597" s="4" t="n"/>
      <c r="E1597" s="4" t="n"/>
      <c r="F1597" s="4" t="n"/>
      <c r="G1597" s="5" t="n"/>
      <c r="H1597" s="5" t="n"/>
      <c r="I1597" s="5" t="n"/>
      <c r="J1597" s="5" t="n"/>
    </row>
    <row r="1598">
      <c r="A1598" t="n">
        <v>1595</v>
      </c>
      <c r="B1598" s="8" t="n"/>
      <c r="C1598" s="4" t="n"/>
      <c r="D1598" s="4" t="n"/>
      <c r="E1598" s="4" t="n"/>
      <c r="F1598" s="4" t="n"/>
      <c r="G1598" s="5" t="n"/>
      <c r="H1598" s="5" t="n"/>
      <c r="I1598" s="5" t="n"/>
      <c r="J1598" s="5" t="n"/>
    </row>
    <row r="1599">
      <c r="A1599" t="n">
        <v>1596</v>
      </c>
      <c r="B1599" s="8" t="n"/>
      <c r="C1599" s="4" t="n"/>
      <c r="D1599" s="4" t="n"/>
      <c r="E1599" s="4" t="n"/>
      <c r="F1599" s="4" t="n"/>
      <c r="G1599" s="5" t="n"/>
      <c r="H1599" s="5" t="n"/>
      <c r="I1599" s="5" t="n"/>
      <c r="J1599" s="5" t="n"/>
    </row>
    <row r="1600">
      <c r="A1600" t="n">
        <v>1597</v>
      </c>
      <c r="B1600" s="8" t="n"/>
      <c r="C1600" s="4" t="n"/>
      <c r="D1600" s="4" t="n"/>
      <c r="E1600" s="4" t="n"/>
      <c r="F1600" s="4" t="n"/>
      <c r="G1600" s="5" t="n"/>
      <c r="H1600" s="5" t="n"/>
      <c r="I1600" s="5" t="n"/>
      <c r="J1600" s="5" t="n"/>
    </row>
    <row r="1601">
      <c r="A1601" t="n">
        <v>1598</v>
      </c>
      <c r="B1601" s="8" t="n"/>
      <c r="C1601" s="4" t="n"/>
      <c r="D1601" s="4" t="n"/>
      <c r="E1601" s="4" t="n"/>
      <c r="F1601" s="4" t="n"/>
      <c r="G1601" s="5" t="n"/>
      <c r="H1601" s="5" t="n"/>
      <c r="I1601" s="5" t="n"/>
      <c r="J1601" s="5" t="n"/>
    </row>
    <row r="1602">
      <c r="A1602" t="n">
        <v>1599</v>
      </c>
      <c r="B1602" s="8" t="n"/>
      <c r="C1602" s="4" t="n"/>
      <c r="D1602" s="4" t="n"/>
      <c r="E1602" s="4" t="n"/>
      <c r="F1602" s="4" t="n"/>
      <c r="G1602" s="5" t="n"/>
      <c r="H1602" s="5" t="n"/>
      <c r="I1602" s="5" t="n"/>
      <c r="J1602" s="5" t="n"/>
    </row>
    <row r="1603">
      <c r="A1603" t="n">
        <v>1600</v>
      </c>
      <c r="B1603" s="8" t="n"/>
      <c r="C1603" s="4" t="n"/>
      <c r="D1603" s="4" t="n"/>
      <c r="E1603" s="4" t="n"/>
      <c r="F1603" s="4" t="n"/>
      <c r="G1603" s="5" t="n"/>
      <c r="H1603" s="5" t="n"/>
      <c r="I1603" s="5" t="n"/>
      <c r="J1603" s="5" t="n"/>
    </row>
    <row r="1604">
      <c r="A1604" t="n">
        <v>1601</v>
      </c>
      <c r="B1604" s="8" t="n"/>
      <c r="C1604" s="4" t="n"/>
      <c r="D1604" s="4" t="n"/>
      <c r="E1604" s="4" t="n"/>
      <c r="F1604" s="4" t="n"/>
      <c r="G1604" s="5" t="n"/>
      <c r="H1604" s="5" t="n"/>
      <c r="I1604" s="5" t="n"/>
      <c r="J1604" s="5" t="n"/>
    </row>
    <row r="1605">
      <c r="A1605" t="n">
        <v>1602</v>
      </c>
      <c r="B1605" s="8" t="n"/>
      <c r="C1605" s="4" t="n"/>
      <c r="D1605" s="4" t="n"/>
      <c r="E1605" s="4" t="n"/>
      <c r="F1605" s="4" t="n"/>
      <c r="G1605" s="5" t="n"/>
      <c r="H1605" s="5" t="n"/>
      <c r="I1605" s="5" t="n"/>
      <c r="J1605" s="5" t="n"/>
    </row>
    <row r="1606">
      <c r="A1606" t="n">
        <v>1603</v>
      </c>
      <c r="B1606" s="8" t="n"/>
      <c r="C1606" s="4" t="n"/>
      <c r="D1606" s="4" t="n"/>
      <c r="E1606" s="4" t="n"/>
      <c r="F1606" s="4" t="n"/>
      <c r="G1606" s="5" t="n"/>
      <c r="H1606" s="5" t="n"/>
      <c r="I1606" s="5" t="n"/>
      <c r="J1606" s="5" t="n"/>
    </row>
    <row r="1607">
      <c r="A1607" t="n">
        <v>1604</v>
      </c>
      <c r="B1607" s="8" t="n"/>
      <c r="C1607" s="4" t="n"/>
      <c r="D1607" s="4" t="n"/>
      <c r="E1607" s="4" t="n"/>
      <c r="F1607" s="4" t="n"/>
      <c r="G1607" s="5" t="n"/>
      <c r="H1607" s="5" t="n"/>
      <c r="I1607" s="5" t="n"/>
      <c r="J1607" s="5" t="n"/>
    </row>
    <row r="1608">
      <c r="A1608" t="n">
        <v>1605</v>
      </c>
      <c r="B1608" s="8" t="n"/>
      <c r="C1608" s="4" t="n"/>
      <c r="D1608" s="4" t="n"/>
      <c r="E1608" s="4" t="n"/>
      <c r="F1608" s="4" t="n"/>
      <c r="G1608" s="5" t="n"/>
      <c r="H1608" s="5" t="n"/>
      <c r="I1608" s="5" t="n"/>
      <c r="J1608" s="5" t="n"/>
    </row>
    <row r="1609">
      <c r="A1609" t="n">
        <v>1606</v>
      </c>
      <c r="B1609" s="8" t="n"/>
      <c r="C1609" s="4" t="n"/>
      <c r="D1609" s="4" t="n"/>
      <c r="E1609" s="4" t="n"/>
      <c r="F1609" s="4" t="n"/>
      <c r="G1609" s="5" t="n"/>
      <c r="H1609" s="5" t="n"/>
      <c r="I1609" s="5" t="n"/>
      <c r="J1609" s="5" t="n"/>
    </row>
    <row r="1610">
      <c r="A1610" t="n">
        <v>1607</v>
      </c>
      <c r="B1610" s="8" t="n"/>
      <c r="C1610" s="4" t="n"/>
      <c r="D1610" s="4" t="n"/>
      <c r="E1610" s="4" t="n"/>
      <c r="F1610" s="4" t="n"/>
      <c r="G1610" s="5" t="n"/>
      <c r="H1610" s="5" t="n"/>
      <c r="I1610" s="5" t="n"/>
      <c r="J1610" s="5" t="n"/>
    </row>
    <row r="1611">
      <c r="A1611" t="n">
        <v>1608</v>
      </c>
      <c r="B1611" s="8" t="n"/>
      <c r="C1611" s="4" t="n"/>
      <c r="D1611" s="4" t="n"/>
      <c r="E1611" s="4" t="n"/>
      <c r="F1611" s="4" t="n"/>
      <c r="G1611" s="5" t="n"/>
      <c r="H1611" s="5" t="n"/>
      <c r="I1611" s="5" t="n"/>
      <c r="J1611" s="5" t="n"/>
    </row>
    <row r="1612">
      <c r="A1612" t="n">
        <v>1609</v>
      </c>
      <c r="B1612" s="8" t="n"/>
      <c r="C1612" s="4" t="n"/>
      <c r="D1612" s="4" t="n"/>
      <c r="E1612" s="4" t="n"/>
      <c r="F1612" s="4" t="n"/>
      <c r="G1612" s="5" t="n"/>
      <c r="H1612" s="5" t="n"/>
      <c r="I1612" s="5" t="n"/>
      <c r="J1612" s="5" t="n"/>
    </row>
    <row r="1613">
      <c r="A1613" t="n">
        <v>1610</v>
      </c>
      <c r="B1613" s="8" t="n"/>
      <c r="C1613" s="4" t="n"/>
      <c r="D1613" s="4" t="n"/>
      <c r="E1613" s="4" t="n"/>
      <c r="F1613" s="4" t="n"/>
      <c r="G1613" s="5" t="n"/>
      <c r="H1613" s="5" t="n"/>
      <c r="I1613" s="5" t="n"/>
      <c r="J1613" s="5" t="n"/>
    </row>
    <row r="1614">
      <c r="A1614" t="n">
        <v>1611</v>
      </c>
      <c r="B1614" s="8" t="n"/>
      <c r="C1614" s="4" t="n"/>
      <c r="D1614" s="4" t="n"/>
      <c r="E1614" s="4" t="n"/>
      <c r="F1614" s="4" t="n"/>
      <c r="G1614" s="5" t="n"/>
      <c r="H1614" s="5" t="n"/>
      <c r="I1614" s="5" t="n"/>
      <c r="J1614" s="5" t="n"/>
    </row>
    <row r="1615">
      <c r="A1615" t="n">
        <v>1612</v>
      </c>
      <c r="B1615" s="8" t="n"/>
      <c r="C1615" s="4" t="n"/>
      <c r="D1615" s="4" t="n"/>
      <c r="E1615" s="4" t="n"/>
      <c r="F1615" s="4" t="n"/>
      <c r="G1615" s="5" t="n"/>
      <c r="H1615" s="5" t="n"/>
      <c r="I1615" s="5" t="n"/>
      <c r="J1615" s="5" t="n"/>
    </row>
    <row r="1616">
      <c r="A1616" t="n">
        <v>1613</v>
      </c>
      <c r="B1616" s="8" t="n"/>
      <c r="C1616" s="4" t="n"/>
      <c r="D1616" s="4" t="n"/>
      <c r="E1616" s="4" t="n"/>
      <c r="F1616" s="4" t="n"/>
      <c r="G1616" s="5" t="n"/>
      <c r="H1616" s="5" t="n"/>
      <c r="I1616" s="5" t="n"/>
      <c r="J1616" s="5" t="n"/>
    </row>
    <row r="1617">
      <c r="A1617" t="n">
        <v>1614</v>
      </c>
      <c r="B1617" s="8" t="n"/>
      <c r="C1617" s="4" t="n"/>
      <c r="D1617" s="4" t="n"/>
      <c r="E1617" s="4" t="n"/>
      <c r="F1617" s="4" t="n"/>
      <c r="G1617" s="5" t="n"/>
      <c r="H1617" s="5" t="n"/>
      <c r="I1617" s="5" t="n"/>
      <c r="J1617" s="5" t="n"/>
    </row>
    <row r="1618">
      <c r="A1618" t="n">
        <v>1615</v>
      </c>
      <c r="B1618" s="8" t="n"/>
      <c r="C1618" s="4" t="n"/>
      <c r="D1618" s="4" t="n"/>
      <c r="E1618" s="4" t="n"/>
      <c r="F1618" s="4" t="n"/>
      <c r="G1618" s="5" t="n"/>
      <c r="H1618" s="5" t="n"/>
      <c r="I1618" s="5" t="n"/>
      <c r="J1618" s="5" t="n"/>
    </row>
    <row r="1619">
      <c r="A1619" t="n">
        <v>1616</v>
      </c>
      <c r="B1619" s="8" t="n"/>
      <c r="C1619" s="4" t="n"/>
      <c r="D1619" s="4" t="n"/>
      <c r="E1619" s="4" t="n"/>
      <c r="F1619" s="4" t="n"/>
      <c r="G1619" s="5" t="n"/>
      <c r="H1619" s="5" t="n"/>
      <c r="I1619" s="5" t="n"/>
      <c r="J1619" s="5" t="n"/>
    </row>
    <row r="1620">
      <c r="A1620" t="n">
        <v>1617</v>
      </c>
      <c r="B1620" s="8" t="n"/>
      <c r="C1620" s="4" t="n"/>
      <c r="D1620" s="4" t="n"/>
      <c r="E1620" s="4" t="n"/>
      <c r="F1620" s="4" t="n"/>
      <c r="G1620" s="5" t="n"/>
      <c r="H1620" s="5" t="n"/>
      <c r="I1620" s="5" t="n"/>
      <c r="J1620" s="5" t="n"/>
    </row>
    <row r="1621">
      <c r="A1621" t="n">
        <v>1618</v>
      </c>
      <c r="B1621" s="8" t="n"/>
      <c r="C1621" s="4" t="n"/>
      <c r="D1621" s="4" t="n"/>
      <c r="E1621" s="4" t="n"/>
      <c r="F1621" s="4" t="n"/>
      <c r="G1621" s="5" t="n"/>
      <c r="H1621" s="5" t="n"/>
      <c r="I1621" s="5" t="n"/>
      <c r="J1621" s="5" t="n"/>
    </row>
    <row r="1622">
      <c r="A1622" t="n">
        <v>1619</v>
      </c>
      <c r="B1622" s="8" t="n"/>
      <c r="C1622" s="4" t="n"/>
      <c r="D1622" s="4" t="n"/>
      <c r="E1622" s="4" t="n"/>
      <c r="F1622" s="4" t="n"/>
      <c r="G1622" s="5" t="n"/>
      <c r="H1622" s="5" t="n"/>
      <c r="I1622" s="5" t="n"/>
      <c r="J1622" s="5" t="n"/>
    </row>
    <row r="1623">
      <c r="A1623" t="n">
        <v>1620</v>
      </c>
      <c r="B1623" s="8" t="n"/>
      <c r="C1623" s="4" t="n"/>
      <c r="D1623" s="4" t="n"/>
      <c r="E1623" s="4" t="n"/>
      <c r="F1623" s="4" t="n"/>
      <c r="G1623" s="5" t="n"/>
      <c r="H1623" s="5" t="n"/>
      <c r="I1623" s="5" t="n"/>
      <c r="J1623" s="5" t="n"/>
    </row>
    <row r="1624">
      <c r="A1624" t="n">
        <v>1621</v>
      </c>
      <c r="B1624" s="8" t="n"/>
      <c r="C1624" s="4" t="n"/>
      <c r="D1624" s="4" t="n"/>
      <c r="E1624" s="4" t="n"/>
      <c r="F1624" s="4" t="n"/>
      <c r="G1624" s="5" t="n"/>
      <c r="H1624" s="5" t="n"/>
      <c r="I1624" s="5" t="n"/>
      <c r="J1624" s="5" t="n"/>
    </row>
    <row r="1625">
      <c r="A1625" t="n">
        <v>1622</v>
      </c>
      <c r="B1625" s="8" t="n"/>
      <c r="C1625" s="4" t="n"/>
      <c r="D1625" s="4" t="n"/>
      <c r="E1625" s="4" t="n"/>
      <c r="F1625" s="4" t="n"/>
      <c r="G1625" s="5" t="n"/>
      <c r="H1625" s="5" t="n"/>
      <c r="I1625" s="5" t="n"/>
      <c r="J1625" s="5" t="n"/>
    </row>
    <row r="1626">
      <c r="A1626" t="n">
        <v>1623</v>
      </c>
      <c r="B1626" s="8" t="n"/>
      <c r="C1626" s="4" t="n"/>
      <c r="D1626" s="4" t="n"/>
      <c r="E1626" s="4" t="n"/>
      <c r="F1626" s="4" t="n"/>
      <c r="G1626" s="5" t="n"/>
      <c r="H1626" s="5" t="n"/>
      <c r="I1626" s="5" t="n"/>
      <c r="J1626" s="5" t="n"/>
    </row>
    <row r="1627">
      <c r="A1627" t="n">
        <v>1624</v>
      </c>
      <c r="B1627" s="8" t="n"/>
      <c r="C1627" s="4" t="n"/>
      <c r="D1627" s="4" t="n"/>
      <c r="E1627" s="4" t="n"/>
      <c r="F1627" s="4" t="n"/>
      <c r="G1627" s="5" t="n"/>
      <c r="H1627" s="5" t="n"/>
      <c r="I1627" s="5" t="n"/>
      <c r="J1627" s="5" t="n"/>
    </row>
    <row r="1628">
      <c r="A1628" t="n">
        <v>1625</v>
      </c>
      <c r="B1628" s="8" t="n"/>
      <c r="C1628" s="4" t="n"/>
      <c r="D1628" s="4" t="n"/>
      <c r="E1628" s="4" t="n"/>
      <c r="F1628" s="4" t="n"/>
      <c r="G1628" s="5" t="n"/>
      <c r="H1628" s="5" t="n"/>
      <c r="I1628" s="5" t="n"/>
      <c r="J1628" s="5" t="n"/>
    </row>
    <row r="1629">
      <c r="A1629" t="n">
        <v>1626</v>
      </c>
      <c r="B1629" s="8" t="n"/>
      <c r="C1629" s="4" t="n"/>
      <c r="D1629" s="4" t="n"/>
      <c r="E1629" s="4" t="n"/>
      <c r="F1629" s="4" t="n"/>
      <c r="G1629" s="5" t="n"/>
      <c r="H1629" s="5" t="n"/>
      <c r="I1629" s="5" t="n"/>
      <c r="J1629" s="5" t="n"/>
    </row>
    <row r="1630">
      <c r="A1630" t="n">
        <v>1627</v>
      </c>
      <c r="B1630" s="8" t="n"/>
      <c r="C1630" s="4" t="n"/>
      <c r="D1630" s="4" t="n"/>
      <c r="E1630" s="4" t="n"/>
      <c r="F1630" s="4" t="n"/>
      <c r="G1630" s="5" t="n"/>
      <c r="H1630" s="5" t="n"/>
      <c r="I1630" s="5" t="n"/>
      <c r="J1630" s="5" t="n"/>
    </row>
    <row r="1631">
      <c r="A1631" t="n">
        <v>1628</v>
      </c>
      <c r="B1631" s="8" t="n"/>
      <c r="C1631" s="4" t="n"/>
      <c r="D1631" s="4" t="n"/>
      <c r="E1631" s="4" t="n"/>
      <c r="F1631" s="4" t="n"/>
      <c r="G1631" s="5" t="n"/>
      <c r="H1631" s="5" t="n"/>
      <c r="I1631" s="5" t="n"/>
      <c r="J1631" s="5" t="n"/>
    </row>
    <row r="1632">
      <c r="A1632" t="n">
        <v>1629</v>
      </c>
      <c r="B1632" s="8" t="n"/>
      <c r="C1632" s="4" t="n"/>
      <c r="D1632" s="4" t="n"/>
      <c r="E1632" s="4" t="n"/>
      <c r="F1632" s="4" t="n"/>
      <c r="G1632" s="5" t="n"/>
      <c r="H1632" s="5" t="n"/>
      <c r="I1632" s="5" t="n"/>
      <c r="J1632" s="5" t="n"/>
    </row>
    <row r="1633">
      <c r="A1633" t="n">
        <v>1630</v>
      </c>
      <c r="B1633" s="8" t="n"/>
      <c r="C1633" s="4" t="n"/>
      <c r="D1633" s="4" t="n"/>
      <c r="E1633" s="4" t="n"/>
      <c r="F1633" s="4" t="n"/>
      <c r="G1633" s="5" t="n"/>
      <c r="H1633" s="5" t="n"/>
      <c r="I1633" s="5" t="n"/>
      <c r="J1633" s="5" t="n"/>
    </row>
    <row r="1634">
      <c r="A1634" t="n">
        <v>1631</v>
      </c>
      <c r="B1634" s="8" t="n"/>
      <c r="C1634" s="4" t="n"/>
      <c r="D1634" s="4" t="n"/>
      <c r="E1634" s="4" t="n"/>
      <c r="F1634" s="4" t="n"/>
      <c r="G1634" s="5" t="n"/>
      <c r="H1634" s="5" t="n"/>
      <c r="I1634" s="5" t="n"/>
      <c r="J1634" s="5" t="n"/>
    </row>
    <row r="1635">
      <c r="A1635" t="n">
        <v>1632</v>
      </c>
      <c r="B1635" s="8" t="n"/>
      <c r="C1635" s="4" t="n"/>
      <c r="D1635" s="4" t="n"/>
      <c r="E1635" s="4" t="n"/>
      <c r="F1635" s="4" t="n"/>
      <c r="G1635" s="5" t="n"/>
      <c r="H1635" s="5" t="n"/>
      <c r="I1635" s="5" t="n"/>
      <c r="J1635" s="5" t="n"/>
    </row>
    <row r="1636">
      <c r="A1636" t="n">
        <v>1633</v>
      </c>
      <c r="B1636" s="8" t="n"/>
      <c r="C1636" s="4" t="n"/>
      <c r="D1636" s="4" t="n"/>
      <c r="E1636" s="4" t="n"/>
      <c r="F1636" s="4" t="n"/>
      <c r="G1636" s="5" t="n"/>
      <c r="H1636" s="5" t="n"/>
      <c r="I1636" s="5" t="n"/>
      <c r="J1636" s="5" t="n"/>
    </row>
    <row r="1637">
      <c r="A1637" t="n">
        <v>1634</v>
      </c>
      <c r="B1637" s="8" t="n"/>
      <c r="C1637" s="4" t="n"/>
      <c r="D1637" s="4" t="n"/>
      <c r="E1637" s="4" t="n"/>
      <c r="F1637" s="4" t="n"/>
      <c r="G1637" s="5" t="n"/>
      <c r="H1637" s="5" t="n"/>
      <c r="I1637" s="5" t="n"/>
      <c r="J1637" s="5" t="n"/>
    </row>
    <row r="1638">
      <c r="A1638" t="n">
        <v>1635</v>
      </c>
      <c r="B1638" s="8" t="n"/>
      <c r="C1638" s="4" t="n"/>
      <c r="D1638" s="4" t="n"/>
      <c r="E1638" s="4" t="n"/>
      <c r="F1638" s="4" t="n"/>
      <c r="G1638" s="5" t="n"/>
      <c r="H1638" s="5" t="n"/>
      <c r="I1638" s="5" t="n"/>
      <c r="J1638" s="5" t="n"/>
    </row>
    <row r="1639">
      <c r="A1639" t="n">
        <v>1636</v>
      </c>
      <c r="B1639" s="8" t="n"/>
      <c r="C1639" s="4" t="n"/>
      <c r="D1639" s="4" t="n"/>
      <c r="E1639" s="4" t="n"/>
      <c r="F1639" s="4" t="n"/>
      <c r="G1639" s="5" t="n"/>
      <c r="H1639" s="5" t="n"/>
      <c r="I1639" s="5" t="n"/>
      <c r="J1639" s="5" t="n"/>
    </row>
    <row r="1640">
      <c r="A1640" t="n">
        <v>1637</v>
      </c>
      <c r="B1640" s="8" t="n"/>
      <c r="C1640" s="4" t="n"/>
      <c r="D1640" s="4" t="n"/>
      <c r="E1640" s="4" t="n"/>
      <c r="F1640" s="4" t="n"/>
      <c r="G1640" s="5" t="n"/>
      <c r="H1640" s="5" t="n"/>
      <c r="I1640" s="5" t="n"/>
      <c r="J1640" s="5" t="n"/>
    </row>
    <row r="1641">
      <c r="A1641" t="n">
        <v>1638</v>
      </c>
      <c r="B1641" s="8" t="n"/>
      <c r="C1641" s="4" t="n"/>
      <c r="D1641" s="4" t="n"/>
      <c r="E1641" s="4" t="n"/>
      <c r="F1641" s="4" t="n"/>
      <c r="G1641" s="5" t="n"/>
      <c r="H1641" s="5" t="n"/>
      <c r="I1641" s="5" t="n"/>
      <c r="J1641" s="5" t="n"/>
    </row>
    <row r="1642">
      <c r="A1642" t="n">
        <v>1639</v>
      </c>
      <c r="B1642" s="8" t="n"/>
      <c r="C1642" s="4" t="n"/>
      <c r="D1642" s="4" t="n"/>
      <c r="E1642" s="4" t="n"/>
      <c r="F1642" s="4" t="n"/>
      <c r="G1642" s="5" t="n"/>
      <c r="H1642" s="5" t="n"/>
      <c r="I1642" s="5" t="n"/>
      <c r="J1642" s="5" t="n"/>
    </row>
    <row r="1643">
      <c r="A1643" t="n">
        <v>1640</v>
      </c>
      <c r="B1643" s="8" t="n"/>
      <c r="C1643" s="4" t="n"/>
      <c r="D1643" s="4" t="n"/>
      <c r="E1643" s="4" t="n"/>
      <c r="F1643" s="4" t="n"/>
      <c r="G1643" s="5" t="n"/>
      <c r="H1643" s="5" t="n"/>
      <c r="I1643" s="5" t="n"/>
      <c r="J1643" s="5" t="n"/>
    </row>
    <row r="1644">
      <c r="A1644" t="n">
        <v>1641</v>
      </c>
      <c r="B1644" s="8" t="n"/>
      <c r="C1644" s="4" t="n"/>
      <c r="D1644" s="4" t="n"/>
      <c r="E1644" s="4" t="n"/>
      <c r="F1644" s="4" t="n"/>
      <c r="G1644" s="5" t="n"/>
      <c r="H1644" s="5" t="n"/>
      <c r="I1644" s="5" t="n"/>
      <c r="J1644" s="5" t="n"/>
    </row>
    <row r="1645">
      <c r="A1645" t="n">
        <v>1642</v>
      </c>
      <c r="B1645" s="8" t="n"/>
      <c r="C1645" s="4" t="n"/>
      <c r="D1645" s="4" t="n"/>
      <c r="E1645" s="4" t="n"/>
      <c r="F1645" s="4" t="n"/>
      <c r="G1645" s="5" t="n"/>
      <c r="H1645" s="5" t="n"/>
      <c r="I1645" s="5" t="n"/>
      <c r="J1645" s="5" t="n"/>
    </row>
    <row r="1646">
      <c r="A1646" t="n">
        <v>1643</v>
      </c>
      <c r="B1646" s="8" t="n"/>
      <c r="C1646" s="4" t="n"/>
      <c r="D1646" s="4" t="n"/>
      <c r="E1646" s="4" t="n"/>
      <c r="F1646" s="4" t="n"/>
      <c r="G1646" s="5" t="n"/>
      <c r="H1646" s="5" t="n"/>
      <c r="I1646" s="5" t="n"/>
      <c r="J1646" s="5" t="n"/>
    </row>
    <row r="1647">
      <c r="A1647" t="n">
        <v>1644</v>
      </c>
      <c r="B1647" s="8" t="n"/>
      <c r="C1647" s="4" t="n"/>
      <c r="D1647" s="4" t="n"/>
      <c r="E1647" s="4" t="n"/>
      <c r="F1647" s="4" t="n"/>
      <c r="G1647" s="5" t="n"/>
      <c r="H1647" s="5" t="n"/>
      <c r="I1647" s="5" t="n"/>
      <c r="J1647" s="5" t="n"/>
    </row>
    <row r="1648">
      <c r="A1648" t="n">
        <v>1645</v>
      </c>
      <c r="B1648" s="8" t="n"/>
      <c r="C1648" s="4" t="n"/>
      <c r="D1648" s="4" t="n"/>
      <c r="E1648" s="4" t="n"/>
      <c r="F1648" s="4" t="n"/>
      <c r="G1648" s="5" t="n"/>
      <c r="H1648" s="5" t="n"/>
      <c r="I1648" s="5" t="n"/>
      <c r="J1648" s="5" t="n"/>
    </row>
    <row r="1649">
      <c r="A1649" t="n">
        <v>1646</v>
      </c>
      <c r="B1649" s="8" t="n"/>
      <c r="C1649" s="4" t="n"/>
      <c r="D1649" s="4" t="n"/>
      <c r="E1649" s="4" t="n"/>
      <c r="F1649" s="4" t="n"/>
      <c r="G1649" s="5" t="n"/>
      <c r="H1649" s="5" t="n"/>
      <c r="I1649" s="5" t="n"/>
      <c r="J1649" s="5" t="n"/>
    </row>
    <row r="1650">
      <c r="A1650" t="n">
        <v>1647</v>
      </c>
      <c r="B1650" s="8" t="n"/>
      <c r="C1650" s="4" t="n"/>
      <c r="D1650" s="4" t="n"/>
      <c r="E1650" s="4" t="n"/>
      <c r="F1650" s="4" t="n"/>
      <c r="G1650" s="5" t="n"/>
      <c r="H1650" s="5" t="n"/>
      <c r="I1650" s="5" t="n"/>
      <c r="J1650" s="5" t="n"/>
    </row>
    <row r="1651">
      <c r="A1651" t="n">
        <v>1648</v>
      </c>
      <c r="B1651" s="8" t="n"/>
      <c r="C1651" s="4" t="n"/>
      <c r="D1651" s="4" t="n"/>
      <c r="E1651" s="4" t="n"/>
      <c r="F1651" s="4" t="n"/>
      <c r="G1651" s="5" t="n"/>
      <c r="H1651" s="5" t="n"/>
      <c r="I1651" s="5" t="n"/>
      <c r="J1651" s="5" t="n"/>
    </row>
    <row r="1652">
      <c r="A1652" t="n">
        <v>1649</v>
      </c>
      <c r="B1652" s="8" t="n"/>
      <c r="C1652" s="4" t="n"/>
      <c r="D1652" s="4" t="n"/>
      <c r="E1652" s="4" t="n"/>
      <c r="F1652" s="4" t="n"/>
      <c r="G1652" s="5" t="n"/>
      <c r="H1652" s="5" t="n"/>
      <c r="I1652" s="5" t="n"/>
      <c r="J1652" s="5" t="n"/>
    </row>
    <row r="1653">
      <c r="A1653" t="n">
        <v>1650</v>
      </c>
      <c r="B1653" s="8" t="n"/>
      <c r="C1653" s="4" t="n"/>
      <c r="D1653" s="4" t="n"/>
      <c r="E1653" s="4" t="n"/>
      <c r="F1653" s="4" t="n"/>
      <c r="G1653" s="5" t="n"/>
      <c r="H1653" s="5" t="n"/>
      <c r="I1653" s="5" t="n"/>
      <c r="J1653" s="5" t="n"/>
    </row>
    <row r="1654">
      <c r="A1654" t="n">
        <v>1651</v>
      </c>
      <c r="B1654" s="8" t="n"/>
      <c r="C1654" s="4" t="n"/>
      <c r="D1654" s="4" t="n"/>
      <c r="E1654" s="4" t="n"/>
      <c r="F1654" s="4" t="n"/>
      <c r="G1654" s="5" t="n"/>
      <c r="H1654" s="5" t="n"/>
      <c r="I1654" s="5" t="n"/>
      <c r="J1654" s="5" t="n"/>
    </row>
    <row r="1655">
      <c r="A1655" t="n">
        <v>1652</v>
      </c>
      <c r="B1655" s="8" t="n"/>
      <c r="C1655" s="4" t="n"/>
      <c r="D1655" s="4" t="n"/>
      <c r="E1655" s="4" t="n"/>
      <c r="F1655" s="4" t="n"/>
      <c r="G1655" s="5" t="n"/>
      <c r="H1655" s="5" t="n"/>
      <c r="I1655" s="5" t="n"/>
      <c r="J1655" s="5" t="n"/>
    </row>
    <row r="1656">
      <c r="A1656" t="n">
        <v>1653</v>
      </c>
      <c r="B1656" s="8" t="n"/>
      <c r="C1656" s="4" t="n"/>
      <c r="D1656" s="4" t="n"/>
      <c r="E1656" s="4" t="n"/>
      <c r="F1656" s="4" t="n"/>
      <c r="G1656" s="5" t="n"/>
      <c r="H1656" s="5" t="n"/>
      <c r="I1656" s="5" t="n"/>
      <c r="J1656" s="5" t="n"/>
    </row>
    <row r="1657">
      <c r="A1657" t="n">
        <v>1654</v>
      </c>
      <c r="B1657" s="8" t="n"/>
      <c r="C1657" s="4" t="n"/>
      <c r="D1657" s="4" t="n"/>
      <c r="E1657" s="4" t="n"/>
      <c r="F1657" s="4" t="n"/>
      <c r="G1657" s="5" t="n"/>
      <c r="H1657" s="5" t="n"/>
      <c r="I1657" s="5" t="n"/>
      <c r="J1657" s="5" t="n"/>
    </row>
    <row r="1658">
      <c r="A1658" t="n">
        <v>1655</v>
      </c>
      <c r="B1658" s="8" t="n"/>
      <c r="C1658" s="4" t="n"/>
      <c r="D1658" s="4" t="n"/>
      <c r="E1658" s="4" t="n"/>
      <c r="F1658" s="4" t="n"/>
      <c r="G1658" s="5" t="n"/>
      <c r="H1658" s="5" t="n"/>
      <c r="I1658" s="5" t="n"/>
      <c r="J1658" s="5" t="n"/>
    </row>
    <row r="1659">
      <c r="A1659" t="n">
        <v>1656</v>
      </c>
      <c r="B1659" s="8" t="n"/>
      <c r="C1659" s="4" t="n"/>
      <c r="D1659" s="4" t="n"/>
      <c r="E1659" s="4" t="n"/>
      <c r="F1659" s="4" t="n"/>
      <c r="G1659" s="5" t="n"/>
      <c r="H1659" s="5" t="n"/>
      <c r="I1659" s="5" t="n"/>
      <c r="J1659" s="5" t="n"/>
    </row>
    <row r="1660">
      <c r="A1660" t="n">
        <v>1657</v>
      </c>
      <c r="B1660" s="8" t="n"/>
      <c r="C1660" s="4" t="n"/>
      <c r="D1660" s="4" t="n"/>
      <c r="E1660" s="4" t="n"/>
      <c r="F1660" s="4" t="n"/>
      <c r="G1660" s="5" t="n"/>
      <c r="H1660" s="5" t="n"/>
      <c r="I1660" s="5" t="n"/>
      <c r="J1660" s="5" t="n"/>
    </row>
    <row r="1661">
      <c r="A1661" t="n">
        <v>1658</v>
      </c>
      <c r="B1661" s="8" t="n"/>
      <c r="C1661" s="4" t="n"/>
      <c r="D1661" s="4" t="n"/>
      <c r="E1661" s="4" t="n"/>
      <c r="F1661" s="4" t="n"/>
      <c r="G1661" s="5" t="n"/>
      <c r="H1661" s="5" t="n"/>
      <c r="I1661" s="5" t="n"/>
      <c r="J1661" s="5" t="n"/>
    </row>
    <row r="1662">
      <c r="A1662" t="n">
        <v>1659</v>
      </c>
      <c r="B1662" s="8" t="n"/>
      <c r="C1662" s="4" t="n"/>
      <c r="D1662" s="4" t="n"/>
      <c r="E1662" s="4" t="n"/>
      <c r="F1662" s="4" t="n"/>
      <c r="G1662" s="5" t="n"/>
      <c r="H1662" s="5" t="n"/>
      <c r="I1662" s="5" t="n"/>
      <c r="J1662" s="5" t="n"/>
    </row>
    <row r="1663">
      <c r="A1663" t="n">
        <v>1660</v>
      </c>
      <c r="B1663" s="8" t="n"/>
      <c r="C1663" s="4" t="n"/>
      <c r="D1663" s="4" t="n"/>
      <c r="E1663" s="4" t="n"/>
      <c r="F1663" s="4" t="n"/>
      <c r="G1663" s="5" t="n"/>
      <c r="H1663" s="5" t="n"/>
      <c r="I1663" s="5" t="n"/>
      <c r="J1663" s="5" t="n"/>
    </row>
    <row r="1664">
      <c r="A1664" t="n">
        <v>1661</v>
      </c>
      <c r="B1664" s="8" t="n"/>
      <c r="C1664" s="4" t="n"/>
      <c r="D1664" s="4" t="n"/>
      <c r="E1664" s="4" t="n"/>
      <c r="F1664" s="4" t="n"/>
      <c r="G1664" s="5" t="n"/>
      <c r="H1664" s="5" t="n"/>
      <c r="I1664" s="5" t="n"/>
      <c r="J1664" s="5" t="n"/>
    </row>
    <row r="1665">
      <c r="A1665" t="n">
        <v>1662</v>
      </c>
      <c r="B1665" s="8" t="n"/>
      <c r="C1665" s="4" t="n"/>
      <c r="D1665" s="4" t="n"/>
      <c r="E1665" s="4" t="n"/>
      <c r="F1665" s="4" t="n"/>
      <c r="G1665" s="5" t="n"/>
      <c r="H1665" s="5" t="n"/>
      <c r="I1665" s="5" t="n"/>
      <c r="J1665" s="5" t="n"/>
    </row>
    <row r="1666">
      <c r="A1666" t="n">
        <v>1663</v>
      </c>
      <c r="B1666" s="8" t="n"/>
      <c r="C1666" s="4" t="n"/>
      <c r="D1666" s="4" t="n"/>
      <c r="E1666" s="4" t="n"/>
      <c r="F1666" s="4" t="n"/>
      <c r="G1666" s="5" t="n"/>
      <c r="H1666" s="5" t="n"/>
      <c r="I1666" s="5" t="n"/>
      <c r="J1666" s="5" t="n"/>
    </row>
    <row r="1667">
      <c r="A1667" t="n">
        <v>1664</v>
      </c>
      <c r="B1667" s="8" t="n"/>
      <c r="C1667" s="4" t="n"/>
      <c r="D1667" s="4" t="n"/>
      <c r="E1667" s="4" t="n"/>
      <c r="F1667" s="4" t="n"/>
      <c r="G1667" s="5" t="n"/>
      <c r="H1667" s="5" t="n"/>
      <c r="I1667" s="5" t="n"/>
      <c r="J1667" s="5" t="n"/>
    </row>
    <row r="1668">
      <c r="A1668" t="n">
        <v>1665</v>
      </c>
      <c r="B1668" s="8" t="n"/>
      <c r="C1668" s="4" t="n"/>
      <c r="D1668" s="4" t="n"/>
      <c r="E1668" s="4" t="n"/>
      <c r="F1668" s="4" t="n"/>
      <c r="G1668" s="5" t="n"/>
      <c r="H1668" s="5" t="n"/>
      <c r="I1668" s="5" t="n"/>
      <c r="J1668" s="5" t="n"/>
    </row>
    <row r="1669">
      <c r="A1669" t="n">
        <v>1666</v>
      </c>
      <c r="B1669" s="8" t="n"/>
      <c r="C1669" s="4" t="n"/>
      <c r="D1669" s="4" t="n"/>
      <c r="E1669" s="4" t="n"/>
      <c r="F1669" s="4" t="n"/>
      <c r="G1669" s="5" t="n"/>
      <c r="H1669" s="5" t="n"/>
      <c r="I1669" s="5" t="n"/>
      <c r="J1669" s="5" t="n"/>
    </row>
    <row r="1670">
      <c r="A1670" t="n">
        <v>1667</v>
      </c>
      <c r="B1670" s="8" t="n"/>
      <c r="C1670" s="4" t="n"/>
      <c r="D1670" s="4" t="n"/>
      <c r="E1670" s="4" t="n"/>
      <c r="F1670" s="4" t="n"/>
      <c r="G1670" s="5" t="n"/>
      <c r="H1670" s="5" t="n"/>
      <c r="I1670" s="5" t="n"/>
      <c r="J1670" s="5" t="n"/>
    </row>
    <row r="1671">
      <c r="A1671" t="n">
        <v>1668</v>
      </c>
      <c r="B1671" s="8" t="n"/>
      <c r="C1671" s="4" t="n"/>
      <c r="D1671" s="4" t="n"/>
      <c r="E1671" s="4" t="n"/>
      <c r="F1671" s="4" t="n"/>
      <c r="G1671" s="5" t="n"/>
      <c r="H1671" s="5" t="n"/>
      <c r="I1671" s="5" t="n"/>
      <c r="J1671" s="5" t="n"/>
    </row>
    <row r="1672">
      <c r="A1672" t="n">
        <v>1669</v>
      </c>
      <c r="B1672" s="8" t="n"/>
      <c r="C1672" s="4" t="n"/>
      <c r="D1672" s="4" t="n"/>
      <c r="E1672" s="4" t="n"/>
      <c r="F1672" s="4" t="n"/>
      <c r="G1672" s="5" t="n"/>
      <c r="H1672" s="5" t="n"/>
      <c r="I1672" s="5" t="n"/>
      <c r="J1672" s="5" t="n"/>
    </row>
    <row r="1673">
      <c r="A1673" t="n">
        <v>1670</v>
      </c>
      <c r="B1673" s="8" t="n"/>
      <c r="C1673" s="4" t="n"/>
      <c r="D1673" s="4" t="n"/>
      <c r="E1673" s="4" t="n"/>
      <c r="F1673" s="4" t="n"/>
      <c r="G1673" s="5" t="n"/>
      <c r="H1673" s="5" t="n"/>
      <c r="I1673" s="5" t="n"/>
      <c r="J1673" s="5" t="n"/>
    </row>
    <row r="1674">
      <c r="A1674" t="n">
        <v>1671</v>
      </c>
      <c r="B1674" s="8" t="n"/>
      <c r="C1674" s="4" t="n"/>
      <c r="D1674" s="4" t="n"/>
      <c r="E1674" s="4" t="n"/>
      <c r="F1674" s="4" t="n"/>
      <c r="G1674" s="5" t="n"/>
      <c r="H1674" s="5" t="n"/>
      <c r="I1674" s="5" t="n"/>
      <c r="J1674" s="5" t="n"/>
    </row>
    <row r="1675">
      <c r="A1675" t="n">
        <v>1672</v>
      </c>
      <c r="B1675" s="8" t="n"/>
      <c r="C1675" s="4" t="n"/>
      <c r="D1675" s="4" t="n"/>
      <c r="E1675" s="4" t="n"/>
      <c r="F1675" s="4" t="n"/>
      <c r="G1675" s="5" t="n"/>
      <c r="H1675" s="5" t="n"/>
      <c r="I1675" s="5" t="n"/>
      <c r="J1675" s="5" t="n"/>
    </row>
    <row r="1676">
      <c r="A1676" t="n">
        <v>1673</v>
      </c>
      <c r="B1676" s="8" t="n"/>
      <c r="C1676" s="4" t="n"/>
      <c r="D1676" s="4" t="n"/>
      <c r="E1676" s="4" t="n"/>
      <c r="F1676" s="4" t="n"/>
      <c r="G1676" s="5" t="n"/>
      <c r="H1676" s="5" t="n"/>
      <c r="I1676" s="5" t="n"/>
      <c r="J1676" s="5" t="n"/>
    </row>
    <row r="1677">
      <c r="A1677" t="n">
        <v>1674</v>
      </c>
      <c r="B1677" s="8" t="n"/>
      <c r="C1677" s="4" t="n"/>
      <c r="D1677" s="4" t="n"/>
      <c r="E1677" s="4" t="n"/>
      <c r="F1677" s="4" t="n"/>
      <c r="G1677" s="5" t="n"/>
      <c r="H1677" s="5" t="n"/>
      <c r="I1677" s="5" t="n"/>
      <c r="J1677" s="5" t="n"/>
    </row>
    <row r="1678">
      <c r="A1678" t="n">
        <v>1675</v>
      </c>
      <c r="B1678" s="8" t="n"/>
      <c r="C1678" s="4" t="n"/>
      <c r="D1678" s="4" t="n"/>
      <c r="E1678" s="4" t="n"/>
      <c r="F1678" s="4" t="n"/>
      <c r="G1678" s="5" t="n"/>
      <c r="H1678" s="5" t="n"/>
      <c r="I1678" s="5" t="n"/>
      <c r="J1678" s="5" t="n"/>
    </row>
    <row r="1679">
      <c r="A1679" t="n">
        <v>1676</v>
      </c>
      <c r="B1679" s="8" t="n"/>
      <c r="C1679" s="4" t="n"/>
      <c r="D1679" s="4" t="n"/>
      <c r="E1679" s="4" t="n"/>
      <c r="F1679" s="4" t="n"/>
      <c r="G1679" s="5" t="n"/>
      <c r="H1679" s="5" t="n"/>
      <c r="I1679" s="5" t="n"/>
      <c r="J1679" s="5" t="n"/>
    </row>
    <row r="1680">
      <c r="A1680" t="n">
        <v>1677</v>
      </c>
      <c r="B1680" s="8" t="n"/>
      <c r="C1680" s="4" t="n"/>
      <c r="D1680" s="4" t="n"/>
      <c r="E1680" s="4" t="n"/>
      <c r="F1680" s="4" t="n"/>
      <c r="G1680" s="5" t="n"/>
      <c r="H1680" s="5" t="n"/>
      <c r="I1680" s="5" t="n"/>
      <c r="J1680" s="5" t="n"/>
    </row>
    <row r="1681">
      <c r="A1681" t="n">
        <v>1678</v>
      </c>
      <c r="B1681" s="8" t="n"/>
      <c r="C1681" s="4" t="n"/>
      <c r="D1681" s="4" t="n"/>
      <c r="E1681" s="4" t="n"/>
      <c r="F1681" s="4" t="n"/>
      <c r="G1681" s="5" t="n"/>
      <c r="H1681" s="5" t="n"/>
      <c r="I1681" s="5" t="n"/>
      <c r="J1681" s="5" t="n"/>
    </row>
    <row r="1682">
      <c r="A1682" t="n">
        <v>1679</v>
      </c>
      <c r="B1682" s="8" t="n"/>
      <c r="C1682" s="4" t="n"/>
      <c r="D1682" s="4" t="n"/>
      <c r="E1682" s="4" t="n"/>
      <c r="F1682" s="4" t="n"/>
      <c r="G1682" s="5" t="n"/>
      <c r="H1682" s="5" t="n"/>
      <c r="I1682" s="5" t="n"/>
      <c r="J1682" s="5" t="n"/>
    </row>
    <row r="1683">
      <c r="A1683" t="n">
        <v>1680</v>
      </c>
      <c r="B1683" s="8" t="n"/>
      <c r="C1683" s="4" t="n"/>
      <c r="D1683" s="4" t="n"/>
      <c r="E1683" s="4" t="n"/>
      <c r="F1683" s="4" t="n"/>
      <c r="G1683" s="5" t="n"/>
      <c r="H1683" s="5" t="n"/>
      <c r="I1683" s="5" t="n"/>
      <c r="J1683" s="5" t="n"/>
    </row>
    <row r="1684">
      <c r="A1684" t="n">
        <v>1681</v>
      </c>
      <c r="B1684" s="8" t="n"/>
      <c r="C1684" s="4" t="n"/>
      <c r="D1684" s="4" t="n"/>
      <c r="E1684" s="4" t="n"/>
      <c r="F1684" s="4" t="n"/>
      <c r="G1684" s="5" t="n"/>
      <c r="H1684" s="5" t="n"/>
      <c r="I1684" s="5" t="n"/>
      <c r="J1684" s="5" t="n"/>
    </row>
    <row r="1685">
      <c r="A1685" t="n">
        <v>1682</v>
      </c>
      <c r="B1685" s="8" t="n"/>
      <c r="C1685" s="4" t="n"/>
      <c r="D1685" s="4" t="n"/>
      <c r="E1685" s="4" t="n"/>
      <c r="F1685" s="4" t="n"/>
      <c r="G1685" s="5" t="n"/>
      <c r="H1685" s="5" t="n"/>
      <c r="I1685" s="5" t="n"/>
      <c r="J1685" s="5" t="n"/>
    </row>
    <row r="1686">
      <c r="A1686" t="n">
        <v>1683</v>
      </c>
      <c r="B1686" s="8" t="n"/>
      <c r="C1686" s="4" t="n"/>
      <c r="D1686" s="4" t="n"/>
      <c r="E1686" s="4" t="n"/>
      <c r="F1686" s="4" t="n"/>
      <c r="G1686" s="5" t="n"/>
      <c r="H1686" s="5" t="n"/>
      <c r="I1686" s="5" t="n"/>
      <c r="J1686" s="5" t="n"/>
    </row>
    <row r="1687">
      <c r="A1687" t="n">
        <v>1684</v>
      </c>
      <c r="B1687" s="8" t="n"/>
      <c r="C1687" s="4" t="n"/>
      <c r="D1687" s="4" t="n"/>
      <c r="E1687" s="4" t="n"/>
      <c r="F1687" s="4" t="n"/>
      <c r="G1687" s="5" t="n"/>
      <c r="H1687" s="5" t="n"/>
      <c r="I1687" s="5" t="n"/>
      <c r="J1687" s="5" t="n"/>
    </row>
    <row r="1688">
      <c r="A1688" t="n">
        <v>1685</v>
      </c>
      <c r="B1688" s="8" t="n"/>
      <c r="C1688" s="4" t="n"/>
      <c r="D1688" s="4" t="n"/>
      <c r="E1688" s="4" t="n"/>
      <c r="F1688" s="4" t="n"/>
      <c r="G1688" s="5" t="n"/>
      <c r="H1688" s="5" t="n"/>
      <c r="I1688" s="5" t="n"/>
      <c r="J1688" s="5" t="n"/>
    </row>
    <row r="1689">
      <c r="A1689" t="n">
        <v>1686</v>
      </c>
      <c r="B1689" s="8" t="n"/>
      <c r="C1689" s="4" t="n"/>
      <c r="D1689" s="4" t="n"/>
      <c r="E1689" s="4" t="n"/>
      <c r="F1689" s="4" t="n"/>
      <c r="G1689" s="5" t="n"/>
      <c r="H1689" s="5" t="n"/>
      <c r="I1689" s="5" t="n"/>
      <c r="J1689" s="5" t="n"/>
    </row>
    <row r="1690">
      <c r="A1690" t="n">
        <v>1687</v>
      </c>
      <c r="B1690" s="8" t="n"/>
      <c r="C1690" s="4" t="n"/>
      <c r="D1690" s="4" t="n"/>
      <c r="E1690" s="4" t="n"/>
      <c r="F1690" s="4" t="n"/>
      <c r="G1690" s="5" t="n"/>
      <c r="H1690" s="5" t="n"/>
      <c r="I1690" s="5" t="n"/>
      <c r="J1690" s="5" t="n"/>
    </row>
    <row r="1691">
      <c r="A1691" t="n">
        <v>1688</v>
      </c>
      <c r="B1691" s="8" t="n"/>
      <c r="C1691" s="4" t="n"/>
      <c r="D1691" s="4" t="n"/>
      <c r="E1691" s="4" t="n"/>
      <c r="F1691" s="4" t="n"/>
      <c r="G1691" s="5" t="n"/>
      <c r="H1691" s="5" t="n"/>
      <c r="I1691" s="5" t="n"/>
      <c r="J1691" s="5" t="n"/>
    </row>
    <row r="1692">
      <c r="A1692" t="n">
        <v>1689</v>
      </c>
      <c r="B1692" s="8" t="n"/>
      <c r="C1692" s="4" t="n"/>
      <c r="D1692" s="4" t="n"/>
      <c r="E1692" s="4" t="n"/>
      <c r="F1692" s="4" t="n"/>
      <c r="G1692" s="5" t="n"/>
      <c r="H1692" s="5" t="n"/>
      <c r="I1692" s="5" t="n"/>
      <c r="J1692" s="5" t="n"/>
    </row>
    <row r="1693">
      <c r="A1693" t="n">
        <v>1690</v>
      </c>
      <c r="B1693" s="8" t="n"/>
      <c r="C1693" s="4" t="n"/>
      <c r="D1693" s="4" t="n"/>
      <c r="E1693" s="4" t="n"/>
      <c r="F1693" s="4" t="n"/>
      <c r="G1693" s="5" t="n"/>
      <c r="H1693" s="5" t="n"/>
      <c r="I1693" s="5" t="n"/>
      <c r="J1693" s="5" t="n"/>
    </row>
    <row r="1694">
      <c r="A1694" t="n">
        <v>1691</v>
      </c>
      <c r="B1694" s="8" t="n"/>
      <c r="C1694" s="4" t="n"/>
      <c r="D1694" s="4" t="n"/>
      <c r="E1694" s="4" t="n"/>
      <c r="F1694" s="4" t="n"/>
      <c r="G1694" s="5" t="n"/>
      <c r="H1694" s="5" t="n"/>
      <c r="I1694" s="5" t="n"/>
      <c r="J1694" s="5" t="n"/>
    </row>
    <row r="1695">
      <c r="A1695" t="n">
        <v>1692</v>
      </c>
      <c r="B1695" s="8" t="n"/>
      <c r="C1695" s="4" t="n"/>
      <c r="D1695" s="4" t="n"/>
      <c r="E1695" s="4" t="n"/>
      <c r="F1695" s="4" t="n"/>
      <c r="G1695" s="5" t="n"/>
      <c r="H1695" s="5" t="n"/>
      <c r="I1695" s="5" t="n"/>
      <c r="J1695" s="5" t="n"/>
    </row>
    <row r="1696">
      <c r="A1696" t="n">
        <v>1693</v>
      </c>
      <c r="B1696" s="8" t="n"/>
      <c r="C1696" s="4" t="n"/>
      <c r="D1696" s="4" t="n"/>
      <c r="E1696" s="4" t="n"/>
      <c r="F1696" s="4" t="n"/>
      <c r="G1696" s="5" t="n"/>
      <c r="H1696" s="5" t="n"/>
      <c r="I1696" s="5" t="n"/>
      <c r="J1696" s="5" t="n"/>
    </row>
    <row r="1697">
      <c r="A1697" t="n">
        <v>1694</v>
      </c>
      <c r="B1697" s="8" t="n"/>
      <c r="C1697" s="4" t="n"/>
      <c r="D1697" s="4" t="n"/>
      <c r="E1697" s="4" t="n"/>
      <c r="F1697" s="4" t="n"/>
      <c r="G1697" s="5" t="n"/>
      <c r="H1697" s="5" t="n"/>
      <c r="I1697" s="5" t="n"/>
      <c r="J1697" s="5" t="n"/>
    </row>
    <row r="1698">
      <c r="A1698" t="n">
        <v>1695</v>
      </c>
      <c r="B1698" s="8" t="n"/>
      <c r="C1698" s="4" t="n"/>
      <c r="D1698" s="4" t="n"/>
      <c r="E1698" s="4" t="n"/>
      <c r="F1698" s="4" t="n"/>
      <c r="G1698" s="5" t="n"/>
      <c r="H1698" s="5" t="n"/>
      <c r="I1698" s="5" t="n"/>
      <c r="J1698" s="5" t="n"/>
    </row>
    <row r="1699">
      <c r="A1699" t="n">
        <v>1696</v>
      </c>
      <c r="B1699" s="8" t="n"/>
      <c r="C1699" s="4" t="n"/>
      <c r="D1699" s="4" t="n"/>
      <c r="E1699" s="4" t="n"/>
      <c r="F1699" s="4" t="n"/>
      <c r="G1699" s="5" t="n"/>
      <c r="H1699" s="5" t="n"/>
      <c r="I1699" s="5" t="n"/>
      <c r="J1699" s="5" t="n"/>
    </row>
    <row r="1700">
      <c r="A1700" t="n">
        <v>1697</v>
      </c>
      <c r="B1700" s="8" t="n"/>
      <c r="C1700" s="4" t="n"/>
      <c r="D1700" s="4" t="n"/>
      <c r="E1700" s="4" t="n"/>
      <c r="F1700" s="4" t="n"/>
      <c r="G1700" s="5" t="n"/>
      <c r="H1700" s="5" t="n"/>
      <c r="I1700" s="5" t="n"/>
      <c r="J1700" s="5" t="n"/>
    </row>
    <row r="1701">
      <c r="A1701" t="n">
        <v>1698</v>
      </c>
      <c r="B1701" s="8" t="n"/>
      <c r="C1701" s="4" t="n"/>
      <c r="D1701" s="4" t="n"/>
      <c r="E1701" s="4" t="n"/>
      <c r="F1701" s="4" t="n"/>
      <c r="G1701" s="5" t="n"/>
      <c r="H1701" s="5" t="n"/>
      <c r="I1701" s="5" t="n"/>
      <c r="J1701" s="5" t="n"/>
    </row>
    <row r="1702">
      <c r="A1702" t="n">
        <v>1699</v>
      </c>
      <c r="B1702" s="8" t="n"/>
      <c r="C1702" s="4" t="n"/>
      <c r="D1702" s="4" t="n"/>
      <c r="E1702" s="4" t="n"/>
      <c r="F1702" s="4" t="n"/>
      <c r="G1702" s="5" t="n"/>
      <c r="H1702" s="5" t="n"/>
      <c r="I1702" s="5" t="n"/>
      <c r="J1702" s="5" t="n"/>
    </row>
    <row r="1703">
      <c r="A1703" t="n">
        <v>1700</v>
      </c>
      <c r="B1703" s="8" t="n"/>
      <c r="C1703" s="4" t="n"/>
      <c r="D1703" s="4" t="n"/>
      <c r="E1703" s="4" t="n"/>
      <c r="F1703" s="4" t="n"/>
      <c r="G1703" s="5" t="n"/>
      <c r="H1703" s="5" t="n"/>
      <c r="I1703" s="5" t="n"/>
      <c r="J1703" s="5" t="n"/>
    </row>
    <row r="1704">
      <c r="A1704" t="n">
        <v>1701</v>
      </c>
      <c r="B1704" s="8" t="n"/>
      <c r="C1704" s="4" t="n"/>
      <c r="D1704" s="4" t="n"/>
      <c r="E1704" s="4" t="n"/>
      <c r="F1704" s="4" t="n"/>
      <c r="G1704" s="5" t="n"/>
      <c r="H1704" s="5" t="n"/>
      <c r="I1704" s="5" t="n"/>
      <c r="J1704" s="5" t="n"/>
    </row>
    <row r="1705">
      <c r="A1705" t="n">
        <v>1702</v>
      </c>
      <c r="B1705" s="8" t="n"/>
      <c r="C1705" s="4" t="n"/>
      <c r="D1705" s="4" t="n"/>
      <c r="E1705" s="4" t="n"/>
      <c r="F1705" s="4" t="n"/>
      <c r="G1705" s="5" t="n"/>
      <c r="H1705" s="5" t="n"/>
      <c r="I1705" s="5" t="n"/>
      <c r="J1705" s="5" t="n"/>
    </row>
    <row r="1706">
      <c r="A1706" t="n">
        <v>1703</v>
      </c>
      <c r="B1706" s="8" t="n"/>
      <c r="C1706" s="4" t="n"/>
      <c r="D1706" s="4" t="n"/>
      <c r="E1706" s="4" t="n"/>
      <c r="F1706" s="4" t="n"/>
      <c r="G1706" s="5" t="n"/>
      <c r="H1706" s="5" t="n"/>
      <c r="I1706" s="5" t="n"/>
      <c r="J1706" s="5" t="n"/>
    </row>
    <row r="1707">
      <c r="A1707" t="n">
        <v>1704</v>
      </c>
      <c r="B1707" s="8" t="n"/>
      <c r="C1707" s="4" t="n"/>
      <c r="D1707" s="4" t="n"/>
      <c r="E1707" s="4" t="n"/>
      <c r="F1707" s="4" t="n"/>
      <c r="G1707" s="5" t="n"/>
      <c r="H1707" s="5" t="n"/>
      <c r="I1707" s="5" t="n"/>
      <c r="J1707" s="5" t="n"/>
    </row>
    <row r="1708">
      <c r="A1708" t="n">
        <v>1705</v>
      </c>
      <c r="B1708" s="8" t="n"/>
      <c r="C1708" s="4" t="n"/>
      <c r="D1708" s="4" t="n"/>
      <c r="E1708" s="4" t="n"/>
      <c r="F1708" s="4" t="n"/>
      <c r="G1708" s="5" t="n"/>
      <c r="H1708" s="5" t="n"/>
      <c r="I1708" s="5" t="n"/>
      <c r="J1708" s="5" t="n"/>
    </row>
    <row r="1709">
      <c r="A1709" t="n">
        <v>1706</v>
      </c>
      <c r="B1709" s="8" t="n"/>
      <c r="C1709" s="4" t="n"/>
      <c r="D1709" s="4" t="n"/>
      <c r="E1709" s="4" t="n"/>
      <c r="F1709" s="4" t="n"/>
      <c r="G1709" s="5" t="n"/>
      <c r="H1709" s="5" t="n"/>
      <c r="I1709" s="5" t="n"/>
      <c r="J1709" s="5" t="n"/>
    </row>
    <row r="1710">
      <c r="A1710" t="n">
        <v>1707</v>
      </c>
      <c r="B1710" s="8" t="n"/>
      <c r="C1710" s="4" t="n"/>
      <c r="D1710" s="4" t="n"/>
      <c r="E1710" s="4" t="n"/>
      <c r="F1710" s="4" t="n"/>
      <c r="G1710" s="5" t="n"/>
      <c r="H1710" s="5" t="n"/>
      <c r="I1710" s="5" t="n"/>
      <c r="J1710" s="5" t="n"/>
    </row>
    <row r="1711">
      <c r="A1711" t="n">
        <v>1708</v>
      </c>
      <c r="B1711" s="8" t="n"/>
      <c r="C1711" s="4" t="n"/>
      <c r="D1711" s="4" t="n"/>
      <c r="E1711" s="4" t="n"/>
      <c r="F1711" s="4" t="n"/>
      <c r="G1711" s="5" t="n"/>
      <c r="H1711" s="5" t="n"/>
      <c r="I1711" s="5" t="n"/>
      <c r="J1711" s="5" t="n"/>
    </row>
    <row r="1712">
      <c r="A1712" t="n">
        <v>1709</v>
      </c>
      <c r="B1712" s="8" t="n"/>
      <c r="C1712" s="4" t="n"/>
      <c r="D1712" s="4" t="n"/>
      <c r="E1712" s="4" t="n"/>
      <c r="F1712" s="4" t="n"/>
      <c r="G1712" s="5" t="n"/>
      <c r="H1712" s="5" t="n"/>
      <c r="I1712" s="5" t="n"/>
      <c r="J1712" s="5" t="n"/>
    </row>
    <row r="1713">
      <c r="A1713" t="n">
        <v>1710</v>
      </c>
      <c r="B1713" s="8" t="n"/>
      <c r="C1713" s="4" t="n"/>
      <c r="D1713" s="4" t="n"/>
      <c r="E1713" s="4" t="n"/>
      <c r="F1713" s="4" t="n"/>
      <c r="G1713" s="5" t="n"/>
      <c r="H1713" s="5" t="n"/>
      <c r="I1713" s="5" t="n"/>
      <c r="J1713" s="5" t="n"/>
    </row>
    <row r="1714">
      <c r="A1714" t="n">
        <v>1711</v>
      </c>
      <c r="B1714" s="8" t="n"/>
      <c r="C1714" s="4" t="n"/>
      <c r="D1714" s="4" t="n"/>
      <c r="E1714" s="4" t="n"/>
      <c r="F1714" s="4" t="n"/>
      <c r="G1714" s="5" t="n"/>
      <c r="H1714" s="5" t="n"/>
      <c r="I1714" s="5" t="n"/>
      <c r="J1714" s="5" t="n"/>
    </row>
    <row r="1715">
      <c r="A1715" t="n">
        <v>1712</v>
      </c>
      <c r="B1715" s="8" t="n"/>
      <c r="C1715" s="4" t="n"/>
      <c r="D1715" s="4" t="n"/>
      <c r="E1715" s="4" t="n"/>
      <c r="F1715" s="4" t="n"/>
      <c r="G1715" s="5" t="n"/>
      <c r="H1715" s="5" t="n"/>
      <c r="I1715" s="5" t="n"/>
      <c r="J1715" s="5" t="n"/>
    </row>
    <row r="1716">
      <c r="A1716" t="n">
        <v>1713</v>
      </c>
      <c r="B1716" s="8" t="n"/>
      <c r="C1716" s="4" t="n"/>
      <c r="D1716" s="4" t="n"/>
      <c r="E1716" s="4" t="n"/>
      <c r="F1716" s="4" t="n"/>
      <c r="G1716" s="5" t="n"/>
      <c r="H1716" s="5" t="n"/>
      <c r="I1716" s="5" t="n"/>
      <c r="J1716" s="5" t="n"/>
    </row>
    <row r="1717">
      <c r="A1717" t="n">
        <v>1714</v>
      </c>
      <c r="B1717" s="8" t="n"/>
      <c r="C1717" s="4" t="n"/>
      <c r="D1717" s="4" t="n"/>
      <c r="E1717" s="4" t="n"/>
      <c r="F1717" s="4" t="n"/>
      <c r="G1717" s="5" t="n"/>
      <c r="H1717" s="5" t="n"/>
      <c r="I1717" s="5" t="n"/>
      <c r="J1717" s="5" t="n"/>
    </row>
    <row r="1718">
      <c r="A1718" t="n">
        <v>1715</v>
      </c>
      <c r="B1718" s="8" t="n"/>
      <c r="C1718" s="4" t="n"/>
      <c r="D1718" s="4" t="n"/>
      <c r="E1718" s="4" t="n"/>
      <c r="F1718" s="4" t="n"/>
      <c r="G1718" s="5" t="n"/>
      <c r="H1718" s="5" t="n"/>
      <c r="I1718" s="5" t="n"/>
      <c r="J1718" s="5" t="n"/>
    </row>
    <row r="1719">
      <c r="A1719" t="n">
        <v>1716</v>
      </c>
      <c r="B1719" s="8" t="n"/>
      <c r="C1719" s="4" t="n"/>
      <c r="D1719" s="4" t="n"/>
      <c r="E1719" s="4" t="n"/>
      <c r="F1719" s="4" t="n"/>
      <c r="G1719" s="5" t="n"/>
      <c r="H1719" s="5" t="n"/>
      <c r="I1719" s="5" t="n"/>
      <c r="J1719" s="5" t="n"/>
    </row>
    <row r="1720">
      <c r="A1720" t="n">
        <v>1717</v>
      </c>
      <c r="B1720" s="8" t="n"/>
      <c r="C1720" s="4" t="n"/>
      <c r="D1720" s="4" t="n"/>
      <c r="E1720" s="4" t="n"/>
      <c r="F1720" s="4" t="n"/>
      <c r="G1720" s="5" t="n"/>
      <c r="H1720" s="5" t="n"/>
      <c r="I1720" s="5" t="n"/>
      <c r="J1720" s="5" t="n"/>
    </row>
    <row r="1721">
      <c r="A1721" t="n">
        <v>1718</v>
      </c>
      <c r="B1721" s="8" t="n"/>
      <c r="C1721" s="4" t="n"/>
      <c r="D1721" s="4" t="n"/>
      <c r="E1721" s="4" t="n"/>
      <c r="F1721" s="4" t="n"/>
      <c r="G1721" s="5" t="n"/>
      <c r="H1721" s="5" t="n"/>
      <c r="I1721" s="5" t="n"/>
      <c r="J1721" s="5" t="n"/>
    </row>
    <row r="1722">
      <c r="A1722" t="n">
        <v>1719</v>
      </c>
      <c r="B1722" s="8" t="n"/>
      <c r="C1722" s="4" t="n"/>
      <c r="D1722" s="4" t="n"/>
      <c r="E1722" s="4" t="n"/>
      <c r="F1722" s="4" t="n"/>
      <c r="G1722" s="5" t="n"/>
      <c r="H1722" s="5" t="n"/>
      <c r="I1722" s="5" t="n"/>
      <c r="J1722" s="5" t="n"/>
    </row>
    <row r="1723">
      <c r="A1723" t="n">
        <v>1720</v>
      </c>
      <c r="B1723" s="8" t="n"/>
      <c r="C1723" s="4" t="n"/>
      <c r="D1723" s="4" t="n"/>
      <c r="E1723" s="4" t="n"/>
      <c r="F1723" s="4" t="n"/>
      <c r="G1723" s="5" t="n"/>
      <c r="H1723" s="5" t="n"/>
      <c r="I1723" s="5" t="n"/>
      <c r="J1723" s="5" t="n"/>
    </row>
    <row r="1724">
      <c r="A1724" t="n">
        <v>1721</v>
      </c>
      <c r="B1724" s="8" t="n"/>
      <c r="C1724" s="4" t="n"/>
      <c r="D1724" s="4" t="n"/>
      <c r="E1724" s="4" t="n"/>
      <c r="F1724" s="4" t="n"/>
      <c r="G1724" s="5" t="n"/>
      <c r="H1724" s="5" t="n"/>
      <c r="I1724" s="5" t="n"/>
      <c r="J1724" s="5" t="n"/>
    </row>
    <row r="1725">
      <c r="A1725" t="n">
        <v>1722</v>
      </c>
      <c r="B1725" s="8" t="n"/>
      <c r="C1725" s="4" t="n"/>
      <c r="D1725" s="4" t="n"/>
      <c r="E1725" s="4" t="n"/>
      <c r="F1725" s="4" t="n"/>
      <c r="G1725" s="5" t="n"/>
      <c r="H1725" s="5" t="n"/>
      <c r="I1725" s="5" t="n"/>
      <c r="J1725" s="5" t="n"/>
    </row>
    <row r="1726">
      <c r="A1726" t="n">
        <v>1723</v>
      </c>
      <c r="B1726" s="8" t="n"/>
      <c r="C1726" s="4" t="n"/>
      <c r="D1726" s="4" t="n"/>
      <c r="E1726" s="4" t="n"/>
      <c r="F1726" s="4" t="n"/>
      <c r="G1726" s="5" t="n"/>
      <c r="H1726" s="5" t="n"/>
      <c r="I1726" s="5" t="n"/>
      <c r="J1726" s="5" t="n"/>
    </row>
    <row r="1727">
      <c r="A1727" t="n">
        <v>1724</v>
      </c>
      <c r="B1727" s="8" t="n"/>
      <c r="C1727" s="4" t="n"/>
      <c r="D1727" s="4" t="n"/>
      <c r="E1727" s="4" t="n"/>
      <c r="F1727" s="4" t="n"/>
      <c r="G1727" s="5" t="n"/>
      <c r="H1727" s="5" t="n"/>
      <c r="I1727" s="5" t="n"/>
      <c r="J1727" s="5" t="n"/>
    </row>
    <row r="1728">
      <c r="A1728" t="n">
        <v>1725</v>
      </c>
      <c r="B1728" s="8" t="n"/>
      <c r="C1728" s="4" t="n"/>
      <c r="D1728" s="4" t="n"/>
      <c r="E1728" s="4" t="n"/>
      <c r="F1728" s="4" t="n"/>
      <c r="G1728" s="5" t="n"/>
      <c r="H1728" s="5" t="n"/>
      <c r="I1728" s="5" t="n"/>
      <c r="J1728" s="5" t="n"/>
    </row>
    <row r="1729">
      <c r="A1729" t="n">
        <v>1726</v>
      </c>
      <c r="B1729" s="8" t="n"/>
      <c r="C1729" s="4" t="n"/>
      <c r="D1729" s="4" t="n"/>
      <c r="E1729" s="4" t="n"/>
      <c r="F1729" s="4" t="n"/>
      <c r="G1729" s="5" t="n"/>
      <c r="H1729" s="5" t="n"/>
      <c r="I1729" s="5" t="n"/>
      <c r="J1729" s="5" t="n"/>
    </row>
    <row r="1730">
      <c r="A1730" t="n">
        <v>1727</v>
      </c>
      <c r="B1730" s="8" t="n"/>
      <c r="C1730" s="4" t="n"/>
      <c r="D1730" s="4" t="n"/>
      <c r="E1730" s="4" t="n"/>
      <c r="F1730" s="4" t="n"/>
      <c r="G1730" s="5" t="n"/>
      <c r="H1730" s="5" t="n"/>
      <c r="I1730" s="5" t="n"/>
      <c r="J1730" s="5" t="n"/>
    </row>
    <row r="1731">
      <c r="A1731" t="n">
        <v>1728</v>
      </c>
      <c r="B1731" s="8" t="n"/>
      <c r="C1731" s="4" t="n"/>
      <c r="D1731" s="4" t="n"/>
      <c r="E1731" s="4" t="n"/>
      <c r="F1731" s="4" t="n"/>
      <c r="G1731" s="5" t="n"/>
      <c r="H1731" s="5" t="n"/>
      <c r="I1731" s="5" t="n"/>
      <c r="J1731" s="5" t="n"/>
    </row>
    <row r="1732">
      <c r="A1732" t="n">
        <v>1729</v>
      </c>
      <c r="B1732" s="8" t="n"/>
      <c r="C1732" s="4" t="n"/>
      <c r="D1732" s="4" t="n"/>
      <c r="E1732" s="4" t="n"/>
      <c r="F1732" s="4" t="n"/>
      <c r="G1732" s="5" t="n"/>
      <c r="H1732" s="5" t="n"/>
      <c r="I1732" s="5" t="n"/>
      <c r="J1732" s="5" t="n"/>
    </row>
    <row r="1733">
      <c r="A1733" t="n">
        <v>1730</v>
      </c>
      <c r="B1733" s="8" t="n"/>
      <c r="C1733" s="4" t="n"/>
      <c r="D1733" s="4" t="n"/>
      <c r="E1733" s="4" t="n"/>
      <c r="F1733" s="4" t="n"/>
      <c r="G1733" s="5" t="n"/>
      <c r="H1733" s="5" t="n"/>
      <c r="I1733" s="5" t="n"/>
      <c r="J1733" s="5" t="n"/>
    </row>
    <row r="1734">
      <c r="A1734" t="n">
        <v>1731</v>
      </c>
      <c r="B1734" s="8" t="n"/>
      <c r="C1734" s="4" t="n"/>
      <c r="D1734" s="4" t="n"/>
      <c r="E1734" s="4" t="n"/>
      <c r="F1734" s="4" t="n"/>
      <c r="G1734" s="5" t="n"/>
      <c r="H1734" s="5" t="n"/>
      <c r="I1734" s="5" t="n"/>
      <c r="J1734" s="5" t="n"/>
    </row>
    <row r="1735">
      <c r="A1735" t="n">
        <v>1732</v>
      </c>
      <c r="B1735" s="8" t="n"/>
      <c r="C1735" s="4" t="n"/>
      <c r="D1735" s="4" t="n"/>
      <c r="E1735" s="4" t="n"/>
      <c r="F1735" s="4" t="n"/>
      <c r="G1735" s="5" t="n"/>
      <c r="H1735" s="5" t="n"/>
      <c r="I1735" s="5" t="n"/>
      <c r="J1735" s="5" t="n"/>
    </row>
    <row r="1736">
      <c r="A1736" t="n">
        <v>1733</v>
      </c>
      <c r="B1736" s="8" t="n"/>
      <c r="C1736" s="4" t="n"/>
      <c r="D1736" s="4" t="n"/>
      <c r="E1736" s="4" t="n"/>
      <c r="F1736" s="4" t="n"/>
      <c r="G1736" s="5" t="n"/>
      <c r="H1736" s="5" t="n"/>
      <c r="I1736" s="5" t="n"/>
      <c r="J1736" s="5" t="n"/>
    </row>
    <row r="1737">
      <c r="A1737" t="n">
        <v>1734</v>
      </c>
      <c r="B1737" s="8" t="n"/>
      <c r="C1737" s="4" t="n"/>
      <c r="D1737" s="4" t="n"/>
      <c r="E1737" s="4" t="n"/>
      <c r="F1737" s="4" t="n"/>
      <c r="G1737" s="5" t="n"/>
      <c r="H1737" s="5" t="n"/>
      <c r="I1737" s="5" t="n"/>
      <c r="J1737" s="5" t="n"/>
    </row>
    <row r="1738">
      <c r="A1738" t="n">
        <v>1735</v>
      </c>
      <c r="B1738" s="8" t="n"/>
      <c r="C1738" s="4" t="n"/>
      <c r="D1738" s="4" t="n"/>
      <c r="E1738" s="4" t="n"/>
      <c r="F1738" s="4" t="n"/>
      <c r="G1738" s="5" t="n"/>
      <c r="H1738" s="5" t="n"/>
      <c r="I1738" s="5" t="n"/>
      <c r="J1738" s="5" t="n"/>
    </row>
    <row r="1739">
      <c r="A1739" t="n">
        <v>1736</v>
      </c>
      <c r="B1739" s="8" t="n"/>
      <c r="C1739" s="4" t="n"/>
      <c r="D1739" s="4" t="n"/>
      <c r="E1739" s="4" t="n"/>
      <c r="F1739" s="4" t="n"/>
      <c r="G1739" s="5" t="n"/>
      <c r="H1739" s="5" t="n"/>
      <c r="I1739" s="5" t="n"/>
      <c r="J1739" s="5" t="n"/>
    </row>
    <row r="1740">
      <c r="A1740" t="n">
        <v>1737</v>
      </c>
      <c r="B1740" s="8" t="n"/>
      <c r="C1740" s="4" t="n"/>
      <c r="D1740" s="4" t="n"/>
      <c r="E1740" s="4" t="n"/>
      <c r="F1740" s="4" t="n"/>
      <c r="G1740" s="5" t="n"/>
      <c r="H1740" s="5" t="n"/>
      <c r="I1740" s="5" t="n"/>
      <c r="J1740" s="5" t="n"/>
    </row>
    <row r="1741">
      <c r="A1741" t="n">
        <v>1738</v>
      </c>
      <c r="B1741" s="8" t="n"/>
      <c r="C1741" s="4" t="n"/>
      <c r="D1741" s="4" t="n"/>
      <c r="E1741" s="4" t="n"/>
      <c r="F1741" s="4" t="n"/>
      <c r="G1741" s="5" t="n"/>
      <c r="H1741" s="5" t="n"/>
      <c r="I1741" s="5" t="n"/>
      <c r="J1741" s="5" t="n"/>
    </row>
    <row r="1742">
      <c r="A1742" t="n">
        <v>1739</v>
      </c>
      <c r="B1742" s="8" t="n"/>
      <c r="C1742" s="4" t="n"/>
      <c r="D1742" s="4" t="n"/>
      <c r="E1742" s="4" t="n"/>
      <c r="F1742" s="4" t="n"/>
      <c r="G1742" s="5" t="n"/>
      <c r="H1742" s="5" t="n"/>
      <c r="I1742" s="5" t="n"/>
      <c r="J1742" s="5" t="n"/>
    </row>
    <row r="1743">
      <c r="A1743" t="n">
        <v>1740</v>
      </c>
      <c r="B1743" s="8" t="n"/>
      <c r="C1743" s="4" t="n"/>
      <c r="D1743" s="4" t="n"/>
      <c r="E1743" s="4" t="n"/>
      <c r="F1743" s="4" t="n"/>
      <c r="G1743" s="5" t="n"/>
      <c r="H1743" s="5" t="n"/>
      <c r="I1743" s="5" t="n"/>
      <c r="J1743" s="5" t="n"/>
    </row>
    <row r="1744">
      <c r="A1744" t="n">
        <v>1741</v>
      </c>
      <c r="B1744" s="8" t="n"/>
      <c r="C1744" s="4" t="n"/>
      <c r="D1744" s="4" t="n"/>
      <c r="E1744" s="4" t="n"/>
      <c r="F1744" s="4" t="n"/>
      <c r="G1744" s="5" t="n"/>
      <c r="H1744" s="5" t="n"/>
      <c r="I1744" s="5" t="n"/>
      <c r="J1744" s="5" t="n"/>
    </row>
    <row r="1745">
      <c r="A1745" t="n">
        <v>1742</v>
      </c>
      <c r="B1745" s="8" t="n"/>
      <c r="C1745" s="4" t="n"/>
      <c r="D1745" s="4" t="n"/>
      <c r="E1745" s="4" t="n"/>
      <c r="F1745" s="4" t="n"/>
      <c r="G1745" s="5" t="n"/>
      <c r="H1745" s="5" t="n"/>
      <c r="I1745" s="5" t="n"/>
      <c r="J1745" s="5" t="n"/>
    </row>
    <row r="1746">
      <c r="A1746" t="n">
        <v>1743</v>
      </c>
      <c r="B1746" s="8" t="n"/>
      <c r="C1746" s="4" t="n"/>
      <c r="D1746" s="4" t="n"/>
      <c r="E1746" s="4" t="n"/>
      <c r="F1746" s="4" t="n"/>
      <c r="G1746" s="5" t="n"/>
      <c r="H1746" s="5" t="n"/>
      <c r="I1746" s="5" t="n"/>
      <c r="J1746" s="5" t="n"/>
    </row>
    <row r="1747">
      <c r="A1747" t="n">
        <v>1744</v>
      </c>
      <c r="B1747" s="8" t="n"/>
      <c r="C1747" s="4" t="n"/>
      <c r="D1747" s="4" t="n"/>
      <c r="E1747" s="4" t="n"/>
      <c r="F1747" s="4" t="n"/>
      <c r="G1747" s="5" t="n"/>
      <c r="H1747" s="5" t="n"/>
      <c r="I1747" s="5" t="n"/>
      <c r="J1747" s="5" t="n"/>
    </row>
    <row r="1748">
      <c r="A1748" t="n">
        <v>1745</v>
      </c>
      <c r="B1748" s="8" t="n"/>
      <c r="C1748" s="4" t="n"/>
      <c r="D1748" s="4" t="n"/>
      <c r="E1748" s="4" t="n"/>
      <c r="F1748" s="4" t="n"/>
      <c r="G1748" s="5" t="n"/>
      <c r="H1748" s="5" t="n"/>
      <c r="I1748" s="5" t="n"/>
      <c r="J1748" s="5" t="n"/>
    </row>
    <row r="1749">
      <c r="A1749" t="n">
        <v>1746</v>
      </c>
      <c r="B1749" s="8" t="n"/>
      <c r="C1749" s="4" t="n"/>
      <c r="D1749" s="4" t="n"/>
      <c r="E1749" s="4" t="n"/>
      <c r="F1749" s="4" t="n"/>
      <c r="G1749" s="5" t="n"/>
      <c r="H1749" s="5" t="n"/>
      <c r="I1749" s="5" t="n"/>
      <c r="J1749" s="5" t="n"/>
    </row>
    <row r="1750">
      <c r="A1750" t="n">
        <v>1747</v>
      </c>
      <c r="B1750" s="8" t="n"/>
      <c r="C1750" s="4" t="n"/>
      <c r="D1750" s="4" t="n"/>
      <c r="E1750" s="4" t="n"/>
      <c r="F1750" s="4" t="n"/>
      <c r="G1750" s="5" t="n"/>
      <c r="H1750" s="5" t="n"/>
      <c r="I1750" s="5" t="n"/>
      <c r="J1750" s="5" t="n"/>
    </row>
    <row r="1751">
      <c r="A1751" t="n">
        <v>1748</v>
      </c>
      <c r="B1751" s="8" t="n"/>
      <c r="C1751" s="4" t="n"/>
      <c r="D1751" s="4" t="n"/>
      <c r="E1751" s="4" t="n"/>
      <c r="F1751" s="4" t="n"/>
      <c r="G1751" s="5" t="n"/>
      <c r="H1751" s="5" t="n"/>
      <c r="I1751" s="5" t="n"/>
      <c r="J1751" s="5" t="n"/>
    </row>
    <row r="1752">
      <c r="A1752" t="n">
        <v>1749</v>
      </c>
      <c r="B1752" s="8" t="n"/>
      <c r="C1752" s="4" t="n"/>
      <c r="D1752" s="4" t="n"/>
      <c r="E1752" s="4" t="n"/>
      <c r="F1752" s="4" t="n"/>
      <c r="G1752" s="5" t="n"/>
      <c r="H1752" s="5" t="n"/>
      <c r="I1752" s="5" t="n"/>
      <c r="J1752" s="5" t="n"/>
    </row>
    <row r="1753">
      <c r="A1753" t="n">
        <v>1750</v>
      </c>
      <c r="B1753" s="8" t="n"/>
      <c r="C1753" s="4" t="n"/>
      <c r="D1753" s="4" t="n"/>
      <c r="E1753" s="4" t="n"/>
      <c r="F1753" s="4" t="n"/>
      <c r="G1753" s="5" t="n"/>
      <c r="H1753" s="5" t="n"/>
      <c r="I1753" s="5" t="n"/>
      <c r="J1753" s="5" t="n"/>
    </row>
    <row r="1754">
      <c r="A1754" t="n">
        <v>1751</v>
      </c>
      <c r="B1754" s="8" t="n"/>
      <c r="C1754" s="4" t="n"/>
      <c r="D1754" s="4" t="n"/>
      <c r="E1754" s="4" t="n"/>
      <c r="F1754" s="4" t="n"/>
      <c r="G1754" s="5" t="n"/>
      <c r="H1754" s="5" t="n"/>
      <c r="I1754" s="5" t="n"/>
      <c r="J1754" s="5" t="n"/>
    </row>
    <row r="1755">
      <c r="A1755" t="n">
        <v>1752</v>
      </c>
      <c r="B1755" s="8" t="n"/>
      <c r="C1755" s="4" t="n"/>
      <c r="D1755" s="4" t="n"/>
      <c r="E1755" s="4" t="n"/>
      <c r="F1755" s="4" t="n"/>
      <c r="G1755" s="5" t="n"/>
      <c r="H1755" s="5" t="n"/>
      <c r="I1755" s="5" t="n"/>
      <c r="J1755" s="5" t="n"/>
    </row>
    <row r="1756">
      <c r="A1756" t="n">
        <v>1753</v>
      </c>
      <c r="B1756" s="8" t="n"/>
      <c r="C1756" s="4" t="n"/>
      <c r="D1756" s="4" t="n"/>
      <c r="E1756" s="4" t="n"/>
      <c r="F1756" s="4" t="n"/>
      <c r="G1756" s="5" t="n"/>
      <c r="H1756" s="5" t="n"/>
      <c r="I1756" s="5" t="n"/>
      <c r="J1756" s="5" t="n"/>
    </row>
    <row r="1757">
      <c r="A1757" t="n">
        <v>1754</v>
      </c>
      <c r="B1757" s="8" t="n"/>
      <c r="C1757" s="4" t="n"/>
      <c r="D1757" s="4" t="n"/>
      <c r="E1757" s="4" t="n"/>
      <c r="F1757" s="4" t="n"/>
      <c r="G1757" s="5" t="n"/>
      <c r="H1757" s="5" t="n"/>
      <c r="I1757" s="5" t="n"/>
      <c r="J1757" s="5" t="n"/>
    </row>
    <row r="1758">
      <c r="A1758" t="n">
        <v>1755</v>
      </c>
      <c r="B1758" s="8" t="n"/>
      <c r="C1758" s="4" t="n"/>
      <c r="D1758" s="4" t="n"/>
      <c r="E1758" s="4" t="n"/>
      <c r="F1758" s="4" t="n"/>
      <c r="G1758" s="5" t="n"/>
      <c r="H1758" s="5" t="n"/>
      <c r="I1758" s="5" t="n"/>
      <c r="J1758" s="5" t="n"/>
    </row>
    <row r="1759">
      <c r="A1759" t="n">
        <v>1756</v>
      </c>
      <c r="B1759" s="8" t="n"/>
      <c r="C1759" s="4" t="n"/>
      <c r="D1759" s="4" t="n"/>
      <c r="E1759" s="4" t="n"/>
      <c r="F1759" s="4" t="n"/>
      <c r="G1759" s="5" t="n"/>
      <c r="H1759" s="5" t="n"/>
      <c r="I1759" s="5" t="n"/>
      <c r="J1759" s="5" t="n"/>
    </row>
    <row r="1760">
      <c r="A1760" t="n">
        <v>1757</v>
      </c>
      <c r="B1760" s="8" t="n"/>
      <c r="C1760" s="4" t="n"/>
      <c r="D1760" s="4" t="n"/>
      <c r="E1760" s="4" t="n"/>
      <c r="F1760" s="4" t="n"/>
      <c r="G1760" s="5" t="n"/>
      <c r="H1760" s="5" t="n"/>
      <c r="I1760" s="5" t="n"/>
      <c r="J1760" s="5" t="n"/>
    </row>
    <row r="1761">
      <c r="A1761" t="n">
        <v>1758</v>
      </c>
      <c r="B1761" s="8" t="n"/>
      <c r="C1761" s="4" t="n"/>
      <c r="D1761" s="4" t="n"/>
      <c r="E1761" s="4" t="n"/>
      <c r="F1761" s="4" t="n"/>
      <c r="G1761" s="5" t="n"/>
      <c r="H1761" s="5" t="n"/>
      <c r="I1761" s="5" t="n"/>
      <c r="J1761" s="5" t="n"/>
    </row>
    <row r="1762">
      <c r="A1762" t="n">
        <v>1759</v>
      </c>
      <c r="B1762" s="8" t="n"/>
      <c r="C1762" s="4" t="n"/>
      <c r="D1762" s="4" t="n"/>
      <c r="E1762" s="4" t="n"/>
      <c r="F1762" s="4" t="n"/>
      <c r="G1762" s="5" t="n"/>
      <c r="H1762" s="5" t="n"/>
      <c r="I1762" s="5" t="n"/>
      <c r="J1762" s="5" t="n"/>
    </row>
    <row r="1763">
      <c r="A1763" t="n">
        <v>1760</v>
      </c>
      <c r="B1763" s="8" t="n"/>
      <c r="C1763" s="4" t="n"/>
      <c r="D1763" s="4" t="n"/>
      <c r="E1763" s="4" t="n"/>
      <c r="F1763" s="4" t="n"/>
      <c r="G1763" s="5" t="n"/>
      <c r="H1763" s="5" t="n"/>
      <c r="I1763" s="5" t="n"/>
      <c r="J1763" s="5" t="n"/>
    </row>
    <row r="1764">
      <c r="A1764" t="n">
        <v>1761</v>
      </c>
      <c r="B1764" s="8" t="n"/>
      <c r="C1764" s="4" t="n"/>
      <c r="D1764" s="4" t="n"/>
      <c r="E1764" s="4" t="n"/>
      <c r="F1764" s="4" t="n"/>
      <c r="G1764" s="5" t="n"/>
      <c r="H1764" s="5" t="n"/>
      <c r="I1764" s="5" t="n"/>
      <c r="J1764" s="5" t="n"/>
    </row>
    <row r="1765">
      <c r="A1765" t="n">
        <v>1762</v>
      </c>
      <c r="B1765" s="8" t="n"/>
      <c r="C1765" s="4" t="n"/>
      <c r="D1765" s="4" t="n"/>
      <c r="E1765" s="4" t="n"/>
      <c r="F1765" s="4" t="n"/>
      <c r="G1765" s="5" t="n"/>
      <c r="H1765" s="5" t="n"/>
      <c r="I1765" s="5" t="n"/>
      <c r="J1765" s="5" t="n"/>
    </row>
    <row r="1766">
      <c r="A1766" t="n">
        <v>1763</v>
      </c>
      <c r="B1766" s="8" t="n"/>
      <c r="C1766" s="4" t="n"/>
      <c r="D1766" s="4" t="n"/>
      <c r="E1766" s="4" t="n"/>
      <c r="F1766" s="4" t="n"/>
      <c r="G1766" s="5" t="n"/>
      <c r="H1766" s="5" t="n"/>
      <c r="I1766" s="5" t="n"/>
      <c r="J1766" s="5" t="n"/>
    </row>
    <row r="1767">
      <c r="A1767" t="n">
        <v>1764</v>
      </c>
      <c r="B1767" s="8" t="n"/>
      <c r="C1767" s="4" t="n"/>
      <c r="D1767" s="4" t="n"/>
      <c r="E1767" s="4" t="n"/>
      <c r="F1767" s="4" t="n"/>
      <c r="G1767" s="5" t="n"/>
      <c r="H1767" s="5" t="n"/>
      <c r="I1767" s="5" t="n"/>
      <c r="J1767" s="5" t="n"/>
    </row>
    <row r="1768">
      <c r="A1768" t="n">
        <v>1765</v>
      </c>
      <c r="B1768" s="8" t="n"/>
      <c r="C1768" s="4" t="n"/>
      <c r="D1768" s="4" t="n"/>
      <c r="E1768" s="4" t="n"/>
      <c r="F1768" s="4" t="n"/>
      <c r="G1768" s="5" t="n"/>
      <c r="H1768" s="5" t="n"/>
      <c r="I1768" s="5" t="n"/>
      <c r="J1768" s="5" t="n"/>
    </row>
    <row r="1769">
      <c r="A1769" t="n">
        <v>1766</v>
      </c>
      <c r="B1769" s="8" t="n"/>
      <c r="C1769" s="4" t="n"/>
      <c r="D1769" s="4" t="n"/>
      <c r="E1769" s="4" t="n"/>
      <c r="F1769" s="4" t="n"/>
      <c r="G1769" s="5" t="n"/>
      <c r="H1769" s="5" t="n"/>
      <c r="I1769" s="5" t="n"/>
      <c r="J1769" s="5" t="n"/>
    </row>
    <row r="1770">
      <c r="A1770" t="n">
        <v>1767</v>
      </c>
      <c r="B1770" s="8" t="n"/>
      <c r="C1770" s="4" t="n"/>
      <c r="D1770" s="4" t="n"/>
      <c r="E1770" s="4" t="n"/>
      <c r="F1770" s="4" t="n"/>
      <c r="G1770" s="5" t="n"/>
      <c r="H1770" s="5" t="n"/>
      <c r="I1770" s="5" t="n"/>
      <c r="J1770" s="5" t="n"/>
    </row>
    <row r="1771">
      <c r="A1771" t="n">
        <v>1768</v>
      </c>
      <c r="B1771" s="8" t="n"/>
      <c r="C1771" s="4" t="n"/>
      <c r="D1771" s="4" t="n"/>
      <c r="E1771" s="4" t="n"/>
      <c r="F1771" s="4" t="n"/>
      <c r="G1771" s="5" t="n"/>
      <c r="H1771" s="5" t="n"/>
      <c r="I1771" s="5" t="n"/>
      <c r="J1771" s="5" t="n"/>
    </row>
    <row r="1772">
      <c r="A1772" t="n">
        <v>1769</v>
      </c>
      <c r="B1772" s="8" t="n"/>
      <c r="C1772" s="4" t="n"/>
      <c r="D1772" s="4" t="n"/>
      <c r="E1772" s="4" t="n"/>
      <c r="F1772" s="4" t="n"/>
      <c r="G1772" s="5" t="n"/>
      <c r="H1772" s="5" t="n"/>
      <c r="I1772" s="5" t="n"/>
      <c r="J1772" s="5" t="n"/>
    </row>
    <row r="1773">
      <c r="A1773" t="n">
        <v>1770</v>
      </c>
      <c r="B1773" s="8" t="n"/>
      <c r="C1773" s="4" t="n"/>
      <c r="D1773" s="4" t="n"/>
      <c r="E1773" s="4" t="n"/>
      <c r="F1773" s="4" t="n"/>
      <c r="G1773" s="5" t="n"/>
      <c r="H1773" s="5" t="n"/>
      <c r="I1773" s="5" t="n"/>
      <c r="J1773" s="5" t="n"/>
    </row>
    <row r="1774">
      <c r="A1774" t="n">
        <v>1771</v>
      </c>
      <c r="B1774" s="8" t="n"/>
      <c r="C1774" s="4" t="n"/>
      <c r="D1774" s="4" t="n"/>
      <c r="E1774" s="4" t="n"/>
      <c r="F1774" s="4" t="n"/>
      <c r="G1774" s="5" t="n"/>
      <c r="H1774" s="5" t="n"/>
      <c r="I1774" s="5" t="n"/>
      <c r="J1774" s="5" t="n"/>
    </row>
    <row r="1775">
      <c r="A1775" t="n">
        <v>1772</v>
      </c>
      <c r="B1775" s="8" t="n"/>
      <c r="C1775" s="4" t="n"/>
      <c r="D1775" s="4" t="n"/>
      <c r="E1775" s="4" t="n"/>
      <c r="F1775" s="4" t="n"/>
      <c r="G1775" s="5" t="n"/>
      <c r="H1775" s="5" t="n"/>
      <c r="I1775" s="5" t="n"/>
      <c r="J1775" s="5" t="n"/>
    </row>
    <row r="1776">
      <c r="A1776" t="n">
        <v>1773</v>
      </c>
      <c r="B1776" s="8" t="n"/>
      <c r="C1776" s="4" t="n"/>
      <c r="D1776" s="4" t="n"/>
      <c r="E1776" s="4" t="n"/>
      <c r="F1776" s="4" t="n"/>
      <c r="G1776" s="5" t="n"/>
      <c r="H1776" s="5" t="n"/>
      <c r="I1776" s="5" t="n"/>
      <c r="J1776" s="5" t="n"/>
    </row>
    <row r="1777">
      <c r="A1777" t="n">
        <v>1774</v>
      </c>
      <c r="B1777" s="8" t="n"/>
      <c r="C1777" s="4" t="n"/>
      <c r="D1777" s="4" t="n"/>
      <c r="E1777" s="4" t="n"/>
      <c r="F1777" s="4" t="n"/>
      <c r="G1777" s="5" t="n"/>
      <c r="H1777" s="5" t="n"/>
      <c r="I1777" s="5" t="n"/>
      <c r="J1777" s="5" t="n"/>
    </row>
    <row r="1778">
      <c r="A1778" t="n">
        <v>1775</v>
      </c>
      <c r="B1778" s="8" t="n"/>
      <c r="C1778" s="4" t="n"/>
      <c r="D1778" s="4" t="n"/>
      <c r="E1778" s="4" t="n"/>
      <c r="F1778" s="4" t="n"/>
      <c r="G1778" s="5" t="n"/>
      <c r="H1778" s="5" t="n"/>
      <c r="I1778" s="5" t="n"/>
      <c r="J1778" s="5" t="n"/>
    </row>
    <row r="1779">
      <c r="A1779" t="n">
        <v>1776</v>
      </c>
      <c r="B1779" s="8" t="n"/>
      <c r="C1779" s="4" t="n"/>
      <c r="D1779" s="4" t="n"/>
      <c r="E1779" s="4" t="n"/>
      <c r="F1779" s="4" t="n"/>
      <c r="G1779" s="5" t="n"/>
      <c r="H1779" s="5" t="n"/>
      <c r="I1779" s="5" t="n"/>
      <c r="J1779" s="5" t="n"/>
    </row>
    <row r="1780">
      <c r="A1780" t="n">
        <v>1777</v>
      </c>
      <c r="B1780" s="8" t="n"/>
      <c r="C1780" s="4" t="n"/>
      <c r="D1780" s="4" t="n"/>
      <c r="E1780" s="4" t="n"/>
      <c r="F1780" s="4" t="n"/>
      <c r="G1780" s="5" t="n"/>
      <c r="H1780" s="5" t="n"/>
      <c r="I1780" s="5" t="n"/>
      <c r="J1780" s="5" t="n"/>
    </row>
    <row r="1781">
      <c r="A1781" t="n">
        <v>1778</v>
      </c>
      <c r="B1781" s="8" t="n"/>
      <c r="C1781" s="4" t="n"/>
      <c r="D1781" s="4" t="n"/>
      <c r="E1781" s="4" t="n"/>
      <c r="F1781" s="4" t="n"/>
      <c r="G1781" s="5" t="n"/>
      <c r="H1781" s="5" t="n"/>
      <c r="I1781" s="5" t="n"/>
      <c r="J1781" s="5" t="n"/>
    </row>
    <row r="1782">
      <c r="A1782" t="n">
        <v>1779</v>
      </c>
      <c r="B1782" s="8" t="n"/>
      <c r="C1782" s="4" t="n"/>
      <c r="D1782" s="4" t="n"/>
      <c r="E1782" s="4" t="n"/>
      <c r="F1782" s="4" t="n"/>
      <c r="G1782" s="5" t="n"/>
      <c r="H1782" s="5" t="n"/>
      <c r="I1782" s="5" t="n"/>
      <c r="J1782" s="5" t="n"/>
    </row>
    <row r="1783">
      <c r="A1783" t="n">
        <v>1780</v>
      </c>
      <c r="B1783" s="8" t="n"/>
      <c r="C1783" s="4" t="n"/>
      <c r="D1783" s="4" t="n"/>
      <c r="E1783" s="4" t="n"/>
      <c r="F1783" s="4" t="n"/>
      <c r="G1783" s="5" t="n"/>
      <c r="H1783" s="5" t="n"/>
      <c r="I1783" s="5" t="n"/>
      <c r="J1783" s="5" t="n"/>
    </row>
    <row r="1784">
      <c r="A1784" t="n">
        <v>1781</v>
      </c>
      <c r="B1784" s="8" t="n"/>
      <c r="C1784" s="4" t="n"/>
      <c r="D1784" s="4" t="n"/>
      <c r="E1784" s="4" t="n"/>
      <c r="F1784" s="4" t="n"/>
      <c r="G1784" s="5" t="n"/>
      <c r="H1784" s="5" t="n"/>
      <c r="I1784" s="5" t="n"/>
      <c r="J1784" s="5" t="n"/>
    </row>
    <row r="1785">
      <c r="A1785" t="n">
        <v>1782</v>
      </c>
      <c r="B1785" s="8" t="n"/>
      <c r="C1785" s="4" t="n"/>
      <c r="D1785" s="4" t="n"/>
      <c r="E1785" s="4" t="n"/>
      <c r="F1785" s="4" t="n"/>
      <c r="G1785" s="5" t="n"/>
      <c r="H1785" s="5" t="n"/>
      <c r="I1785" s="5" t="n"/>
      <c r="J1785" s="5" t="n"/>
    </row>
    <row r="1786">
      <c r="A1786" t="n">
        <v>1783</v>
      </c>
      <c r="B1786" s="8" t="n"/>
      <c r="C1786" s="4" t="n"/>
      <c r="D1786" s="4" t="n"/>
      <c r="E1786" s="4" t="n"/>
      <c r="F1786" s="4" t="n"/>
      <c r="G1786" s="5" t="n"/>
      <c r="H1786" s="5" t="n"/>
      <c r="I1786" s="5" t="n"/>
      <c r="J1786" s="5" t="n"/>
    </row>
    <row r="1787">
      <c r="A1787" t="n">
        <v>1784</v>
      </c>
      <c r="B1787" s="8" t="n"/>
      <c r="C1787" s="4" t="n"/>
      <c r="D1787" s="4" t="n"/>
      <c r="E1787" s="4" t="n"/>
      <c r="F1787" s="4" t="n"/>
      <c r="G1787" s="5" t="n"/>
      <c r="H1787" s="5" t="n"/>
      <c r="I1787" s="5" t="n"/>
      <c r="J1787" s="5" t="n"/>
    </row>
    <row r="1788">
      <c r="A1788" t="n">
        <v>1785</v>
      </c>
      <c r="B1788" s="8" t="n"/>
      <c r="C1788" s="4" t="n"/>
      <c r="D1788" s="4" t="n"/>
      <c r="E1788" s="4" t="n"/>
      <c r="F1788" s="4" t="n"/>
      <c r="G1788" s="5" t="n"/>
      <c r="H1788" s="5" t="n"/>
      <c r="I1788" s="5" t="n"/>
      <c r="J1788" s="5" t="n"/>
    </row>
    <row r="1789">
      <c r="A1789" t="n">
        <v>1786</v>
      </c>
      <c r="B1789" s="8" t="n"/>
      <c r="C1789" s="4" t="n"/>
      <c r="D1789" s="4" t="n"/>
      <c r="E1789" s="4" t="n"/>
      <c r="F1789" s="4" t="n"/>
      <c r="G1789" s="5" t="n"/>
      <c r="H1789" s="5" t="n"/>
      <c r="I1789" s="5" t="n"/>
      <c r="J1789" s="5" t="n"/>
    </row>
    <row r="1790">
      <c r="A1790" t="n">
        <v>1787</v>
      </c>
      <c r="B1790" s="8" t="n"/>
      <c r="C1790" s="4" t="n"/>
      <c r="D1790" s="4" t="n"/>
      <c r="E1790" s="4" t="n"/>
      <c r="F1790" s="4" t="n"/>
      <c r="G1790" s="5" t="n"/>
      <c r="H1790" s="5" t="n"/>
      <c r="I1790" s="5" t="n"/>
      <c r="J1790" s="5" t="n"/>
    </row>
    <row r="1791">
      <c r="A1791" t="n">
        <v>1788</v>
      </c>
      <c r="B1791" s="8" t="n"/>
      <c r="C1791" s="4" t="n"/>
      <c r="D1791" s="4" t="n"/>
      <c r="E1791" s="4" t="n"/>
      <c r="F1791" s="4" t="n"/>
      <c r="G1791" s="5" t="n"/>
      <c r="H1791" s="5" t="n"/>
      <c r="I1791" s="5" t="n"/>
      <c r="J1791" s="5" t="n"/>
    </row>
    <row r="1792">
      <c r="A1792" t="n">
        <v>1789</v>
      </c>
      <c r="B1792" s="8" t="n"/>
      <c r="C1792" s="4" t="n"/>
      <c r="D1792" s="4" t="n"/>
      <c r="E1792" s="4" t="n"/>
      <c r="F1792" s="4" t="n"/>
      <c r="G1792" s="5" t="n"/>
      <c r="H1792" s="5" t="n"/>
      <c r="I1792" s="5" t="n"/>
      <c r="J1792" s="5" t="n"/>
    </row>
    <row r="1793">
      <c r="A1793" t="n">
        <v>1790</v>
      </c>
      <c r="B1793" s="8" t="n"/>
      <c r="C1793" s="4" t="n"/>
      <c r="D1793" s="4" t="n"/>
      <c r="E1793" s="4" t="n"/>
      <c r="F1793" s="4" t="n"/>
      <c r="G1793" s="5" t="n"/>
      <c r="H1793" s="5" t="n"/>
      <c r="I1793" s="5" t="n"/>
      <c r="J1793" s="5" t="n"/>
    </row>
    <row r="1794">
      <c r="A1794" t="n">
        <v>1791</v>
      </c>
      <c r="B1794" s="8" t="n"/>
      <c r="C1794" s="4" t="n"/>
      <c r="D1794" s="4" t="n"/>
      <c r="E1794" s="4" t="n"/>
      <c r="F1794" s="4" t="n"/>
      <c r="G1794" s="5" t="n"/>
      <c r="H1794" s="5" t="n"/>
      <c r="I1794" s="5" t="n"/>
      <c r="J1794" s="5" t="n"/>
    </row>
    <row r="1795">
      <c r="A1795" t="n">
        <v>1792</v>
      </c>
      <c r="B1795" s="8" t="n"/>
      <c r="C1795" s="4" t="n"/>
      <c r="D1795" s="4" t="n"/>
      <c r="E1795" s="4" t="n"/>
      <c r="F1795" s="4" t="n"/>
      <c r="G1795" s="5" t="n"/>
      <c r="H1795" s="5" t="n"/>
      <c r="I1795" s="5" t="n"/>
      <c r="J1795" s="5" t="n"/>
    </row>
    <row r="1796">
      <c r="A1796" t="n">
        <v>1793</v>
      </c>
      <c r="B1796" s="8" t="n"/>
      <c r="C1796" s="4" t="n"/>
      <c r="D1796" s="4" t="n"/>
      <c r="E1796" s="4" t="n"/>
      <c r="F1796" s="4" t="n"/>
      <c r="G1796" s="5" t="n"/>
      <c r="H1796" s="5" t="n"/>
      <c r="I1796" s="5" t="n"/>
      <c r="J1796" s="5" t="n"/>
    </row>
    <row r="1797">
      <c r="A1797" t="n">
        <v>1794</v>
      </c>
      <c r="B1797" s="8" t="n"/>
      <c r="C1797" s="4" t="n"/>
      <c r="D1797" s="4" t="n"/>
      <c r="E1797" s="4" t="n"/>
      <c r="F1797" s="4" t="n"/>
      <c r="G1797" s="5" t="n"/>
      <c r="H1797" s="5" t="n"/>
      <c r="I1797" s="5" t="n"/>
      <c r="J1797" s="5" t="n"/>
    </row>
    <row r="1798">
      <c r="A1798" t="n">
        <v>1795</v>
      </c>
      <c r="B1798" s="8" t="n"/>
      <c r="C1798" s="4" t="n"/>
      <c r="D1798" s="4" t="n"/>
      <c r="E1798" s="4" t="n"/>
      <c r="F1798" s="4" t="n"/>
      <c r="G1798" s="5" t="n"/>
      <c r="H1798" s="5" t="n"/>
      <c r="I1798" s="5" t="n"/>
      <c r="J1798" s="5" t="n"/>
    </row>
    <row r="1799">
      <c r="A1799" t="n">
        <v>1796</v>
      </c>
      <c r="B1799" s="8" t="n"/>
      <c r="C1799" s="4" t="n"/>
      <c r="D1799" s="4" t="n"/>
      <c r="E1799" s="4" t="n"/>
      <c r="F1799" s="4" t="n"/>
      <c r="G1799" s="5" t="n"/>
      <c r="H1799" s="5" t="n"/>
      <c r="I1799" s="5" t="n"/>
      <c r="J1799" s="5" t="n"/>
    </row>
    <row r="1800">
      <c r="A1800" t="n">
        <v>1797</v>
      </c>
      <c r="B1800" s="8" t="n"/>
      <c r="C1800" s="4" t="n"/>
      <c r="D1800" s="4" t="n"/>
      <c r="E1800" s="4" t="n"/>
      <c r="F1800" s="4" t="n"/>
      <c r="G1800" s="5" t="n"/>
      <c r="H1800" s="5" t="n"/>
      <c r="I1800" s="5" t="n"/>
      <c r="J1800" s="5" t="n"/>
    </row>
    <row r="1801">
      <c r="A1801" t="n">
        <v>1798</v>
      </c>
      <c r="B1801" s="8" t="n"/>
      <c r="C1801" s="4" t="n"/>
      <c r="D1801" s="4" t="n"/>
      <c r="E1801" s="4" t="n"/>
      <c r="F1801" s="4" t="n"/>
      <c r="G1801" s="5" t="n"/>
      <c r="H1801" s="5" t="n"/>
      <c r="I1801" s="5" t="n"/>
      <c r="J1801" s="5" t="n"/>
    </row>
    <row r="1802">
      <c r="A1802" t="n">
        <v>1799</v>
      </c>
      <c r="B1802" s="8" t="n"/>
      <c r="C1802" s="4" t="n"/>
      <c r="D1802" s="4" t="n"/>
      <c r="E1802" s="4" t="n"/>
      <c r="F1802" s="4" t="n"/>
      <c r="G1802" s="5" t="n"/>
      <c r="H1802" s="5" t="n"/>
      <c r="I1802" s="5" t="n"/>
      <c r="J1802" s="5" t="n"/>
    </row>
    <row r="1803">
      <c r="A1803" t="n">
        <v>1800</v>
      </c>
      <c r="B1803" s="8" t="n"/>
      <c r="C1803" s="4" t="n"/>
      <c r="D1803" s="4" t="n"/>
      <c r="E1803" s="4" t="n"/>
      <c r="F1803" s="4" t="n"/>
      <c r="G1803" s="5" t="n"/>
      <c r="H1803" s="5" t="n"/>
      <c r="I1803" s="5" t="n"/>
      <c r="J1803" s="5" t="n"/>
    </row>
    <row r="1804">
      <c r="A1804" t="n">
        <v>1801</v>
      </c>
      <c r="B1804" s="8" t="n"/>
      <c r="C1804" s="4" t="n"/>
      <c r="D1804" s="4" t="n"/>
      <c r="E1804" s="4" t="n"/>
      <c r="F1804" s="4" t="n"/>
      <c r="G1804" s="5" t="n"/>
      <c r="H1804" s="5" t="n"/>
      <c r="I1804" s="5" t="n"/>
      <c r="J1804" s="5" t="n"/>
    </row>
    <row r="1805">
      <c r="A1805" t="n">
        <v>1802</v>
      </c>
      <c r="B1805" s="8" t="n"/>
      <c r="C1805" s="4" t="n"/>
      <c r="D1805" s="4" t="n"/>
      <c r="E1805" s="4" t="n"/>
      <c r="F1805" s="4" t="n"/>
      <c r="G1805" s="5" t="n"/>
      <c r="H1805" s="5" t="n"/>
      <c r="I1805" s="5" t="n"/>
      <c r="J1805" s="5" t="n"/>
    </row>
    <row r="1806">
      <c r="A1806" t="n">
        <v>1803</v>
      </c>
      <c r="B1806" s="8" t="n"/>
      <c r="C1806" s="4" t="n"/>
      <c r="D1806" s="4" t="n"/>
      <c r="E1806" s="4" t="n"/>
      <c r="F1806" s="4" t="n"/>
      <c r="G1806" s="5" t="n"/>
      <c r="H1806" s="5" t="n"/>
      <c r="I1806" s="5" t="n"/>
      <c r="J1806" s="5" t="n"/>
    </row>
    <row r="1807">
      <c r="A1807" t="n">
        <v>1804</v>
      </c>
      <c r="B1807" s="8" t="n"/>
      <c r="C1807" s="4" t="n"/>
      <c r="D1807" s="4" t="n"/>
      <c r="E1807" s="4" t="n"/>
      <c r="F1807" s="4" t="n"/>
      <c r="G1807" s="5" t="n"/>
      <c r="H1807" s="5" t="n"/>
      <c r="I1807" s="5" t="n"/>
      <c r="J1807" s="5" t="n"/>
    </row>
    <row r="1808">
      <c r="A1808" t="n">
        <v>1805</v>
      </c>
      <c r="B1808" s="8" t="n"/>
      <c r="C1808" s="4" t="n"/>
      <c r="D1808" s="4" t="n"/>
      <c r="E1808" s="4" t="n"/>
      <c r="F1808" s="4" t="n"/>
      <c r="G1808" s="5" t="n"/>
      <c r="H1808" s="5" t="n"/>
      <c r="I1808" s="5" t="n"/>
      <c r="J1808" s="5" t="n"/>
    </row>
    <row r="1809">
      <c r="A1809" t="n">
        <v>1806</v>
      </c>
      <c r="B1809" s="8" t="n"/>
      <c r="C1809" s="4" t="n"/>
      <c r="D1809" s="4" t="n"/>
      <c r="E1809" s="4" t="n"/>
      <c r="F1809" s="4" t="n"/>
      <c r="G1809" s="5" t="n"/>
      <c r="H1809" s="5" t="n"/>
      <c r="I1809" s="5" t="n"/>
      <c r="J1809" s="5" t="n"/>
    </row>
    <row r="1810">
      <c r="A1810" t="n">
        <v>1807</v>
      </c>
      <c r="B1810" s="8" t="n"/>
      <c r="C1810" s="4" t="n"/>
      <c r="D1810" s="4" t="n"/>
      <c r="E1810" s="4" t="n"/>
      <c r="F1810" s="4" t="n"/>
      <c r="G1810" s="5" t="n"/>
      <c r="H1810" s="5" t="n"/>
      <c r="I1810" s="5" t="n"/>
      <c r="J1810" s="5" t="n"/>
    </row>
    <row r="1811">
      <c r="A1811" t="n">
        <v>1808</v>
      </c>
      <c r="B1811" s="8" t="n"/>
      <c r="C1811" s="4" t="n"/>
      <c r="D1811" s="4" t="n"/>
      <c r="E1811" s="4" t="n"/>
      <c r="F1811" s="4" t="n"/>
      <c r="G1811" s="5" t="n"/>
      <c r="H1811" s="5" t="n"/>
      <c r="I1811" s="5" t="n"/>
      <c r="J1811" s="5" t="n"/>
    </row>
    <row r="1812">
      <c r="A1812" t="n">
        <v>1809</v>
      </c>
      <c r="B1812" s="8" t="n"/>
      <c r="C1812" s="4" t="n"/>
      <c r="D1812" s="4" t="n"/>
      <c r="E1812" s="4" t="n"/>
      <c r="F1812" s="4" t="n"/>
      <c r="G1812" s="5" t="n"/>
      <c r="H1812" s="5" t="n"/>
      <c r="I1812" s="5" t="n"/>
      <c r="J1812" s="5" t="n"/>
    </row>
    <row r="1813">
      <c r="A1813" t="n">
        <v>1810</v>
      </c>
      <c r="B1813" s="8" t="n"/>
      <c r="C1813" s="4" t="n"/>
      <c r="D1813" s="4" t="n"/>
      <c r="E1813" s="4" t="n"/>
      <c r="F1813" s="4" t="n"/>
      <c r="G1813" s="5" t="n"/>
      <c r="H1813" s="5" t="n"/>
      <c r="I1813" s="5" t="n"/>
      <c r="J1813" s="5" t="n"/>
    </row>
    <row r="1814">
      <c r="A1814" t="n">
        <v>1811</v>
      </c>
      <c r="B1814" s="8" t="n"/>
      <c r="C1814" s="4" t="n"/>
      <c r="D1814" s="4" t="n"/>
      <c r="E1814" s="4" t="n"/>
      <c r="F1814" s="4" t="n"/>
      <c r="G1814" s="5" t="n"/>
      <c r="H1814" s="5" t="n"/>
      <c r="I1814" s="5" t="n"/>
      <c r="J1814" s="5" t="n"/>
    </row>
    <row r="1815">
      <c r="A1815" t="n">
        <v>1812</v>
      </c>
      <c r="B1815" s="8" t="n"/>
      <c r="C1815" s="4" t="n"/>
      <c r="D1815" s="4" t="n"/>
      <c r="E1815" s="4" t="n"/>
      <c r="F1815" s="4" t="n"/>
      <c r="G1815" s="5" t="n"/>
      <c r="H1815" s="5" t="n"/>
      <c r="I1815" s="5" t="n"/>
      <c r="J1815" s="5" t="n"/>
    </row>
    <row r="1816">
      <c r="A1816" t="n">
        <v>1813</v>
      </c>
      <c r="B1816" s="8" t="n"/>
      <c r="C1816" s="4" t="n"/>
      <c r="D1816" s="4" t="n"/>
      <c r="E1816" s="4" t="n"/>
      <c r="F1816" s="4" t="n"/>
      <c r="G1816" s="5" t="n"/>
      <c r="H1816" s="5" t="n"/>
      <c r="I1816" s="5" t="n"/>
      <c r="J1816" s="5" t="n"/>
    </row>
    <row r="1817">
      <c r="A1817" t="n">
        <v>1814</v>
      </c>
      <c r="B1817" s="8" t="n"/>
      <c r="C1817" s="4" t="n"/>
      <c r="D1817" s="4" t="n"/>
      <c r="E1817" s="4" t="n"/>
      <c r="F1817" s="4" t="n"/>
      <c r="G1817" s="5" t="n"/>
      <c r="H1817" s="5" t="n"/>
      <c r="I1817" s="5" t="n"/>
      <c r="J1817" s="5" t="n"/>
    </row>
    <row r="1818">
      <c r="A1818" t="n">
        <v>1815</v>
      </c>
      <c r="B1818" s="8" t="n"/>
      <c r="C1818" s="4" t="n"/>
      <c r="D1818" s="4" t="n"/>
      <c r="E1818" s="4" t="n"/>
      <c r="F1818" s="4" t="n"/>
      <c r="G1818" s="5" t="n"/>
      <c r="H1818" s="5" t="n"/>
      <c r="I1818" s="5" t="n"/>
      <c r="J1818" s="5" t="n"/>
    </row>
    <row r="1819">
      <c r="A1819" t="n">
        <v>1816</v>
      </c>
      <c r="B1819" s="8" t="n"/>
      <c r="C1819" s="4" t="n"/>
      <c r="D1819" s="4" t="n"/>
      <c r="E1819" s="4" t="n"/>
      <c r="F1819" s="4" t="n"/>
      <c r="G1819" s="5" t="n"/>
      <c r="H1819" s="5" t="n"/>
      <c r="I1819" s="5" t="n"/>
      <c r="J1819" s="5" t="n"/>
    </row>
    <row r="1820">
      <c r="A1820" t="n">
        <v>1817</v>
      </c>
      <c r="B1820" s="8" t="n"/>
      <c r="C1820" s="4" t="n"/>
      <c r="D1820" s="4" t="n"/>
      <c r="E1820" s="4" t="n"/>
      <c r="F1820" s="4" t="n"/>
      <c r="G1820" s="5" t="n"/>
      <c r="H1820" s="5" t="n"/>
      <c r="I1820" s="5" t="n"/>
      <c r="J1820" s="5" t="n"/>
    </row>
    <row r="1821">
      <c r="A1821" t="n">
        <v>1818</v>
      </c>
      <c r="B1821" s="8" t="n"/>
      <c r="C1821" s="4" t="n"/>
      <c r="D1821" s="4" t="n"/>
      <c r="E1821" s="4" t="n"/>
      <c r="F1821" s="4" t="n"/>
      <c r="G1821" s="5" t="n"/>
      <c r="H1821" s="5" t="n"/>
      <c r="I1821" s="5" t="n"/>
      <c r="J1821" s="5" t="n"/>
    </row>
    <row r="1822">
      <c r="A1822" t="n">
        <v>1819</v>
      </c>
      <c r="B1822" s="8" t="n"/>
      <c r="C1822" s="4" t="n"/>
      <c r="D1822" s="4" t="n"/>
      <c r="E1822" s="4" t="n"/>
      <c r="F1822" s="4" t="n"/>
      <c r="G1822" s="5" t="n"/>
      <c r="H1822" s="5" t="n"/>
      <c r="I1822" s="5" t="n"/>
      <c r="J1822" s="5" t="n"/>
    </row>
    <row r="1823">
      <c r="A1823" t="n">
        <v>1820</v>
      </c>
      <c r="B1823" s="8" t="n"/>
      <c r="C1823" s="4" t="n"/>
      <c r="D1823" s="4" t="n"/>
      <c r="E1823" s="4" t="n"/>
      <c r="F1823" s="4" t="n"/>
      <c r="G1823" s="5" t="n"/>
      <c r="H1823" s="5" t="n"/>
      <c r="I1823" s="5" t="n"/>
      <c r="J1823" s="5" t="n"/>
    </row>
    <row r="1824">
      <c r="A1824" t="n">
        <v>1821</v>
      </c>
      <c r="B1824" s="8" t="n"/>
      <c r="C1824" s="4" t="n"/>
      <c r="D1824" s="4" t="n"/>
      <c r="E1824" s="4" t="n"/>
      <c r="F1824" s="4" t="n"/>
      <c r="G1824" s="5" t="n"/>
      <c r="H1824" s="5" t="n"/>
      <c r="I1824" s="5" t="n"/>
      <c r="J1824" s="5" t="n"/>
    </row>
    <row r="1825">
      <c r="A1825" t="n">
        <v>1822</v>
      </c>
      <c r="B1825" s="8" t="n"/>
      <c r="C1825" s="4" t="n"/>
      <c r="D1825" s="4" t="n"/>
      <c r="E1825" s="4" t="n"/>
      <c r="F1825" s="4" t="n"/>
      <c r="G1825" s="5" t="n"/>
      <c r="H1825" s="5" t="n"/>
      <c r="I1825" s="5" t="n"/>
      <c r="J1825" s="5" t="n"/>
    </row>
    <row r="1826">
      <c r="A1826" t="n">
        <v>1823</v>
      </c>
      <c r="B1826" s="8" t="n"/>
      <c r="C1826" s="4" t="n"/>
      <c r="D1826" s="4" t="n"/>
      <c r="E1826" s="4" t="n"/>
      <c r="F1826" s="4" t="n"/>
      <c r="G1826" s="5" t="n"/>
      <c r="H1826" s="5" t="n"/>
      <c r="I1826" s="5" t="n"/>
      <c r="J1826" s="5" t="n"/>
    </row>
    <row r="1827">
      <c r="A1827" t="n">
        <v>1824</v>
      </c>
      <c r="B1827" s="8" t="n"/>
      <c r="C1827" s="4" t="n"/>
      <c r="D1827" s="4" t="n"/>
      <c r="E1827" s="4" t="n"/>
      <c r="F1827" s="4" t="n"/>
      <c r="G1827" s="5" t="n"/>
      <c r="H1827" s="5" t="n"/>
      <c r="I1827" s="5" t="n"/>
      <c r="J1827" s="5" t="n"/>
    </row>
    <row r="1828">
      <c r="A1828" t="n">
        <v>1825</v>
      </c>
      <c r="B1828" s="8" t="n"/>
      <c r="C1828" s="4" t="n"/>
      <c r="D1828" s="4" t="n"/>
      <c r="E1828" s="4" t="n"/>
      <c r="F1828" s="4" t="n"/>
      <c r="G1828" s="5" t="n"/>
      <c r="H1828" s="5" t="n"/>
      <c r="I1828" s="5" t="n"/>
      <c r="J1828" s="5" t="n"/>
    </row>
    <row r="1829">
      <c r="A1829" t="n">
        <v>1826</v>
      </c>
      <c r="B1829" s="8" t="n"/>
      <c r="C1829" s="4" t="n"/>
      <c r="D1829" s="4" t="n"/>
      <c r="E1829" s="4" t="n"/>
      <c r="F1829" s="4" t="n"/>
      <c r="G1829" s="5" t="n"/>
      <c r="H1829" s="5" t="n"/>
      <c r="I1829" s="5" t="n"/>
      <c r="J1829" s="5" t="n"/>
    </row>
    <row r="1830">
      <c r="A1830" t="n">
        <v>1827</v>
      </c>
      <c r="B1830" s="8" t="n"/>
      <c r="C1830" s="4" t="n"/>
      <c r="D1830" s="4" t="n"/>
      <c r="E1830" s="4" t="n"/>
      <c r="F1830" s="4" t="n"/>
      <c r="G1830" s="5" t="n"/>
      <c r="H1830" s="5" t="n"/>
      <c r="I1830" s="5" t="n"/>
      <c r="J1830" s="5" t="n"/>
    </row>
    <row r="1831">
      <c r="A1831" t="n">
        <v>1828</v>
      </c>
      <c r="B1831" s="8" t="n"/>
      <c r="C1831" s="4" t="n"/>
      <c r="D1831" s="4" t="n"/>
      <c r="E1831" s="4" t="n"/>
      <c r="F1831" s="4" t="n"/>
      <c r="G1831" s="5" t="n"/>
      <c r="H1831" s="5" t="n"/>
      <c r="I1831" s="5" t="n"/>
      <c r="J1831" s="5" t="n"/>
    </row>
    <row r="1832">
      <c r="A1832" t="n">
        <v>1829</v>
      </c>
      <c r="B1832" s="8" t="n"/>
      <c r="C1832" s="4" t="n"/>
      <c r="D1832" s="4" t="n"/>
      <c r="E1832" s="4" t="n"/>
      <c r="F1832" s="4" t="n"/>
      <c r="G1832" s="5" t="n"/>
      <c r="H1832" s="5" t="n"/>
      <c r="I1832" s="5" t="n"/>
      <c r="J1832" s="5" t="n"/>
    </row>
    <row r="1833">
      <c r="A1833" t="n">
        <v>1830</v>
      </c>
      <c r="B1833" s="8" t="n"/>
      <c r="C1833" s="4" t="n"/>
      <c r="D1833" s="4" t="n"/>
      <c r="E1833" s="4" t="n"/>
      <c r="F1833" s="4" t="n"/>
      <c r="G1833" s="5" t="n"/>
      <c r="H1833" s="5" t="n"/>
      <c r="I1833" s="5" t="n"/>
      <c r="J1833" s="5" t="n"/>
    </row>
    <row r="1834">
      <c r="A1834" t="n">
        <v>1831</v>
      </c>
      <c r="B1834" s="8" t="n"/>
      <c r="C1834" s="4" t="n"/>
      <c r="D1834" s="4" t="n"/>
      <c r="E1834" s="4" t="n"/>
      <c r="F1834" s="4" t="n"/>
      <c r="G1834" s="5" t="n"/>
      <c r="H1834" s="5" t="n"/>
      <c r="I1834" s="5" t="n"/>
      <c r="J1834" s="5" t="n"/>
    </row>
    <row r="1835">
      <c r="A1835" t="n">
        <v>1832</v>
      </c>
      <c r="B1835" s="8" t="n"/>
      <c r="C1835" s="4" t="n"/>
      <c r="D1835" s="4" t="n"/>
      <c r="E1835" s="4" t="n"/>
      <c r="F1835" s="4" t="n"/>
      <c r="G1835" s="5" t="n"/>
      <c r="H1835" s="5" t="n"/>
      <c r="I1835" s="5" t="n"/>
      <c r="J1835" s="5" t="n"/>
    </row>
    <row r="1836">
      <c r="A1836" t="n">
        <v>1833</v>
      </c>
      <c r="B1836" s="8" t="n"/>
      <c r="C1836" s="4" t="n"/>
      <c r="D1836" s="4" t="n"/>
      <c r="E1836" s="4" t="n"/>
      <c r="F1836" s="4" t="n"/>
      <c r="G1836" s="5" t="n"/>
      <c r="H1836" s="5" t="n"/>
      <c r="I1836" s="5" t="n"/>
      <c r="J1836" s="5" t="n"/>
    </row>
    <row r="1837">
      <c r="A1837" t="n">
        <v>1834</v>
      </c>
      <c r="B1837" s="8" t="n"/>
      <c r="C1837" s="4" t="n"/>
      <c r="D1837" s="4" t="n"/>
      <c r="E1837" s="4" t="n"/>
      <c r="F1837" s="4" t="n"/>
      <c r="G1837" s="5" t="n"/>
      <c r="H1837" s="5" t="n"/>
      <c r="I1837" s="5" t="n"/>
      <c r="J1837" s="5" t="n"/>
    </row>
    <row r="1838">
      <c r="A1838" t="n">
        <v>1835</v>
      </c>
      <c r="B1838" s="8" t="n"/>
      <c r="C1838" s="4" t="n"/>
      <c r="D1838" s="4" t="n"/>
      <c r="E1838" s="4" t="n"/>
      <c r="F1838" s="4" t="n"/>
      <c r="G1838" s="5" t="n"/>
      <c r="H1838" s="5" t="n"/>
      <c r="I1838" s="5" t="n"/>
      <c r="J1838" s="5" t="n"/>
    </row>
    <row r="1839">
      <c r="A1839" t="n">
        <v>1836</v>
      </c>
      <c r="B1839" s="8" t="n"/>
      <c r="C1839" s="4" t="n"/>
      <c r="D1839" s="4" t="n"/>
      <c r="E1839" s="4" t="n"/>
      <c r="F1839" s="4" t="n"/>
      <c r="G1839" s="5" t="n"/>
      <c r="H1839" s="5" t="n"/>
      <c r="I1839" s="5" t="n"/>
      <c r="J1839" s="5" t="n"/>
    </row>
    <row r="1840">
      <c r="A1840" t="n">
        <v>1837</v>
      </c>
      <c r="B1840" s="8" t="n"/>
      <c r="C1840" s="4" t="n"/>
      <c r="D1840" s="4" t="n"/>
      <c r="E1840" s="4" t="n"/>
      <c r="F1840" s="4" t="n"/>
      <c r="G1840" s="5" t="n"/>
      <c r="H1840" s="5" t="n"/>
      <c r="I1840" s="5" t="n"/>
      <c r="J1840" s="5" t="n"/>
    </row>
    <row r="1841">
      <c r="A1841" t="n">
        <v>1838</v>
      </c>
      <c r="B1841" s="8" t="n"/>
      <c r="C1841" s="4" t="n"/>
      <c r="D1841" s="4" t="n"/>
      <c r="E1841" s="4" t="n"/>
      <c r="F1841" s="4" t="n"/>
      <c r="G1841" s="5" t="n"/>
      <c r="H1841" s="5" t="n"/>
      <c r="I1841" s="5" t="n"/>
      <c r="J1841" s="5" t="n"/>
    </row>
    <row r="1842">
      <c r="A1842" t="n">
        <v>1839</v>
      </c>
      <c r="B1842" s="8" t="n"/>
      <c r="C1842" s="4" t="n"/>
      <c r="D1842" s="4" t="n"/>
      <c r="E1842" s="4" t="n"/>
      <c r="F1842" s="4" t="n"/>
      <c r="G1842" s="5" t="n"/>
      <c r="H1842" s="5" t="n"/>
      <c r="I1842" s="5" t="n"/>
      <c r="J1842" s="5" t="n"/>
    </row>
    <row r="1843">
      <c r="A1843" t="n">
        <v>1840</v>
      </c>
      <c r="B1843" s="8" t="n"/>
      <c r="C1843" s="4" t="n"/>
      <c r="D1843" s="4" t="n"/>
      <c r="E1843" s="4" t="n"/>
      <c r="F1843" s="4" t="n"/>
      <c r="G1843" s="5" t="n"/>
      <c r="H1843" s="5" t="n"/>
      <c r="I1843" s="5" t="n"/>
      <c r="J1843" s="5" t="n"/>
    </row>
    <row r="1844">
      <c r="A1844" t="n">
        <v>1841</v>
      </c>
      <c r="B1844" s="8" t="n"/>
      <c r="C1844" s="4" t="n"/>
      <c r="D1844" s="4" t="n"/>
      <c r="E1844" s="4" t="n"/>
      <c r="F1844" s="4" t="n"/>
      <c r="G1844" s="5" t="n"/>
      <c r="H1844" s="5" t="n"/>
      <c r="I1844" s="5" t="n"/>
      <c r="J1844" s="5" t="n"/>
    </row>
    <row r="1845">
      <c r="A1845" t="n">
        <v>1842</v>
      </c>
      <c r="B1845" s="8" t="n"/>
      <c r="C1845" s="4" t="n"/>
      <c r="D1845" s="4" t="n"/>
      <c r="E1845" s="4" t="n"/>
      <c r="F1845" s="4" t="n"/>
      <c r="G1845" s="5" t="n"/>
      <c r="H1845" s="5" t="n"/>
      <c r="I1845" s="5" t="n"/>
      <c r="J1845" s="5" t="n"/>
    </row>
    <row r="1846">
      <c r="A1846" t="n">
        <v>1843</v>
      </c>
      <c r="B1846" s="8" t="n"/>
      <c r="C1846" s="4" t="n"/>
      <c r="D1846" s="4" t="n"/>
      <c r="E1846" s="4" t="n"/>
      <c r="F1846" s="4" t="n"/>
      <c r="G1846" s="5" t="n"/>
      <c r="H1846" s="5" t="n"/>
      <c r="I1846" s="5" t="n"/>
      <c r="J1846" s="5" t="n"/>
    </row>
    <row r="1847">
      <c r="A1847" t="n">
        <v>1844</v>
      </c>
      <c r="B1847" s="8" t="n"/>
      <c r="C1847" s="4" t="n"/>
      <c r="D1847" s="4" t="n"/>
      <c r="E1847" s="4" t="n"/>
      <c r="F1847" s="4" t="n"/>
      <c r="G1847" s="5" t="n"/>
      <c r="H1847" s="5" t="n"/>
      <c r="I1847" s="5" t="n"/>
      <c r="J1847" s="5" t="n"/>
    </row>
    <row r="1848">
      <c r="A1848" t="n">
        <v>1845</v>
      </c>
      <c r="B1848" s="8" t="n"/>
      <c r="C1848" s="4" t="n"/>
      <c r="D1848" s="4" t="n"/>
      <c r="E1848" s="4" t="n"/>
      <c r="F1848" s="4" t="n"/>
      <c r="G1848" s="5" t="n"/>
      <c r="H1848" s="5" t="n"/>
      <c r="I1848" s="5" t="n"/>
      <c r="J1848" s="5" t="n"/>
    </row>
    <row r="1849">
      <c r="A1849" t="n">
        <v>1846</v>
      </c>
      <c r="B1849" s="8" t="n"/>
      <c r="C1849" s="4" t="n"/>
      <c r="D1849" s="4" t="n"/>
      <c r="E1849" s="4" t="n"/>
      <c r="F1849" s="4" t="n"/>
      <c r="G1849" s="5" t="n"/>
      <c r="H1849" s="5" t="n"/>
      <c r="I1849" s="5" t="n"/>
      <c r="J1849" s="5" t="n"/>
    </row>
    <row r="1850">
      <c r="A1850" t="n">
        <v>1847</v>
      </c>
      <c r="B1850" s="8" t="n"/>
      <c r="C1850" s="4" t="n"/>
      <c r="D1850" s="4" t="n"/>
      <c r="E1850" s="4" t="n"/>
      <c r="F1850" s="4" t="n"/>
      <c r="G1850" s="5" t="n"/>
      <c r="H1850" s="5" t="n"/>
      <c r="I1850" s="5" t="n"/>
      <c r="J1850" s="5" t="n"/>
    </row>
    <row r="1851">
      <c r="A1851" t="n">
        <v>1848</v>
      </c>
      <c r="B1851" s="8" t="n"/>
      <c r="C1851" s="4" t="n"/>
      <c r="D1851" s="4" t="n"/>
      <c r="E1851" s="4" t="n"/>
      <c r="F1851" s="4" t="n"/>
      <c r="G1851" s="5" t="n"/>
      <c r="H1851" s="5" t="n"/>
      <c r="I1851" s="5" t="n"/>
      <c r="J1851" s="5" t="n"/>
    </row>
    <row r="1852">
      <c r="A1852" t="n">
        <v>1849</v>
      </c>
      <c r="B1852" s="8" t="n"/>
      <c r="C1852" s="4" t="n"/>
      <c r="D1852" s="4" t="n"/>
      <c r="E1852" s="4" t="n"/>
      <c r="F1852" s="4" t="n"/>
      <c r="G1852" s="5" t="n"/>
      <c r="H1852" s="5" t="n"/>
      <c r="I1852" s="5" t="n"/>
      <c r="J1852" s="5" t="n"/>
    </row>
    <row r="1853">
      <c r="A1853" t="n">
        <v>1850</v>
      </c>
      <c r="B1853" s="8" t="n"/>
      <c r="C1853" s="4" t="n"/>
      <c r="D1853" s="4" t="n"/>
      <c r="E1853" s="4" t="n"/>
      <c r="F1853" s="4" t="n"/>
      <c r="G1853" s="5" t="n"/>
      <c r="H1853" s="5" t="n"/>
      <c r="I1853" s="5" t="n"/>
      <c r="J1853" s="5" t="n"/>
    </row>
    <row r="1854">
      <c r="A1854" t="n">
        <v>1851</v>
      </c>
      <c r="B1854" s="8" t="n"/>
      <c r="C1854" s="4" t="n"/>
      <c r="D1854" s="4" t="n"/>
      <c r="E1854" s="4" t="n"/>
      <c r="F1854" s="4" t="n"/>
      <c r="G1854" s="5" t="n"/>
      <c r="H1854" s="5" t="n"/>
      <c r="I1854" s="5" t="n"/>
      <c r="J1854" s="5" t="n"/>
    </row>
    <row r="1855">
      <c r="A1855" t="n">
        <v>1852</v>
      </c>
      <c r="B1855" s="8" t="n"/>
      <c r="C1855" s="4" t="n"/>
      <c r="D1855" s="4" t="n"/>
      <c r="E1855" s="4" t="n"/>
      <c r="F1855" s="4" t="n"/>
      <c r="G1855" s="5" t="n"/>
      <c r="H1855" s="5" t="n"/>
      <c r="I1855" s="5" t="n"/>
      <c r="J1855" s="5" t="n"/>
    </row>
    <row r="1856">
      <c r="A1856" t="n">
        <v>1853</v>
      </c>
      <c r="B1856" s="8" t="n"/>
      <c r="C1856" s="4" t="n"/>
      <c r="D1856" s="4" t="n"/>
      <c r="E1856" s="4" t="n"/>
      <c r="F1856" s="4" t="n"/>
      <c r="G1856" s="5" t="n"/>
      <c r="H1856" s="5" t="n"/>
      <c r="I1856" s="5" t="n"/>
      <c r="J1856" s="5" t="n"/>
    </row>
    <row r="1857">
      <c r="A1857" t="n">
        <v>1854</v>
      </c>
      <c r="B1857" s="8" t="n"/>
      <c r="C1857" s="4" t="n"/>
      <c r="D1857" s="4" t="n"/>
      <c r="E1857" s="4" t="n"/>
      <c r="F1857" s="4" t="n"/>
      <c r="G1857" s="5" t="n"/>
      <c r="H1857" s="5" t="n"/>
      <c r="I1857" s="5" t="n"/>
      <c r="J1857" s="5" t="n"/>
    </row>
    <row r="1858">
      <c r="A1858" t="n">
        <v>1855</v>
      </c>
      <c r="B1858" s="8" t="n"/>
      <c r="C1858" s="4" t="n"/>
      <c r="D1858" s="4" t="n"/>
      <c r="E1858" s="4" t="n"/>
      <c r="F1858" s="4" t="n"/>
      <c r="G1858" s="5" t="n"/>
      <c r="H1858" s="5" t="n"/>
      <c r="I1858" s="5" t="n"/>
      <c r="J1858" s="5" t="n"/>
    </row>
    <row r="1859">
      <c r="A1859" t="n">
        <v>1856</v>
      </c>
      <c r="B1859" s="8" t="n"/>
      <c r="C1859" s="4" t="n"/>
      <c r="D1859" s="4" t="n"/>
      <c r="E1859" s="4" t="n"/>
      <c r="F1859" s="4" t="n"/>
      <c r="G1859" s="5" t="n"/>
      <c r="H1859" s="5" t="n"/>
      <c r="I1859" s="5" t="n"/>
      <c r="J1859" s="5" t="n"/>
    </row>
    <row r="1860">
      <c r="A1860" t="n">
        <v>1857</v>
      </c>
      <c r="B1860" s="8" t="n"/>
      <c r="C1860" s="4" t="n"/>
      <c r="D1860" s="4" t="n"/>
      <c r="E1860" s="4" t="n"/>
      <c r="F1860" s="4" t="n"/>
      <c r="G1860" s="5" t="n"/>
      <c r="H1860" s="5" t="n"/>
      <c r="I1860" s="5" t="n"/>
      <c r="J1860" s="5" t="n"/>
    </row>
    <row r="1861">
      <c r="A1861" t="n">
        <v>1858</v>
      </c>
      <c r="B1861" s="8" t="n"/>
      <c r="C1861" s="4" t="n"/>
      <c r="D1861" s="4" t="n"/>
      <c r="E1861" s="4" t="n"/>
      <c r="F1861" s="4" t="n"/>
      <c r="G1861" s="5" t="n"/>
      <c r="H1861" s="5" t="n"/>
      <c r="I1861" s="5" t="n"/>
      <c r="J1861" s="5" t="n"/>
    </row>
    <row r="1862">
      <c r="A1862" t="n">
        <v>1859</v>
      </c>
      <c r="B1862" s="8" t="n"/>
      <c r="C1862" s="4" t="n"/>
      <c r="D1862" s="4" t="n"/>
      <c r="E1862" s="4" t="n"/>
      <c r="F1862" s="4" t="n"/>
      <c r="G1862" s="5" t="n"/>
      <c r="H1862" s="5" t="n"/>
      <c r="I1862" s="5" t="n"/>
      <c r="J1862" s="5" t="n"/>
    </row>
    <row r="1863">
      <c r="A1863" t="n">
        <v>1860</v>
      </c>
      <c r="B1863" s="8" t="n"/>
      <c r="C1863" s="4" t="n"/>
      <c r="D1863" s="4" t="n"/>
      <c r="E1863" s="4" t="n"/>
      <c r="F1863" s="4" t="n"/>
      <c r="G1863" s="5" t="n"/>
      <c r="H1863" s="5" t="n"/>
      <c r="I1863" s="5" t="n"/>
      <c r="J1863" s="5" t="n"/>
    </row>
    <row r="1864">
      <c r="A1864" t="n">
        <v>1861</v>
      </c>
      <c r="B1864" s="8" t="n"/>
      <c r="C1864" s="4" t="n"/>
      <c r="D1864" s="4" t="n"/>
      <c r="E1864" s="4" t="n"/>
      <c r="F1864" s="4" t="n"/>
      <c r="G1864" s="5" t="n"/>
      <c r="H1864" s="5" t="n"/>
      <c r="I1864" s="5" t="n"/>
      <c r="J1864" s="5" t="n"/>
    </row>
    <row r="1865">
      <c r="A1865" t="n">
        <v>1862</v>
      </c>
      <c r="B1865" s="8" t="n"/>
      <c r="C1865" s="4" t="n"/>
      <c r="D1865" s="4" t="n"/>
      <c r="E1865" s="4" t="n"/>
      <c r="F1865" s="4" t="n"/>
      <c r="G1865" s="5" t="n"/>
      <c r="H1865" s="5" t="n"/>
      <c r="I1865" s="5" t="n"/>
      <c r="J1865" s="5" t="n"/>
    </row>
    <row r="1866">
      <c r="A1866" t="n">
        <v>1863</v>
      </c>
      <c r="B1866" s="8" t="n"/>
      <c r="C1866" s="4" t="n"/>
      <c r="D1866" s="4" t="n"/>
      <c r="E1866" s="4" t="n"/>
      <c r="F1866" s="4" t="n"/>
      <c r="G1866" s="5" t="n"/>
      <c r="H1866" s="5" t="n"/>
      <c r="I1866" s="5" t="n"/>
      <c r="J1866" s="5" t="n"/>
    </row>
    <row r="1867">
      <c r="A1867" t="n">
        <v>1864</v>
      </c>
      <c r="B1867" s="8" t="n"/>
      <c r="C1867" s="4" t="n"/>
      <c r="D1867" s="4" t="n"/>
      <c r="E1867" s="4" t="n"/>
      <c r="F1867" s="4" t="n"/>
      <c r="G1867" s="5" t="n"/>
      <c r="H1867" s="5" t="n"/>
      <c r="I1867" s="5" t="n"/>
      <c r="J1867" s="5" t="n"/>
    </row>
    <row r="1868">
      <c r="A1868" t="n">
        <v>1865</v>
      </c>
      <c r="B1868" s="8" t="n"/>
      <c r="C1868" s="4" t="n"/>
      <c r="D1868" s="4" t="n"/>
      <c r="E1868" s="4" t="n"/>
      <c r="F1868" s="4" t="n"/>
      <c r="G1868" s="5" t="n"/>
      <c r="H1868" s="5" t="n"/>
      <c r="I1868" s="5" t="n"/>
      <c r="J1868" s="5" t="n"/>
    </row>
    <row r="1869">
      <c r="A1869" t="n">
        <v>1866</v>
      </c>
      <c r="B1869" s="8" t="n"/>
      <c r="C1869" s="4" t="n"/>
      <c r="D1869" s="4" t="n"/>
      <c r="E1869" s="4" t="n"/>
      <c r="F1869" s="4" t="n"/>
      <c r="G1869" s="5" t="n"/>
      <c r="H1869" s="5" t="n"/>
      <c r="I1869" s="5" t="n"/>
      <c r="J1869" s="5" t="n"/>
    </row>
    <row r="1870">
      <c r="A1870" t="n">
        <v>1867</v>
      </c>
      <c r="B1870" s="8" t="n"/>
      <c r="C1870" s="4" t="n"/>
      <c r="D1870" s="4" t="n"/>
      <c r="E1870" s="4" t="n"/>
      <c r="F1870" s="4" t="n"/>
      <c r="G1870" s="5" t="n"/>
      <c r="H1870" s="5" t="n"/>
      <c r="I1870" s="5" t="n"/>
      <c r="J1870" s="5" t="n"/>
    </row>
    <row r="1871">
      <c r="A1871" t="n">
        <v>1868</v>
      </c>
      <c r="B1871" s="8" t="n"/>
      <c r="C1871" s="4" t="n"/>
      <c r="D1871" s="4" t="n"/>
      <c r="E1871" s="4" t="n"/>
      <c r="F1871" s="4" t="n"/>
      <c r="G1871" s="5" t="n"/>
      <c r="H1871" s="5" t="n"/>
      <c r="I1871" s="5" t="n"/>
      <c r="J1871" s="5" t="n"/>
    </row>
    <row r="1872">
      <c r="A1872" t="n">
        <v>1869</v>
      </c>
      <c r="B1872" s="8" t="n"/>
      <c r="C1872" s="4" t="n"/>
      <c r="D1872" s="4" t="n"/>
      <c r="E1872" s="4" t="n"/>
      <c r="F1872" s="4" t="n"/>
      <c r="G1872" s="5" t="n"/>
      <c r="H1872" s="5" t="n"/>
      <c r="I1872" s="5" t="n"/>
      <c r="J1872" s="5" t="n"/>
    </row>
    <row r="1873">
      <c r="A1873" t="n">
        <v>1870</v>
      </c>
      <c r="B1873" s="8" t="n"/>
      <c r="C1873" s="4" t="n"/>
      <c r="D1873" s="4" t="n"/>
      <c r="E1873" s="4" t="n"/>
      <c r="F1873" s="4" t="n"/>
      <c r="G1873" s="5" t="n"/>
      <c r="H1873" s="5" t="n"/>
      <c r="I1873" s="5" t="n"/>
      <c r="J1873" s="5" t="n"/>
    </row>
    <row r="1874">
      <c r="A1874" t="n">
        <v>1871</v>
      </c>
      <c r="B1874" s="8" t="n"/>
      <c r="C1874" s="4" t="n"/>
      <c r="D1874" s="4" t="n"/>
      <c r="E1874" s="4" t="n"/>
      <c r="F1874" s="4" t="n"/>
      <c r="G1874" s="5" t="n"/>
      <c r="H1874" s="5" t="n"/>
      <c r="I1874" s="5" t="n"/>
      <c r="J1874" s="5" t="n"/>
    </row>
    <row r="1875">
      <c r="A1875" t="n">
        <v>1872</v>
      </c>
      <c r="B1875" s="8" t="n"/>
      <c r="C1875" s="4" t="n"/>
      <c r="D1875" s="4" t="n"/>
      <c r="E1875" s="4" t="n"/>
      <c r="F1875" s="4" t="n"/>
      <c r="G1875" s="5" t="n"/>
      <c r="H1875" s="5" t="n"/>
      <c r="I1875" s="5" t="n"/>
      <c r="J1875" s="5" t="n"/>
    </row>
    <row r="1876">
      <c r="A1876" t="n">
        <v>1873</v>
      </c>
      <c r="B1876" s="8" t="n"/>
      <c r="C1876" s="4" t="n"/>
      <c r="D1876" s="4" t="n"/>
      <c r="E1876" s="4" t="n"/>
      <c r="F1876" s="4" t="n"/>
      <c r="G1876" s="5" t="n"/>
      <c r="H1876" s="5" t="n"/>
      <c r="I1876" s="5" t="n"/>
      <c r="J1876" s="5" t="n"/>
    </row>
    <row r="1877">
      <c r="A1877" t="n">
        <v>1874</v>
      </c>
      <c r="B1877" s="8" t="n"/>
      <c r="C1877" s="4" t="n"/>
      <c r="D1877" s="4" t="n"/>
      <c r="E1877" s="4" t="n"/>
      <c r="F1877" s="4" t="n"/>
      <c r="G1877" s="5" t="n"/>
      <c r="H1877" s="5" t="n"/>
      <c r="I1877" s="5" t="n"/>
      <c r="J1877" s="5" t="n"/>
    </row>
    <row r="1878">
      <c r="A1878" t="n">
        <v>1875</v>
      </c>
      <c r="B1878" s="8" t="n"/>
      <c r="C1878" s="4" t="n"/>
      <c r="D1878" s="4" t="n"/>
      <c r="E1878" s="4" t="n"/>
      <c r="F1878" s="4" t="n"/>
      <c r="G1878" s="5" t="n"/>
      <c r="H1878" s="5" t="n"/>
      <c r="I1878" s="5" t="n"/>
      <c r="J1878" s="5" t="n"/>
    </row>
    <row r="1879">
      <c r="A1879" t="n">
        <v>1876</v>
      </c>
      <c r="B1879" s="8" t="n"/>
      <c r="C1879" s="4" t="n"/>
      <c r="D1879" s="4" t="n"/>
      <c r="E1879" s="4" t="n"/>
      <c r="F1879" s="4" t="n"/>
      <c r="G1879" s="5" t="n"/>
      <c r="H1879" s="5" t="n"/>
      <c r="I1879" s="5" t="n"/>
      <c r="J1879" s="5" t="n"/>
    </row>
    <row r="1880">
      <c r="A1880" t="n">
        <v>1877</v>
      </c>
      <c r="B1880" s="8" t="n"/>
      <c r="C1880" s="4" t="n"/>
      <c r="D1880" s="4" t="n"/>
      <c r="E1880" s="4" t="n"/>
      <c r="F1880" s="4" t="n"/>
      <c r="G1880" s="5" t="n"/>
      <c r="H1880" s="5" t="n"/>
      <c r="I1880" s="5" t="n"/>
      <c r="J1880" s="5" t="n"/>
    </row>
    <row r="1881">
      <c r="A1881" t="n">
        <v>1878</v>
      </c>
      <c r="B1881" s="8" t="n"/>
      <c r="C1881" s="4" t="n"/>
      <c r="D1881" s="4" t="n"/>
      <c r="E1881" s="4" t="n"/>
      <c r="F1881" s="4" t="n"/>
      <c r="G1881" s="5" t="n"/>
      <c r="H1881" s="5" t="n"/>
      <c r="I1881" s="5" t="n"/>
      <c r="J1881" s="5" t="n"/>
    </row>
    <row r="1882">
      <c r="A1882" t="n">
        <v>1879</v>
      </c>
      <c r="B1882" s="8" t="n"/>
      <c r="C1882" s="4" t="n"/>
      <c r="D1882" s="4" t="n"/>
      <c r="E1882" s="4" t="n"/>
      <c r="F1882" s="4" t="n"/>
      <c r="G1882" s="5" t="n"/>
      <c r="H1882" s="5" t="n"/>
      <c r="I1882" s="5" t="n"/>
      <c r="J1882" s="5" t="n"/>
    </row>
    <row r="1883">
      <c r="A1883" t="n">
        <v>1880</v>
      </c>
      <c r="B1883" s="8" t="n"/>
      <c r="C1883" s="4" t="n"/>
      <c r="D1883" s="4" t="n"/>
      <c r="E1883" s="4" t="n"/>
      <c r="F1883" s="4" t="n"/>
      <c r="G1883" s="5" t="n"/>
      <c r="H1883" s="5" t="n"/>
      <c r="I1883" s="5" t="n"/>
      <c r="J1883" s="5" t="n"/>
    </row>
    <row r="1884">
      <c r="A1884" t="n">
        <v>1881</v>
      </c>
      <c r="B1884" s="8" t="n"/>
      <c r="C1884" s="4" t="n"/>
      <c r="D1884" s="4" t="n"/>
      <c r="E1884" s="4" t="n"/>
      <c r="F1884" s="4" t="n"/>
      <c r="G1884" s="5" t="n"/>
      <c r="H1884" s="5" t="n"/>
      <c r="I1884" s="5" t="n"/>
      <c r="J1884" s="5" t="n"/>
    </row>
    <row r="1885">
      <c r="A1885" t="n">
        <v>1882</v>
      </c>
      <c r="B1885" s="8" t="n"/>
      <c r="C1885" s="4" t="n"/>
      <c r="D1885" s="4" t="n"/>
      <c r="E1885" s="4" t="n"/>
      <c r="F1885" s="4" t="n"/>
      <c r="G1885" s="5" t="n"/>
      <c r="H1885" s="5" t="n"/>
      <c r="I1885" s="5" t="n"/>
      <c r="J1885" s="5" t="n"/>
    </row>
    <row r="1886">
      <c r="A1886" t="n">
        <v>1883</v>
      </c>
      <c r="B1886" s="8" t="n"/>
      <c r="C1886" s="4" t="n"/>
      <c r="D1886" s="4" t="n"/>
      <c r="E1886" s="4" t="n"/>
      <c r="F1886" s="4" t="n"/>
      <c r="G1886" s="5" t="n"/>
      <c r="H1886" s="5" t="n"/>
      <c r="I1886" s="5" t="n"/>
      <c r="J1886" s="5" t="n"/>
    </row>
    <row r="1887">
      <c r="A1887" t="n">
        <v>1884</v>
      </c>
      <c r="B1887" s="8" t="n"/>
      <c r="C1887" s="4" t="n"/>
      <c r="D1887" s="4" t="n"/>
      <c r="E1887" s="4" t="n"/>
      <c r="F1887" s="4" t="n"/>
      <c r="G1887" s="5" t="n"/>
      <c r="H1887" s="5" t="n"/>
      <c r="I1887" s="5" t="n"/>
      <c r="J1887" s="5" t="n"/>
    </row>
    <row r="1888">
      <c r="A1888" t="n">
        <v>1885</v>
      </c>
      <c r="B1888" s="8" t="n"/>
      <c r="C1888" s="4" t="n"/>
      <c r="D1888" s="4" t="n"/>
      <c r="E1888" s="4" t="n"/>
      <c r="F1888" s="4" t="n"/>
      <c r="G1888" s="5" t="n"/>
      <c r="H1888" s="5" t="n"/>
      <c r="I1888" s="5" t="n"/>
      <c r="J1888" s="5" t="n"/>
    </row>
    <row r="1889">
      <c r="A1889" t="n">
        <v>1886</v>
      </c>
      <c r="B1889" s="8" t="n"/>
      <c r="C1889" s="4" t="n"/>
      <c r="D1889" s="4" t="n"/>
      <c r="E1889" s="4" t="n"/>
      <c r="F1889" s="4" t="n"/>
      <c r="G1889" s="5" t="n"/>
      <c r="H1889" s="5" t="n"/>
      <c r="I1889" s="5" t="n"/>
      <c r="J1889" s="5" t="n"/>
    </row>
    <row r="1890">
      <c r="A1890" t="n">
        <v>1887</v>
      </c>
      <c r="B1890" s="8" t="n"/>
      <c r="C1890" s="4" t="n"/>
      <c r="D1890" s="4" t="n"/>
      <c r="E1890" s="4" t="n"/>
      <c r="F1890" s="4" t="n"/>
      <c r="G1890" s="5" t="n"/>
      <c r="H1890" s="5" t="n"/>
      <c r="I1890" s="5" t="n"/>
      <c r="J1890" s="5" t="n"/>
    </row>
    <row r="1891">
      <c r="A1891" t="n">
        <v>1888</v>
      </c>
      <c r="B1891" s="8" t="n"/>
      <c r="C1891" s="4" t="n"/>
      <c r="D1891" s="4" t="n"/>
      <c r="E1891" s="4" t="n"/>
      <c r="F1891" s="4" t="n"/>
      <c r="G1891" s="5" t="n"/>
      <c r="H1891" s="5" t="n"/>
      <c r="I1891" s="5" t="n"/>
      <c r="J1891" s="5" t="n"/>
    </row>
    <row r="1892">
      <c r="A1892" t="n">
        <v>1889</v>
      </c>
      <c r="B1892" s="8" t="n"/>
      <c r="C1892" s="4" t="n"/>
      <c r="D1892" s="4" t="n"/>
      <c r="E1892" s="4" t="n"/>
      <c r="F1892" s="4" t="n"/>
      <c r="G1892" s="5" t="n"/>
      <c r="H1892" s="5" t="n"/>
      <c r="I1892" s="5" t="n"/>
      <c r="J1892" s="5" t="n"/>
    </row>
    <row r="1893">
      <c r="A1893" t="n">
        <v>1890</v>
      </c>
      <c r="B1893" s="8" t="n"/>
      <c r="C1893" s="4" t="n"/>
      <c r="D1893" s="4" t="n"/>
      <c r="E1893" s="4" t="n"/>
      <c r="F1893" s="4" t="n"/>
      <c r="G1893" s="5" t="n"/>
      <c r="H1893" s="5" t="n"/>
      <c r="I1893" s="5" t="n"/>
      <c r="J1893" s="5" t="n"/>
    </row>
    <row r="1894">
      <c r="A1894" t="n">
        <v>1891</v>
      </c>
      <c r="B1894" s="8" t="n"/>
      <c r="C1894" s="4" t="n"/>
      <c r="D1894" s="4" t="n"/>
      <c r="E1894" s="4" t="n"/>
      <c r="F1894" s="4" t="n"/>
      <c r="G1894" s="5" t="n"/>
      <c r="H1894" s="5" t="n"/>
      <c r="I1894" s="5" t="n"/>
      <c r="J1894" s="5" t="n"/>
    </row>
    <row r="1895">
      <c r="A1895" t="n">
        <v>1892</v>
      </c>
      <c r="B1895" s="8" t="n"/>
      <c r="C1895" s="4" t="n"/>
      <c r="D1895" s="4" t="n"/>
      <c r="E1895" s="4" t="n"/>
      <c r="F1895" s="4" t="n"/>
      <c r="G1895" s="5" t="n"/>
      <c r="H1895" s="5" t="n"/>
      <c r="I1895" s="5" t="n"/>
      <c r="J1895" s="5" t="n"/>
    </row>
    <row r="1896">
      <c r="A1896" t="n">
        <v>1893</v>
      </c>
      <c r="B1896" s="8" t="n"/>
      <c r="C1896" s="4" t="n"/>
      <c r="D1896" s="4" t="n"/>
      <c r="E1896" s="4" t="n"/>
      <c r="F1896" s="4" t="n"/>
      <c r="G1896" s="5" t="n"/>
      <c r="H1896" s="5" t="n"/>
      <c r="I1896" s="5" t="n"/>
      <c r="J1896" s="5" t="n"/>
    </row>
    <row r="1897">
      <c r="A1897" t="n">
        <v>1894</v>
      </c>
      <c r="B1897" s="8" t="n"/>
      <c r="C1897" s="4" t="n"/>
      <c r="D1897" s="4" t="n"/>
      <c r="E1897" s="4" t="n"/>
      <c r="F1897" s="4" t="n"/>
      <c r="G1897" s="5" t="n"/>
      <c r="H1897" s="5" t="n"/>
      <c r="I1897" s="5" t="n"/>
      <c r="J1897" s="5" t="n"/>
    </row>
    <row r="1898">
      <c r="A1898" t="n">
        <v>1895</v>
      </c>
      <c r="B1898" s="8" t="n"/>
      <c r="C1898" s="4" t="n"/>
      <c r="D1898" s="4" t="n"/>
      <c r="E1898" s="4" t="n"/>
      <c r="F1898" s="4" t="n"/>
      <c r="G1898" s="5" t="n"/>
      <c r="H1898" s="5" t="n"/>
      <c r="I1898" s="5" t="n"/>
      <c r="J1898" s="5" t="n"/>
    </row>
    <row r="1899">
      <c r="A1899" t="n">
        <v>1896</v>
      </c>
      <c r="B1899" s="8" t="n"/>
      <c r="C1899" s="4" t="n"/>
      <c r="D1899" s="4" t="n"/>
      <c r="E1899" s="4" t="n"/>
      <c r="F1899" s="4" t="n"/>
      <c r="G1899" s="5" t="n"/>
      <c r="H1899" s="5" t="n"/>
      <c r="I1899" s="5" t="n"/>
      <c r="J1899" s="5" t="n"/>
    </row>
    <row r="1900">
      <c r="A1900" t="n">
        <v>1897</v>
      </c>
      <c r="B1900" s="8" t="n"/>
      <c r="C1900" s="4" t="n"/>
      <c r="D1900" s="4" t="n"/>
      <c r="E1900" s="4" t="n"/>
      <c r="F1900" s="4" t="n"/>
      <c r="G1900" s="5" t="n"/>
      <c r="H1900" s="5" t="n"/>
      <c r="I1900" s="5" t="n"/>
      <c r="J1900" s="5" t="n"/>
    </row>
    <row r="1901">
      <c r="A1901" t="n">
        <v>1898</v>
      </c>
      <c r="B1901" s="8" t="n"/>
      <c r="C1901" s="4" t="n"/>
      <c r="D1901" s="4" t="n"/>
      <c r="E1901" s="4" t="n"/>
      <c r="F1901" s="4" t="n"/>
      <c r="G1901" s="5" t="n"/>
      <c r="H1901" s="5" t="n"/>
      <c r="I1901" s="5" t="n"/>
      <c r="J1901" s="5" t="n"/>
    </row>
    <row r="1902">
      <c r="A1902" t="n">
        <v>1899</v>
      </c>
      <c r="B1902" s="8" t="n"/>
      <c r="C1902" s="4" t="n"/>
      <c r="D1902" s="4" t="n"/>
      <c r="E1902" s="4" t="n"/>
      <c r="F1902" s="4" t="n"/>
      <c r="G1902" s="5" t="n"/>
      <c r="H1902" s="5" t="n"/>
      <c r="I1902" s="5" t="n"/>
      <c r="J1902" s="5" t="n"/>
    </row>
    <row r="1903">
      <c r="A1903" t="n">
        <v>1900</v>
      </c>
      <c r="B1903" s="8" t="n"/>
      <c r="C1903" s="4" t="n"/>
      <c r="D1903" s="4" t="n"/>
      <c r="E1903" s="4" t="n"/>
      <c r="F1903" s="4" t="n"/>
      <c r="G1903" s="5" t="n"/>
      <c r="H1903" s="5" t="n"/>
      <c r="I1903" s="5" t="n"/>
      <c r="J1903" s="5" t="n"/>
    </row>
    <row r="1904">
      <c r="A1904" t="n">
        <v>1901</v>
      </c>
      <c r="B1904" s="8" t="n"/>
      <c r="C1904" s="4" t="n"/>
      <c r="D1904" s="4" t="n"/>
      <c r="E1904" s="4" t="n"/>
      <c r="F1904" s="4" t="n"/>
      <c r="G1904" s="5" t="n"/>
      <c r="H1904" s="5" t="n"/>
      <c r="I1904" s="5" t="n"/>
      <c r="J1904" s="5" t="n"/>
    </row>
    <row r="1905">
      <c r="A1905" t="n">
        <v>1902</v>
      </c>
      <c r="B1905" s="8" t="n"/>
      <c r="C1905" s="4" t="n"/>
      <c r="D1905" s="4" t="n"/>
      <c r="E1905" s="4" t="n"/>
      <c r="F1905" s="4" t="n"/>
      <c r="G1905" s="5" t="n"/>
      <c r="H1905" s="5" t="n"/>
      <c r="I1905" s="5" t="n"/>
      <c r="J1905" s="5" t="n"/>
    </row>
    <row r="1906">
      <c r="A1906" t="n">
        <v>1903</v>
      </c>
      <c r="B1906" s="8" t="n"/>
      <c r="C1906" s="4" t="n"/>
      <c r="D1906" s="4" t="n"/>
      <c r="E1906" s="4" t="n"/>
      <c r="F1906" s="4" t="n"/>
      <c r="G1906" s="5" t="n"/>
      <c r="H1906" s="5" t="n"/>
      <c r="I1906" s="5" t="n"/>
      <c r="J1906" s="5" t="n"/>
    </row>
    <row r="1907">
      <c r="A1907" t="n">
        <v>1904</v>
      </c>
      <c r="B1907" s="8" t="n"/>
      <c r="C1907" s="4" t="n"/>
      <c r="D1907" s="4" t="n"/>
      <c r="E1907" s="4" t="n"/>
      <c r="F1907" s="4" t="n"/>
      <c r="G1907" s="5" t="n"/>
      <c r="H1907" s="5" t="n"/>
      <c r="I1907" s="5" t="n"/>
      <c r="J1907" s="5" t="n"/>
    </row>
    <row r="1908">
      <c r="A1908" t="n">
        <v>1905</v>
      </c>
      <c r="B1908" s="8" t="n"/>
      <c r="C1908" s="4" t="n"/>
      <c r="D1908" s="4" t="n"/>
      <c r="E1908" s="4" t="n"/>
      <c r="F1908" s="4" t="n"/>
      <c r="G1908" s="5" t="n"/>
      <c r="H1908" s="5" t="n"/>
      <c r="I1908" s="5" t="n"/>
      <c r="J1908" s="5" t="n"/>
    </row>
    <row r="1909">
      <c r="A1909" t="n">
        <v>1906</v>
      </c>
      <c r="B1909" s="8" t="n"/>
      <c r="C1909" s="4" t="n"/>
      <c r="D1909" s="4" t="n"/>
      <c r="E1909" s="4" t="n"/>
      <c r="F1909" s="4" t="n"/>
      <c r="G1909" s="5" t="n"/>
      <c r="H1909" s="5" t="n"/>
      <c r="I1909" s="5" t="n"/>
      <c r="J1909" s="5" t="n"/>
    </row>
    <row r="1910">
      <c r="A1910" t="n">
        <v>1907</v>
      </c>
      <c r="B1910" s="8" t="n"/>
      <c r="C1910" s="4" t="n"/>
      <c r="D1910" s="4" t="n"/>
      <c r="E1910" s="4" t="n"/>
      <c r="F1910" s="4" t="n"/>
      <c r="G1910" s="5" t="n"/>
      <c r="H1910" s="5" t="n"/>
      <c r="I1910" s="5" t="n"/>
      <c r="J1910" s="5" t="n"/>
    </row>
    <row r="1911">
      <c r="A1911" t="n">
        <v>1908</v>
      </c>
      <c r="B1911" s="8" t="n"/>
      <c r="C1911" s="4" t="n"/>
      <c r="D1911" s="4" t="n"/>
      <c r="E1911" s="4" t="n"/>
      <c r="F1911" s="4" t="n"/>
      <c r="G1911" s="5" t="n"/>
      <c r="H1911" s="5" t="n"/>
      <c r="I1911" s="5" t="n"/>
      <c r="J1911" s="5" t="n"/>
    </row>
    <row r="1912">
      <c r="A1912" t="n">
        <v>1909</v>
      </c>
      <c r="B1912" s="8" t="n"/>
      <c r="C1912" s="4" t="n"/>
      <c r="D1912" s="4" t="n"/>
      <c r="E1912" s="4" t="n"/>
      <c r="F1912" s="4" t="n"/>
      <c r="G1912" s="5" t="n"/>
      <c r="H1912" s="5" t="n"/>
      <c r="I1912" s="5" t="n"/>
      <c r="J1912" s="5" t="n"/>
    </row>
    <row r="1913">
      <c r="A1913" t="n">
        <v>1910</v>
      </c>
      <c r="B1913" s="8" t="n"/>
      <c r="C1913" s="4" t="n"/>
      <c r="D1913" s="4" t="n"/>
      <c r="E1913" s="4" t="n"/>
      <c r="F1913" s="4" t="n"/>
      <c r="G1913" s="5" t="n"/>
      <c r="H1913" s="5" t="n"/>
      <c r="I1913" s="5" t="n"/>
      <c r="J1913" s="5" t="n"/>
    </row>
    <row r="1914">
      <c r="A1914" t="n">
        <v>1911</v>
      </c>
      <c r="B1914" s="8" t="n"/>
      <c r="C1914" s="4" t="n"/>
      <c r="D1914" s="4" t="n"/>
      <c r="E1914" s="4" t="n"/>
      <c r="F1914" s="4" t="n"/>
      <c r="G1914" s="5" t="n"/>
      <c r="H1914" s="5" t="n"/>
      <c r="I1914" s="5" t="n"/>
      <c r="J1914" s="5" t="n"/>
    </row>
    <row r="1915">
      <c r="A1915" t="n">
        <v>1912</v>
      </c>
      <c r="B1915" s="8" t="n"/>
      <c r="C1915" s="4" t="n"/>
      <c r="D1915" s="4" t="n"/>
      <c r="E1915" s="4" t="n"/>
      <c r="F1915" s="4" t="n"/>
      <c r="G1915" s="5" t="n"/>
      <c r="H1915" s="5" t="n"/>
      <c r="I1915" s="5" t="n"/>
      <c r="J1915" s="5" t="n"/>
    </row>
    <row r="1916">
      <c r="A1916" t="n">
        <v>1913</v>
      </c>
      <c r="B1916" s="8" t="n"/>
      <c r="C1916" s="4" t="n"/>
      <c r="D1916" s="4" t="n"/>
      <c r="E1916" s="4" t="n"/>
      <c r="F1916" s="4" t="n"/>
      <c r="G1916" s="5" t="n"/>
      <c r="H1916" s="5" t="n"/>
      <c r="I1916" s="5" t="n"/>
      <c r="J1916" s="5" t="n"/>
    </row>
    <row r="1917">
      <c r="A1917" t="n">
        <v>1914</v>
      </c>
      <c r="B1917" s="8" t="n"/>
      <c r="C1917" s="4" t="n"/>
      <c r="D1917" s="4" t="n"/>
      <c r="E1917" s="4" t="n"/>
      <c r="F1917" s="4" t="n"/>
      <c r="G1917" s="5" t="n"/>
      <c r="H1917" s="5" t="n"/>
      <c r="I1917" s="5" t="n"/>
      <c r="J1917" s="5" t="n"/>
    </row>
    <row r="1918">
      <c r="A1918" t="n">
        <v>1915</v>
      </c>
      <c r="B1918" s="8" t="n"/>
      <c r="C1918" s="4" t="n"/>
      <c r="D1918" s="4" t="n"/>
      <c r="E1918" s="4" t="n"/>
      <c r="F1918" s="4" t="n"/>
      <c r="G1918" s="5" t="n"/>
      <c r="H1918" s="5" t="n"/>
      <c r="I1918" s="5" t="n"/>
      <c r="J1918" s="5" t="n"/>
    </row>
    <row r="1919">
      <c r="A1919" t="n">
        <v>1916</v>
      </c>
      <c r="B1919" s="8" t="n"/>
      <c r="C1919" s="4" t="n"/>
      <c r="D1919" s="4" t="n"/>
      <c r="E1919" s="4" t="n"/>
      <c r="F1919" s="4" t="n"/>
      <c r="G1919" s="5" t="n"/>
      <c r="H1919" s="5" t="n"/>
      <c r="I1919" s="5" t="n"/>
      <c r="J1919" s="5" t="n"/>
    </row>
    <row r="1920">
      <c r="A1920" t="n">
        <v>1917</v>
      </c>
      <c r="B1920" s="8" t="n"/>
      <c r="C1920" s="4" t="n"/>
      <c r="D1920" s="4" t="n"/>
      <c r="E1920" s="4" t="n"/>
      <c r="F1920" s="4" t="n"/>
      <c r="G1920" s="5" t="n"/>
      <c r="H1920" s="5" t="n"/>
      <c r="I1920" s="5" t="n"/>
      <c r="J1920" s="5" t="n"/>
    </row>
    <row r="1921">
      <c r="A1921" t="n">
        <v>1918</v>
      </c>
      <c r="B1921" s="8" t="n"/>
      <c r="C1921" s="4" t="n"/>
      <c r="D1921" s="4" t="n"/>
      <c r="E1921" s="4" t="n"/>
      <c r="F1921" s="4" t="n"/>
      <c r="G1921" s="5" t="n"/>
      <c r="H1921" s="5" t="n"/>
      <c r="I1921" s="5" t="n"/>
      <c r="J1921" s="5" t="n"/>
    </row>
    <row r="1922">
      <c r="A1922" t="n">
        <v>1919</v>
      </c>
      <c r="B1922" s="8" t="n"/>
      <c r="C1922" s="4" t="n"/>
      <c r="D1922" s="4" t="n"/>
      <c r="E1922" s="4" t="n"/>
      <c r="F1922" s="4" t="n"/>
      <c r="G1922" s="5" t="n"/>
      <c r="H1922" s="5" t="n"/>
      <c r="I1922" s="5" t="n"/>
      <c r="J1922" s="5" t="n"/>
    </row>
    <row r="1923">
      <c r="A1923" t="n">
        <v>1920</v>
      </c>
      <c r="B1923" s="8" t="n"/>
      <c r="C1923" s="4" t="n"/>
      <c r="D1923" s="4" t="n"/>
      <c r="E1923" s="4" t="n"/>
      <c r="F1923" s="4" t="n"/>
      <c r="G1923" s="5" t="n"/>
      <c r="H1923" s="5" t="n"/>
      <c r="I1923" s="5" t="n"/>
      <c r="J1923" s="5" t="n"/>
    </row>
    <row r="1924">
      <c r="A1924" t="n">
        <v>1921</v>
      </c>
      <c r="B1924" s="8" t="n"/>
      <c r="C1924" s="4" t="n"/>
      <c r="D1924" s="4" t="n"/>
      <c r="E1924" s="4" t="n"/>
      <c r="F1924" s="4" t="n"/>
      <c r="G1924" s="5" t="n"/>
      <c r="H1924" s="5" t="n"/>
      <c r="I1924" s="5" t="n"/>
      <c r="J1924" s="5" t="n"/>
    </row>
    <row r="1925">
      <c r="A1925" t="n">
        <v>1922</v>
      </c>
      <c r="B1925" s="8" t="n"/>
      <c r="C1925" s="4" t="n"/>
      <c r="D1925" s="4" t="n"/>
      <c r="E1925" s="4" t="n"/>
      <c r="F1925" s="4" t="n"/>
      <c r="G1925" s="5" t="n"/>
      <c r="H1925" s="5" t="n"/>
      <c r="I1925" s="5" t="n"/>
      <c r="J1925" s="5" t="n"/>
    </row>
    <row r="1926">
      <c r="A1926" t="n">
        <v>1923</v>
      </c>
      <c r="B1926" s="8" t="n"/>
      <c r="C1926" s="4" t="n"/>
      <c r="D1926" s="4" t="n"/>
      <c r="E1926" s="4" t="n"/>
      <c r="F1926" s="4" t="n"/>
      <c r="G1926" s="5" t="n"/>
      <c r="H1926" s="5" t="n"/>
      <c r="I1926" s="5" t="n"/>
      <c r="J1926" s="5" t="n"/>
    </row>
    <row r="1927">
      <c r="A1927" t="n">
        <v>1924</v>
      </c>
      <c r="B1927" s="8" t="n"/>
      <c r="C1927" s="4" t="n"/>
      <c r="D1927" s="4" t="n"/>
      <c r="E1927" s="4" t="n"/>
      <c r="F1927" s="4" t="n"/>
      <c r="G1927" s="5" t="n"/>
      <c r="H1927" s="5" t="n"/>
      <c r="I1927" s="5" t="n"/>
      <c r="J1927" s="5" t="n"/>
    </row>
    <row r="1928">
      <c r="A1928" t="n">
        <v>1925</v>
      </c>
      <c r="B1928" s="8" t="n"/>
      <c r="C1928" s="4" t="n"/>
      <c r="D1928" s="4" t="n"/>
      <c r="E1928" s="4" t="n"/>
      <c r="F1928" s="4" t="n"/>
      <c r="G1928" s="5" t="n"/>
      <c r="H1928" s="5" t="n"/>
      <c r="I1928" s="5" t="n"/>
      <c r="J1928" s="5" t="n"/>
    </row>
    <row r="1929">
      <c r="A1929" t="n">
        <v>1926</v>
      </c>
      <c r="B1929" s="8" t="n"/>
      <c r="C1929" s="4" t="n"/>
      <c r="D1929" s="4" t="n"/>
      <c r="E1929" s="4" t="n"/>
      <c r="F1929" s="4" t="n"/>
      <c r="G1929" s="5" t="n"/>
      <c r="H1929" s="5" t="n"/>
      <c r="I1929" s="5" t="n"/>
      <c r="J1929" s="5" t="n"/>
    </row>
    <row r="1930">
      <c r="A1930" t="n">
        <v>1927</v>
      </c>
      <c r="B1930" s="8" t="n"/>
      <c r="C1930" s="4" t="n"/>
      <c r="D1930" s="4" t="n"/>
      <c r="E1930" s="4" t="n"/>
      <c r="F1930" s="4" t="n"/>
      <c r="G1930" s="5" t="n"/>
      <c r="H1930" s="5" t="n"/>
      <c r="I1930" s="5" t="n"/>
      <c r="J1930" s="5" t="n"/>
    </row>
    <row r="1931">
      <c r="A1931" t="n">
        <v>1928</v>
      </c>
      <c r="B1931" s="8" t="n"/>
      <c r="C1931" s="4" t="n"/>
      <c r="D1931" s="4" t="n"/>
      <c r="E1931" s="4" t="n"/>
      <c r="F1931" s="4" t="n"/>
      <c r="G1931" s="5" t="n"/>
      <c r="H1931" s="5" t="n"/>
      <c r="I1931" s="5" t="n"/>
      <c r="J1931" s="5" t="n"/>
    </row>
    <row r="1932">
      <c r="A1932" t="n">
        <v>1929</v>
      </c>
      <c r="B1932" s="8" t="n"/>
      <c r="C1932" s="4" t="n"/>
      <c r="D1932" s="4" t="n"/>
      <c r="E1932" s="4" t="n"/>
      <c r="F1932" s="4" t="n"/>
      <c r="G1932" s="5" t="n"/>
      <c r="H1932" s="5" t="n"/>
      <c r="I1932" s="5" t="n"/>
      <c r="J1932" s="5" t="n"/>
    </row>
    <row r="1933">
      <c r="A1933" t="n">
        <v>1930</v>
      </c>
      <c r="B1933" s="8" t="n"/>
      <c r="C1933" s="4" t="n"/>
      <c r="D1933" s="4" t="n"/>
      <c r="E1933" s="4" t="n"/>
      <c r="F1933" s="4" t="n"/>
      <c r="G1933" s="5" t="n"/>
      <c r="H1933" s="5" t="n"/>
      <c r="I1933" s="5" t="n"/>
      <c r="J1933" s="5" t="n"/>
    </row>
    <row r="1934">
      <c r="A1934" t="n">
        <v>1931</v>
      </c>
      <c r="B1934" s="8" t="n"/>
      <c r="C1934" s="4" t="n"/>
      <c r="D1934" s="4" t="n"/>
      <c r="E1934" s="4" t="n"/>
      <c r="F1934" s="4" t="n"/>
      <c r="G1934" s="5" t="n"/>
      <c r="H1934" s="5" t="n"/>
      <c r="I1934" s="5" t="n"/>
      <c r="J1934" s="5" t="n"/>
    </row>
    <row r="1935">
      <c r="A1935" t="n">
        <v>1932</v>
      </c>
      <c r="B1935" s="8" t="n"/>
      <c r="C1935" s="4" t="n"/>
      <c r="D1935" s="4" t="n"/>
      <c r="E1935" s="4" t="n"/>
      <c r="F1935" s="4" t="n"/>
      <c r="G1935" s="5" t="n"/>
      <c r="H1935" s="5" t="n"/>
      <c r="I1935" s="5" t="n"/>
      <c r="J1935" s="5" t="n"/>
    </row>
    <row r="1936">
      <c r="A1936" t="n">
        <v>1933</v>
      </c>
      <c r="B1936" s="8" t="n"/>
      <c r="C1936" s="4" t="n"/>
      <c r="D1936" s="4" t="n"/>
      <c r="E1936" s="4" t="n"/>
      <c r="F1936" s="4" t="n"/>
      <c r="G1936" s="5" t="n"/>
      <c r="H1936" s="5" t="n"/>
      <c r="I1936" s="5" t="n"/>
      <c r="J1936" s="5" t="n"/>
    </row>
    <row r="1937">
      <c r="A1937" t="n">
        <v>1934</v>
      </c>
      <c r="B1937" s="8" t="n"/>
      <c r="C1937" s="4" t="n"/>
      <c r="D1937" s="4" t="n"/>
      <c r="E1937" s="4" t="n"/>
      <c r="F1937" s="4" t="n"/>
      <c r="G1937" s="5" t="n"/>
      <c r="H1937" s="5" t="n"/>
      <c r="I1937" s="5" t="n"/>
      <c r="J1937" s="5" t="n"/>
    </row>
    <row r="1938">
      <c r="A1938" t="n">
        <v>1935</v>
      </c>
      <c r="B1938" s="8" t="n"/>
      <c r="C1938" s="4" t="n"/>
      <c r="D1938" s="4" t="n"/>
      <c r="E1938" s="4" t="n"/>
      <c r="F1938" s="4" t="n"/>
      <c r="G1938" s="5" t="n"/>
      <c r="H1938" s="5" t="n"/>
      <c r="I1938" s="5" t="n"/>
      <c r="J1938" s="5" t="n"/>
    </row>
    <row r="1939">
      <c r="A1939" t="n">
        <v>1936</v>
      </c>
      <c r="B1939" s="8" t="n"/>
      <c r="C1939" s="4" t="n"/>
      <c r="D1939" s="4" t="n"/>
      <c r="E1939" s="4" t="n"/>
      <c r="F1939" s="4" t="n"/>
      <c r="G1939" s="5" t="n"/>
      <c r="H1939" s="5" t="n"/>
      <c r="I1939" s="5" t="n"/>
      <c r="J1939" s="5" t="n"/>
    </row>
    <row r="1940">
      <c r="A1940" t="n">
        <v>1937</v>
      </c>
      <c r="B1940" s="8" t="n"/>
      <c r="C1940" s="4" t="n"/>
      <c r="D1940" s="4" t="n"/>
      <c r="E1940" s="4" t="n"/>
      <c r="F1940" s="4" t="n"/>
      <c r="G1940" s="5" t="n"/>
      <c r="H1940" s="5" t="n"/>
      <c r="I1940" s="5" t="n"/>
      <c r="J1940" s="5" t="n"/>
    </row>
    <row r="1941">
      <c r="A1941" t="n">
        <v>1938</v>
      </c>
      <c r="B1941" s="8" t="n"/>
      <c r="C1941" s="4" t="n"/>
      <c r="D1941" s="4" t="n"/>
      <c r="E1941" s="4" t="n"/>
      <c r="F1941" s="4" t="n"/>
      <c r="G1941" s="5" t="n"/>
      <c r="H1941" s="5" t="n"/>
      <c r="I1941" s="5" t="n"/>
      <c r="J1941" s="5" t="n"/>
    </row>
    <row r="1942">
      <c r="A1942" t="n">
        <v>1939</v>
      </c>
      <c r="B1942" s="8" t="n"/>
      <c r="C1942" s="4" t="n"/>
      <c r="D1942" s="4" t="n"/>
      <c r="E1942" s="4" t="n"/>
      <c r="F1942" s="4" t="n"/>
      <c r="G1942" s="5" t="n"/>
      <c r="H1942" s="5" t="n"/>
      <c r="I1942" s="5" t="n"/>
      <c r="J1942" s="5" t="n"/>
    </row>
    <row r="1943">
      <c r="A1943" t="n">
        <v>1940</v>
      </c>
      <c r="B1943" s="8" t="n"/>
      <c r="C1943" s="4" t="n"/>
      <c r="D1943" s="4" t="n"/>
      <c r="E1943" s="4" t="n"/>
      <c r="F1943" s="4" t="n"/>
      <c r="G1943" s="5" t="n"/>
      <c r="H1943" s="5" t="n"/>
      <c r="I1943" s="5" t="n"/>
      <c r="J1943" s="5" t="n"/>
    </row>
    <row r="1944">
      <c r="A1944" t="n">
        <v>1941</v>
      </c>
      <c r="B1944" s="8" t="n"/>
      <c r="C1944" s="4" t="n"/>
      <c r="D1944" s="4" t="n"/>
      <c r="E1944" s="4" t="n"/>
      <c r="F1944" s="4" t="n"/>
      <c r="G1944" s="5" t="n"/>
      <c r="H1944" s="5" t="n"/>
      <c r="I1944" s="5" t="n"/>
      <c r="J1944" s="5" t="n"/>
    </row>
    <row r="1945">
      <c r="A1945" t="n">
        <v>1942</v>
      </c>
      <c r="B1945" s="8" t="n"/>
      <c r="C1945" s="4" t="n"/>
      <c r="D1945" s="4" t="n"/>
      <c r="E1945" s="4" t="n"/>
      <c r="F1945" s="4" t="n"/>
      <c r="G1945" s="5" t="n"/>
      <c r="H1945" s="5" t="n"/>
      <c r="I1945" s="5" t="n"/>
      <c r="J1945" s="5" t="n"/>
    </row>
    <row r="1946">
      <c r="A1946" t="n">
        <v>1943</v>
      </c>
      <c r="B1946" s="8" t="n"/>
      <c r="C1946" s="4" t="n"/>
      <c r="D1946" s="4" t="n"/>
      <c r="E1946" s="4" t="n"/>
      <c r="F1946" s="4" t="n"/>
      <c r="G1946" s="5" t="n"/>
      <c r="H1946" s="5" t="n"/>
      <c r="I1946" s="5" t="n"/>
      <c r="J1946" s="5" t="n"/>
    </row>
    <row r="1947">
      <c r="A1947" t="n">
        <v>1944</v>
      </c>
      <c r="B1947" s="8" t="n"/>
      <c r="C1947" s="4" t="n"/>
      <c r="D1947" s="4" t="n"/>
      <c r="E1947" s="4" t="n"/>
      <c r="F1947" s="4" t="n"/>
      <c r="G1947" s="5" t="n"/>
      <c r="H1947" s="5" t="n"/>
      <c r="I1947" s="5" t="n"/>
      <c r="J1947" s="5" t="n"/>
    </row>
    <row r="1948">
      <c r="A1948" t="n">
        <v>1945</v>
      </c>
      <c r="B1948" s="8" t="n"/>
      <c r="C1948" s="4" t="n"/>
      <c r="D1948" s="4" t="n"/>
      <c r="E1948" s="4" t="n"/>
      <c r="F1948" s="4" t="n"/>
      <c r="G1948" s="5" t="n"/>
      <c r="H1948" s="5" t="n"/>
      <c r="I1948" s="5" t="n"/>
      <c r="J1948" s="5" t="n"/>
    </row>
    <row r="1949">
      <c r="A1949" t="n">
        <v>1946</v>
      </c>
      <c r="B1949" s="8" t="n"/>
      <c r="C1949" s="4" t="n"/>
      <c r="D1949" s="4" t="n"/>
      <c r="E1949" s="4" t="n"/>
      <c r="F1949" s="4" t="n"/>
      <c r="G1949" s="5" t="n"/>
      <c r="H1949" s="5" t="n"/>
      <c r="I1949" s="5" t="n"/>
      <c r="J1949" s="5" t="n"/>
    </row>
    <row r="1950">
      <c r="A1950" t="n">
        <v>1947</v>
      </c>
      <c r="B1950" s="8" t="n"/>
      <c r="C1950" s="4" t="n"/>
      <c r="D1950" s="4" t="n"/>
      <c r="E1950" s="4" t="n"/>
      <c r="F1950" s="4" t="n"/>
      <c r="G1950" s="5" t="n"/>
      <c r="H1950" s="5" t="n"/>
      <c r="I1950" s="5" t="n"/>
      <c r="J1950" s="5" t="n"/>
    </row>
    <row r="1951">
      <c r="A1951" t="n">
        <v>1948</v>
      </c>
      <c r="B1951" s="8" t="n"/>
      <c r="C1951" s="4" t="n"/>
      <c r="D1951" s="4" t="n"/>
      <c r="E1951" s="4" t="n"/>
      <c r="F1951" s="4" t="n"/>
      <c r="G1951" s="5" t="n"/>
      <c r="H1951" s="5" t="n"/>
      <c r="I1951" s="5" t="n"/>
      <c r="J1951" s="5" t="n"/>
    </row>
    <row r="1952">
      <c r="A1952" t="n">
        <v>1949</v>
      </c>
      <c r="B1952" s="8" t="n"/>
      <c r="C1952" s="4" t="n"/>
      <c r="D1952" s="4" t="n"/>
      <c r="E1952" s="4" t="n"/>
      <c r="F1952" s="4" t="n"/>
      <c r="G1952" s="5" t="n"/>
      <c r="H1952" s="5" t="n"/>
      <c r="I1952" s="5" t="n"/>
      <c r="J1952" s="5" t="n"/>
    </row>
    <row r="1953">
      <c r="A1953" t="n">
        <v>1950</v>
      </c>
      <c r="B1953" s="8" t="n"/>
      <c r="C1953" s="4" t="n"/>
      <c r="D1953" s="4" t="n"/>
      <c r="E1953" s="4" t="n"/>
      <c r="F1953" s="4" t="n"/>
      <c r="G1953" s="5" t="n"/>
      <c r="H1953" s="5" t="n"/>
      <c r="I1953" s="5" t="n"/>
      <c r="J1953" s="5" t="n"/>
    </row>
    <row r="1954">
      <c r="A1954" t="n">
        <v>1951</v>
      </c>
      <c r="B1954" s="8" t="n"/>
      <c r="C1954" s="4" t="n"/>
      <c r="D1954" s="4" t="n"/>
      <c r="E1954" s="4" t="n"/>
      <c r="F1954" s="4" t="n"/>
      <c r="G1954" s="5" t="n"/>
      <c r="H1954" s="5" t="n"/>
      <c r="I1954" s="5" t="n"/>
      <c r="J1954" s="5" t="n"/>
    </row>
    <row r="1955">
      <c r="A1955" t="n">
        <v>1952</v>
      </c>
      <c r="B1955" s="8" t="n"/>
      <c r="C1955" s="4" t="n"/>
      <c r="D1955" s="4" t="n"/>
      <c r="E1955" s="4" t="n"/>
      <c r="F1955" s="4" t="n"/>
      <c r="G1955" s="5" t="n"/>
      <c r="H1955" s="5" t="n"/>
      <c r="I1955" s="5" t="n"/>
      <c r="J1955" s="5" t="n"/>
    </row>
    <row r="1956">
      <c r="A1956" t="n">
        <v>1953</v>
      </c>
      <c r="B1956" s="8" t="n"/>
      <c r="C1956" s="4" t="n"/>
      <c r="D1956" s="4" t="n"/>
      <c r="E1956" s="4" t="n"/>
      <c r="F1956" s="4" t="n"/>
      <c r="G1956" s="5" t="n"/>
      <c r="H1956" s="5" t="n"/>
      <c r="I1956" s="5" t="n"/>
      <c r="J1956" s="5" t="n"/>
    </row>
    <row r="1957">
      <c r="A1957" t="n">
        <v>1954</v>
      </c>
      <c r="B1957" s="8" t="n"/>
      <c r="C1957" s="4" t="n"/>
      <c r="D1957" s="4" t="n"/>
      <c r="E1957" s="4" t="n"/>
      <c r="F1957" s="4" t="n"/>
      <c r="G1957" s="5" t="n"/>
      <c r="H1957" s="5" t="n"/>
      <c r="I1957" s="5" t="n"/>
      <c r="J1957" s="5" t="n"/>
    </row>
    <row r="1958">
      <c r="A1958" t="n">
        <v>1955</v>
      </c>
      <c r="B1958" s="8" t="n"/>
      <c r="C1958" s="4" t="n"/>
      <c r="D1958" s="4" t="n"/>
      <c r="E1958" s="4" t="n"/>
      <c r="F1958" s="4" t="n"/>
      <c r="G1958" s="5" t="n"/>
      <c r="H1958" s="5" t="n"/>
      <c r="I1958" s="5" t="n"/>
      <c r="J1958" s="5" t="n"/>
    </row>
    <row r="1959">
      <c r="A1959" t="n">
        <v>1956</v>
      </c>
      <c r="B1959" s="8" t="n"/>
      <c r="C1959" s="4" t="n"/>
      <c r="D1959" s="4" t="n"/>
      <c r="E1959" s="4" t="n"/>
      <c r="F1959" s="4" t="n"/>
      <c r="G1959" s="5" t="n"/>
      <c r="H1959" s="5" t="n"/>
      <c r="I1959" s="5" t="n"/>
      <c r="J1959" s="5" t="n"/>
    </row>
    <row r="1960">
      <c r="A1960" t="n">
        <v>1957</v>
      </c>
      <c r="B1960" s="8" t="n"/>
      <c r="C1960" s="4" t="n"/>
      <c r="D1960" s="4" t="n"/>
      <c r="E1960" s="4" t="n"/>
      <c r="F1960" s="4" t="n"/>
      <c r="G1960" s="5" t="n"/>
      <c r="H1960" s="5" t="n"/>
      <c r="I1960" s="5" t="n"/>
      <c r="J1960" s="5" t="n"/>
    </row>
    <row r="1961">
      <c r="A1961" t="n">
        <v>1958</v>
      </c>
      <c r="B1961" s="8" t="n"/>
      <c r="C1961" s="4" t="n"/>
      <c r="D1961" s="4" t="n"/>
      <c r="E1961" s="4" t="n"/>
      <c r="F1961" s="4" t="n"/>
      <c r="G1961" s="5" t="n"/>
      <c r="H1961" s="5" t="n"/>
      <c r="I1961" s="5" t="n"/>
      <c r="J1961" s="5" t="n"/>
    </row>
    <row r="1962">
      <c r="A1962" t="n">
        <v>1959</v>
      </c>
      <c r="B1962" s="8" t="n"/>
      <c r="C1962" s="4" t="n"/>
      <c r="D1962" s="4" t="n"/>
      <c r="E1962" s="4" t="n"/>
      <c r="F1962" s="4" t="n"/>
      <c r="G1962" s="5" t="n"/>
      <c r="H1962" s="5" t="n"/>
      <c r="I1962" s="5" t="n"/>
      <c r="J1962" s="5" t="n"/>
    </row>
    <row r="1963">
      <c r="A1963" t="n">
        <v>1960</v>
      </c>
      <c r="B1963" s="8" t="n"/>
      <c r="C1963" s="4" t="n"/>
      <c r="D1963" s="4" t="n"/>
      <c r="E1963" s="4" t="n"/>
      <c r="F1963" s="4" t="n"/>
      <c r="G1963" s="5" t="n"/>
      <c r="H1963" s="5" t="n"/>
      <c r="I1963" s="5" t="n"/>
      <c r="J1963" s="5" t="n"/>
    </row>
    <row r="1964">
      <c r="A1964" t="n">
        <v>1961</v>
      </c>
      <c r="B1964" s="8" t="n"/>
      <c r="C1964" s="4" t="n"/>
      <c r="D1964" s="4" t="n"/>
      <c r="E1964" s="4" t="n"/>
      <c r="F1964" s="4" t="n"/>
      <c r="G1964" s="5" t="n"/>
      <c r="H1964" s="5" t="n"/>
      <c r="I1964" s="5" t="n"/>
      <c r="J1964" s="5" t="n"/>
    </row>
    <row r="1965">
      <c r="A1965" t="n">
        <v>1962</v>
      </c>
      <c r="B1965" s="8" t="n"/>
      <c r="C1965" s="4" t="n"/>
      <c r="D1965" s="4" t="n"/>
      <c r="E1965" s="4" t="n"/>
      <c r="F1965" s="4" t="n"/>
      <c r="G1965" s="5" t="n"/>
      <c r="H1965" s="5" t="n"/>
      <c r="I1965" s="5" t="n"/>
      <c r="J1965" s="5" t="n"/>
    </row>
    <row r="1966">
      <c r="A1966" t="n">
        <v>1963</v>
      </c>
      <c r="B1966" s="8" t="n"/>
      <c r="C1966" s="4" t="n"/>
      <c r="D1966" s="4" t="n"/>
      <c r="E1966" s="4" t="n"/>
      <c r="F1966" s="4" t="n"/>
      <c r="G1966" s="5" t="n"/>
      <c r="H1966" s="5" t="n"/>
      <c r="I1966" s="5" t="n"/>
      <c r="J1966" s="5" t="n"/>
    </row>
    <row r="1967">
      <c r="A1967" t="n">
        <v>1964</v>
      </c>
      <c r="B1967" s="8" t="n"/>
      <c r="C1967" s="4" t="n"/>
      <c r="D1967" s="4" t="n"/>
      <c r="E1967" s="4" t="n"/>
      <c r="F1967" s="4" t="n"/>
      <c r="G1967" s="5" t="n"/>
      <c r="H1967" s="5" t="n"/>
      <c r="I1967" s="5" t="n"/>
      <c r="J1967" s="5" t="n"/>
    </row>
    <row r="1968">
      <c r="A1968" t="n">
        <v>1965</v>
      </c>
      <c r="B1968" s="8" t="n"/>
      <c r="C1968" s="4" t="n"/>
      <c r="D1968" s="4" t="n"/>
      <c r="E1968" s="4" t="n"/>
      <c r="F1968" s="4" t="n"/>
      <c r="G1968" s="5" t="n"/>
      <c r="H1968" s="5" t="n"/>
      <c r="I1968" s="5" t="n"/>
      <c r="J1968" s="5" t="n"/>
    </row>
    <row r="1969">
      <c r="A1969" t="n">
        <v>1966</v>
      </c>
      <c r="B1969" s="8" t="n"/>
      <c r="C1969" s="4" t="n"/>
      <c r="D1969" s="4" t="n"/>
      <c r="E1969" s="4" t="n"/>
      <c r="F1969" s="4" t="n"/>
      <c r="G1969" s="5" t="n"/>
      <c r="H1969" s="5" t="n"/>
      <c r="I1969" s="5" t="n"/>
      <c r="J1969" s="5" t="n"/>
    </row>
    <row r="1970">
      <c r="A1970" t="n">
        <v>1967</v>
      </c>
      <c r="B1970" s="8" t="n"/>
      <c r="C1970" s="4" t="n"/>
      <c r="D1970" s="4" t="n"/>
      <c r="E1970" s="4" t="n"/>
      <c r="F1970" s="4" t="n"/>
      <c r="G1970" s="5" t="n"/>
      <c r="H1970" s="5" t="n"/>
      <c r="I1970" s="5" t="n"/>
      <c r="J1970" s="5" t="n"/>
    </row>
    <row r="1971">
      <c r="A1971" t="n">
        <v>1968</v>
      </c>
      <c r="B1971" s="8" t="n"/>
      <c r="C1971" s="4" t="n"/>
      <c r="D1971" s="4" t="n"/>
      <c r="E1971" s="4" t="n"/>
      <c r="F1971" s="4" t="n"/>
      <c r="G1971" s="5" t="n"/>
      <c r="H1971" s="5" t="n"/>
      <c r="I1971" s="5" t="n"/>
      <c r="J1971" s="5" t="n"/>
    </row>
    <row r="1972">
      <c r="A1972" t="n">
        <v>1969</v>
      </c>
      <c r="B1972" s="8" t="n"/>
      <c r="C1972" s="4" t="n"/>
      <c r="D1972" s="4" t="n"/>
      <c r="E1972" s="4" t="n"/>
      <c r="F1972" s="4" t="n"/>
      <c r="G1972" s="5" t="n"/>
      <c r="H1972" s="5" t="n"/>
      <c r="I1972" s="5" t="n"/>
      <c r="J1972" s="5" t="n"/>
    </row>
    <row r="1973">
      <c r="A1973" t="n">
        <v>1970</v>
      </c>
      <c r="B1973" s="8" t="n"/>
      <c r="C1973" s="4" t="n"/>
      <c r="D1973" s="4" t="n"/>
      <c r="E1973" s="4" t="n"/>
      <c r="F1973" s="4" t="n"/>
      <c r="G1973" s="5" t="n"/>
      <c r="H1973" s="5" t="n"/>
      <c r="I1973" s="5" t="n"/>
      <c r="J1973" s="5" t="n"/>
    </row>
    <row r="1974">
      <c r="A1974" t="n">
        <v>1971</v>
      </c>
      <c r="B1974" s="8" t="n"/>
      <c r="C1974" s="4" t="n"/>
      <c r="D1974" s="4" t="n"/>
      <c r="E1974" s="4" t="n"/>
      <c r="F1974" s="4" t="n"/>
      <c r="G1974" s="5" t="n"/>
      <c r="H1974" s="5" t="n"/>
      <c r="I1974" s="5" t="n"/>
      <c r="J1974" s="5" t="n"/>
    </row>
    <row r="1975">
      <c r="A1975" t="n">
        <v>1972</v>
      </c>
      <c r="B1975" s="8" t="n"/>
      <c r="C1975" s="4" t="n"/>
      <c r="D1975" s="4" t="n"/>
      <c r="E1975" s="4" t="n"/>
      <c r="F1975" s="4" t="n"/>
      <c r="G1975" s="5" t="n"/>
      <c r="H1975" s="5" t="n"/>
      <c r="I1975" s="5" t="n"/>
      <c r="J1975" s="5" t="n"/>
    </row>
    <row r="1976">
      <c r="A1976" t="n">
        <v>1973</v>
      </c>
      <c r="B1976" s="8" t="n"/>
      <c r="C1976" s="4" t="n"/>
      <c r="D1976" s="4" t="n"/>
      <c r="E1976" s="4" t="n"/>
      <c r="F1976" s="4" t="n"/>
      <c r="G1976" s="5" t="n"/>
      <c r="H1976" s="5" t="n"/>
      <c r="I1976" s="5" t="n"/>
      <c r="J1976" s="5" t="n"/>
    </row>
    <row r="1977">
      <c r="A1977" t="n">
        <v>1974</v>
      </c>
      <c r="B1977" s="8" t="n"/>
      <c r="C1977" s="4" t="n"/>
      <c r="D1977" s="4" t="n"/>
      <c r="E1977" s="4" t="n"/>
      <c r="F1977" s="4" t="n"/>
      <c r="G1977" s="5" t="n"/>
      <c r="H1977" s="5" t="n"/>
      <c r="I1977" s="5" t="n"/>
      <c r="J1977" s="5" t="n"/>
    </row>
    <row r="1978">
      <c r="A1978" t="n">
        <v>1975</v>
      </c>
      <c r="B1978" s="8" t="n"/>
      <c r="C1978" s="4" t="n"/>
      <c r="D1978" s="4" t="n"/>
      <c r="E1978" s="4" t="n"/>
      <c r="F1978" s="4" t="n"/>
      <c r="G1978" s="5" t="n"/>
      <c r="H1978" s="5" t="n"/>
      <c r="I1978" s="5" t="n"/>
      <c r="J1978" s="5" t="n"/>
    </row>
    <row r="1979">
      <c r="A1979" t="n">
        <v>1976</v>
      </c>
      <c r="B1979" s="8" t="n"/>
      <c r="C1979" s="4" t="n"/>
      <c r="D1979" s="4" t="n"/>
      <c r="E1979" s="4" t="n"/>
      <c r="F1979" s="4" t="n"/>
      <c r="G1979" s="5" t="n"/>
      <c r="H1979" s="5" t="n"/>
      <c r="I1979" s="5" t="n"/>
      <c r="J1979" s="5" t="n"/>
    </row>
    <row r="1980">
      <c r="A1980" t="n">
        <v>1977</v>
      </c>
      <c r="B1980" s="8" t="n"/>
      <c r="C1980" s="4" t="n"/>
      <c r="D1980" s="4" t="n"/>
      <c r="E1980" s="4" t="n"/>
      <c r="F1980" s="4" t="n"/>
      <c r="G1980" s="5" t="n"/>
      <c r="H1980" s="5" t="n"/>
      <c r="I1980" s="5" t="n"/>
      <c r="J1980" s="5" t="n"/>
    </row>
    <row r="1981">
      <c r="A1981" t="n">
        <v>1978</v>
      </c>
      <c r="B1981" s="8" t="n"/>
      <c r="C1981" s="4" t="n"/>
      <c r="D1981" s="4" t="n"/>
      <c r="E1981" s="4" t="n"/>
      <c r="F1981" s="4" t="n"/>
      <c r="G1981" s="5" t="n"/>
      <c r="H1981" s="5" t="n"/>
      <c r="I1981" s="5" t="n"/>
      <c r="J1981" s="5" t="n"/>
    </row>
    <row r="1982">
      <c r="A1982" t="n">
        <v>1979</v>
      </c>
      <c r="B1982" s="8" t="n"/>
      <c r="C1982" s="4" t="n"/>
      <c r="D1982" s="4" t="n"/>
      <c r="E1982" s="4" t="n"/>
      <c r="F1982" s="4" t="n"/>
      <c r="G1982" s="5" t="n"/>
      <c r="H1982" s="5" t="n"/>
      <c r="I1982" s="5" t="n"/>
      <c r="J1982" s="5" t="n"/>
    </row>
    <row r="1983">
      <c r="A1983" t="n">
        <v>1980</v>
      </c>
      <c r="B1983" s="8" t="n"/>
      <c r="C1983" s="4" t="n"/>
      <c r="D1983" s="4" t="n"/>
      <c r="E1983" s="4" t="n"/>
      <c r="F1983" s="4" t="n"/>
      <c r="G1983" s="5" t="n"/>
      <c r="H1983" s="5" t="n"/>
      <c r="I1983" s="5" t="n"/>
      <c r="J1983" s="5" t="n"/>
    </row>
    <row r="1984">
      <c r="A1984" t="n">
        <v>1981</v>
      </c>
      <c r="B1984" s="8" t="n"/>
      <c r="C1984" s="4" t="n"/>
      <c r="D1984" s="4" t="n"/>
      <c r="E1984" s="4" t="n"/>
      <c r="F1984" s="4" t="n"/>
      <c r="G1984" s="5" t="n"/>
      <c r="H1984" s="5" t="n"/>
      <c r="I1984" s="5" t="n"/>
      <c r="J1984" s="5" t="n"/>
    </row>
    <row r="1985">
      <c r="A1985" t="n">
        <v>1982</v>
      </c>
      <c r="B1985" s="8" t="n"/>
      <c r="C1985" s="4" t="n"/>
      <c r="D1985" s="4" t="n"/>
      <c r="E1985" s="4" t="n"/>
      <c r="F1985" s="4" t="n"/>
      <c r="G1985" s="5" t="n"/>
      <c r="H1985" s="5" t="n"/>
      <c r="I1985" s="5" t="n"/>
      <c r="J1985" s="5" t="n"/>
    </row>
    <row r="1986">
      <c r="A1986" t="n">
        <v>1983</v>
      </c>
      <c r="B1986" s="8" t="n"/>
      <c r="C1986" s="4" t="n"/>
      <c r="D1986" s="4" t="n"/>
      <c r="E1986" s="4" t="n"/>
      <c r="F1986" s="4" t="n"/>
      <c r="G1986" s="5" t="n"/>
      <c r="H1986" s="5" t="n"/>
      <c r="I1986" s="5" t="n"/>
      <c r="J1986" s="5" t="n"/>
    </row>
    <row r="1987">
      <c r="A1987" t="n">
        <v>1984</v>
      </c>
      <c r="B1987" s="8" t="n"/>
      <c r="C1987" s="4" t="n"/>
      <c r="D1987" s="4" t="n"/>
      <c r="E1987" s="4" t="n"/>
      <c r="F1987" s="4" t="n"/>
      <c r="G1987" s="5" t="n"/>
      <c r="H1987" s="5" t="n"/>
      <c r="I1987" s="5" t="n"/>
      <c r="J1987" s="5" t="n"/>
    </row>
    <row r="1988">
      <c r="A1988" t="n">
        <v>1985</v>
      </c>
      <c r="B1988" s="8" t="n"/>
      <c r="C1988" s="4" t="n"/>
      <c r="D1988" s="4" t="n"/>
      <c r="E1988" s="4" t="n"/>
      <c r="F1988" s="4" t="n"/>
      <c r="G1988" s="5" t="n"/>
      <c r="H1988" s="5" t="n"/>
      <c r="I1988" s="5" t="n"/>
      <c r="J1988" s="5" t="n"/>
    </row>
    <row r="1989">
      <c r="A1989" t="n">
        <v>1986</v>
      </c>
      <c r="B1989" s="8" t="n"/>
      <c r="C1989" s="4" t="n"/>
      <c r="D1989" s="4" t="n"/>
      <c r="E1989" s="4" t="n"/>
      <c r="F1989" s="4" t="n"/>
      <c r="G1989" s="5" t="n"/>
      <c r="H1989" s="5" t="n"/>
      <c r="I1989" s="5" t="n"/>
      <c r="J1989" s="5" t="n"/>
    </row>
    <row r="1990">
      <c r="A1990" t="n">
        <v>1987</v>
      </c>
      <c r="B1990" s="8" t="n"/>
      <c r="C1990" s="4" t="n"/>
      <c r="D1990" s="4" t="n"/>
      <c r="E1990" s="4" t="n"/>
      <c r="F1990" s="4" t="n"/>
      <c r="G1990" s="5" t="n"/>
      <c r="H1990" s="5" t="n"/>
      <c r="I1990" s="5" t="n"/>
      <c r="J1990" s="5" t="n"/>
    </row>
    <row r="1991">
      <c r="A1991" t="n">
        <v>1988</v>
      </c>
      <c r="B1991" s="8" t="n"/>
      <c r="C1991" s="4" t="n"/>
      <c r="D1991" s="4" t="n"/>
      <c r="E1991" s="4" t="n"/>
      <c r="F1991" s="4" t="n"/>
      <c r="G1991" s="5" t="n"/>
      <c r="H1991" s="5" t="n"/>
      <c r="I1991" s="5" t="n"/>
      <c r="J1991" s="5" t="n"/>
    </row>
    <row r="1992">
      <c r="A1992" t="n">
        <v>1989</v>
      </c>
      <c r="B1992" s="8" t="n"/>
      <c r="C1992" s="4" t="n"/>
      <c r="D1992" s="4" t="n"/>
      <c r="E1992" s="4" t="n"/>
      <c r="F1992" s="4" t="n"/>
      <c r="G1992" s="5" t="n"/>
      <c r="H1992" s="5" t="n"/>
      <c r="I1992" s="5" t="n"/>
      <c r="J1992" s="5" t="n"/>
    </row>
    <row r="1993">
      <c r="A1993" t="n">
        <v>1990</v>
      </c>
      <c r="B1993" s="8" t="n"/>
      <c r="C1993" s="4" t="n"/>
      <c r="D1993" s="4" t="n"/>
      <c r="E1993" s="4" t="n"/>
      <c r="F1993" s="4" t="n"/>
      <c r="G1993" s="5" t="n"/>
      <c r="H1993" s="5" t="n"/>
      <c r="I1993" s="5" t="n"/>
      <c r="J1993" s="5" t="n"/>
    </row>
    <row r="1994">
      <c r="A1994" t="n">
        <v>1991</v>
      </c>
      <c r="B1994" s="8" t="n"/>
      <c r="C1994" s="4" t="n"/>
      <c r="D1994" s="4" t="n"/>
      <c r="E1994" s="4" t="n"/>
      <c r="F1994" s="4" t="n"/>
      <c r="G1994" s="5" t="n"/>
      <c r="H1994" s="5" t="n"/>
      <c r="I1994" s="5" t="n"/>
      <c r="J1994" s="5" t="n"/>
    </row>
    <row r="1995">
      <c r="A1995" t="n">
        <v>1992</v>
      </c>
      <c r="B1995" s="8" t="n"/>
      <c r="C1995" s="4" t="n"/>
      <c r="D1995" s="4" t="n"/>
      <c r="E1995" s="4" t="n"/>
      <c r="F1995" s="4" t="n"/>
      <c r="G1995" s="5" t="n"/>
      <c r="H1995" s="5" t="n"/>
      <c r="I1995" s="5" t="n"/>
      <c r="J1995" s="5" t="n"/>
    </row>
    <row r="1996">
      <c r="A1996" t="n">
        <v>1993</v>
      </c>
      <c r="B1996" s="8" t="n"/>
      <c r="C1996" s="4" t="n"/>
      <c r="D1996" s="4" t="n"/>
      <c r="E1996" s="4" t="n"/>
      <c r="F1996" s="4" t="n"/>
      <c r="G1996" s="5" t="n"/>
      <c r="H1996" s="5" t="n"/>
      <c r="I1996" s="5" t="n"/>
      <c r="J1996" s="5" t="n"/>
    </row>
    <row r="1997">
      <c r="A1997" t="n">
        <v>1994</v>
      </c>
      <c r="B1997" s="8" t="n"/>
      <c r="C1997" s="4" t="n"/>
      <c r="D1997" s="4" t="n"/>
      <c r="E1997" s="4" t="n"/>
      <c r="F1997" s="4" t="n"/>
      <c r="G1997" s="5" t="n"/>
      <c r="H1997" s="5" t="n"/>
      <c r="I1997" s="5" t="n"/>
      <c r="J1997" s="5" t="n"/>
    </row>
    <row r="1998">
      <c r="A1998" t="n">
        <v>1995</v>
      </c>
      <c r="B1998" s="8" t="n"/>
      <c r="C1998" s="4" t="n"/>
      <c r="D1998" s="4" t="n"/>
      <c r="E1998" s="4" t="n"/>
      <c r="F1998" s="4" t="n"/>
      <c r="G1998" s="5" t="n"/>
      <c r="H1998" s="5" t="n"/>
      <c r="I1998" s="5" t="n"/>
      <c r="J1998" s="5" t="n"/>
    </row>
    <row r="1999">
      <c r="A1999" t="n">
        <v>1996</v>
      </c>
      <c r="B1999" s="8" t="n"/>
      <c r="C1999" s="4" t="n"/>
      <c r="D1999" s="4" t="n"/>
      <c r="E1999" s="4" t="n"/>
      <c r="F1999" s="4" t="n"/>
      <c r="G1999" s="5" t="n"/>
      <c r="H1999" s="5" t="n"/>
      <c r="I1999" s="5" t="n"/>
      <c r="J1999" s="5" t="n"/>
    </row>
    <row r="2000">
      <c r="A2000" t="n">
        <v>1997</v>
      </c>
      <c r="B2000" s="8" t="n"/>
      <c r="C2000" s="4" t="n"/>
      <c r="D2000" s="4" t="n"/>
      <c r="E2000" s="4" t="n"/>
      <c r="F2000" s="4" t="n"/>
      <c r="G2000" s="5" t="n"/>
      <c r="H2000" s="5" t="n"/>
      <c r="I2000" s="5" t="n"/>
      <c r="J2000" s="5" t="n"/>
    </row>
    <row r="2001">
      <c r="A2001" t="n">
        <v>1998</v>
      </c>
      <c r="B2001" s="8" t="n"/>
      <c r="C2001" s="4" t="n"/>
      <c r="D2001" s="4" t="n"/>
      <c r="E2001" s="4" t="n"/>
      <c r="F2001" s="4" t="n"/>
      <c r="G2001" s="5" t="n"/>
      <c r="H2001" s="5" t="n"/>
      <c r="I2001" s="5" t="n"/>
      <c r="J2001" s="5" t="n"/>
    </row>
    <row r="2002">
      <c r="A2002" t="n">
        <v>1999</v>
      </c>
      <c r="B2002" s="8" t="n"/>
      <c r="C2002" s="4" t="n"/>
      <c r="D2002" s="4" t="n"/>
      <c r="E2002" s="4" t="n"/>
      <c r="F2002" s="4" t="n"/>
      <c r="G2002" s="5" t="n"/>
      <c r="H2002" s="5" t="n"/>
      <c r="I2002" s="5" t="n"/>
      <c r="J2002" s="5" t="n"/>
    </row>
    <row r="2003">
      <c r="A2003" t="n">
        <v>2000</v>
      </c>
      <c r="B2003" s="8" t="n"/>
      <c r="C2003" s="4" t="n"/>
      <c r="D2003" s="4" t="n"/>
      <c r="E2003" s="4" t="n"/>
      <c r="F2003" s="4" t="n"/>
      <c r="G2003" s="5" t="n"/>
      <c r="H2003" s="5" t="n"/>
      <c r="I2003" s="5" t="n"/>
      <c r="J2003" s="5" t="n"/>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C2000 C2001 C2002 C2003" showDropDown="0" showInputMessage="0" showErrorMessage="0" allowBlank="1" type="list">
      <formula1>"BEPAARI,DUKANDAR,CAPITAL,LOAN,ADVANCE,EXPENSE,ZAKAT,OTHER"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showDropDown="0" showInputMessage="0" showErrorMessage="0" allowBlank="1" type="list">
      <formula1>"PAYMENT,MOTOR,BHUSSA,GAWALI,CASH_ADV,OTHER,RECEIPT,TAKEN,WITHDRAWN,REPAID,GIVEN,RECEIVED,MANDI,TRAVEL,FOOD,SALARY,BF_DISC,JB_PAID,PROVISION,PAID,MISC"</formula1>
    </dataValidation>
  </dataValidations>
  <pageMargins left="0.75" right="0.75" top="1" bottom="1" header="0.5" footer="0.5"/>
</worksheet>
</file>

<file path=xl/worksheets/sheet4.xml><?xml version="1.0" encoding="utf-8"?>
<worksheet xmlns="http://schemas.openxmlformats.org/spreadsheetml/2006/main">
  <sheetPr>
    <tabColor rgb="009C27B0"/>
    <outlinePr summaryBelow="1" summaryRight="1"/>
    <pageSetUpPr/>
  </sheetPr>
  <dimension ref="A1:R82"/>
  <sheetViews>
    <sheetView workbookViewId="0">
      <selection activeCell="A1" sqref="A1"/>
    </sheetView>
  </sheetViews>
  <sheetFormatPr baseColWidth="8" defaultRowHeight="15"/>
  <cols>
    <col width="4" customWidth="1" min="1" max="1"/>
    <col width="16" customWidth="1" min="2" max="2"/>
    <col width="6" customWidth="1" min="3" max="3"/>
    <col width="10" customWidth="1" min="4" max="4"/>
    <col width="12" customWidth="1" min="5" max="5"/>
    <col width="6" customWidth="1" min="6" max="6"/>
    <col width="10" customWidth="1" min="7" max="7"/>
    <col width="8" customWidth="1" min="8" max="8"/>
    <col width="8" customWidth="1" min="9" max="9"/>
    <col width="9" customWidth="1" min="10" max="10"/>
    <col width="9" customWidth="1" min="11" max="11"/>
    <col width="9" customWidth="1" min="12" max="12"/>
    <col width="10" customWidth="1" min="13" max="13"/>
    <col width="8" customWidth="1" min="14" max="14"/>
    <col width="11" customWidth="1" min="15" max="15"/>
    <col width="12" customWidth="1" min="16" max="16"/>
    <col width="11" customWidth="1" min="17" max="17"/>
    <col width="12" customWidth="1" min="18" max="18"/>
  </cols>
  <sheetData>
    <row r="1">
      <c r="A1" s="1" t="inlineStr">
        <is>
          <t>BEPAARI LEDGER (Auto-calculated)</t>
        </is>
      </c>
    </row>
    <row r="2">
      <c r="A2" s="7" t="inlineStr">
        <is>
          <t>From: Daily_Sales + Cash_Book (Type=BEPAARI)</t>
        </is>
      </c>
    </row>
    <row r="4">
      <c r="A4" s="2" t="inlineStr">
        <is>
          <t>Sr</t>
        </is>
      </c>
      <c r="B4" s="2" t="inlineStr">
        <is>
          <t>Bepaari</t>
        </is>
      </c>
      <c r="C4" s="2" t="inlineStr">
        <is>
          <t>Comm%</t>
        </is>
      </c>
      <c r="D4" s="2" t="inlineStr">
        <is>
          <t>Opening</t>
        </is>
      </c>
      <c r="E4" s="2" t="inlineStr">
        <is>
          <t>Gross Sales</t>
        </is>
      </c>
      <c r="F4" s="2" t="inlineStr">
        <is>
          <t>Qty</t>
        </is>
      </c>
      <c r="G4" s="2" t="inlineStr">
        <is>
          <t>Commission</t>
        </is>
      </c>
      <c r="H4" s="2" t="inlineStr">
        <is>
          <t>KK</t>
        </is>
      </c>
      <c r="I4" s="2" t="inlineStr">
        <is>
          <t>JB</t>
        </is>
      </c>
      <c r="J4" s="2" t="inlineStr">
        <is>
          <t>Motor</t>
        </is>
      </c>
      <c r="K4" s="2" t="inlineStr">
        <is>
          <t>Bhussa</t>
        </is>
      </c>
      <c r="L4" s="2" t="inlineStr">
        <is>
          <t>Gawali</t>
        </is>
      </c>
      <c r="M4" s="2" t="inlineStr">
        <is>
          <t>Cash/Adv</t>
        </is>
      </c>
      <c r="N4" s="2" t="inlineStr">
        <is>
          <t>Other</t>
        </is>
      </c>
      <c r="O4" s="2" t="inlineStr">
        <is>
          <t>Tot.Deduct</t>
        </is>
      </c>
      <c r="P4" s="2" t="inlineStr">
        <is>
          <t>Net Payable</t>
        </is>
      </c>
      <c r="Q4" s="2" t="inlineStr">
        <is>
          <t>Payments</t>
        </is>
      </c>
      <c r="R4" s="2" t="inlineStr">
        <is>
          <t>BALANCE</t>
        </is>
      </c>
    </row>
    <row r="5">
      <c r="A5" t="n">
        <v>1</v>
      </c>
      <c r="B5">
        <f>IF(Masters!$B$3="","",Masters!$B$3)</f>
        <v/>
      </c>
      <c r="C5">
        <f>IF(B5="","",Masters!$C$3)</f>
        <v/>
      </c>
      <c r="D5" s="11">
        <f>IF(B5="",0,Masters!$D$3)</f>
        <v/>
      </c>
      <c r="E5" s="11">
        <f>SUMIF(Daily_Sales!$C:$C,B5,Daily_Sales!$G:$G)</f>
        <v/>
      </c>
      <c r="F5" s="13">
        <f>SUMIF(Daily_Sales!$C:$C,B5,Daily_Sales!$E:$E)</f>
        <v/>
      </c>
      <c r="G5" s="11">
        <f>IF(B5="",0,E5*C5/100)</f>
        <v/>
      </c>
      <c r="H5" s="9">
        <f>IF(F5&gt;0,Masters!$X$3,0)</f>
        <v/>
      </c>
      <c r="I5" s="9">
        <f>F5*Masters!$X$4</f>
        <v/>
      </c>
      <c r="J5" s="11">
        <f>SUMIFS(Cash_Book!$G:$G,Cash_Book!$C:$C,"BEPAARI",Cash_Book!$D:$D,"MOTOR",Cash_Book!$E:$E,B5)+SUMIFS(Cash_Book!$H:$H,Cash_Book!$C:$C,"BEPAARI",Cash_Book!$D:$D,"MOTOR",Cash_Book!$E:$E,B5)</f>
        <v/>
      </c>
      <c r="K5" s="11">
        <f>SUMIFS(Cash_Book!$G:$G,Cash_Book!$C:$C,"BEPAARI",Cash_Book!$D:$D,"BHUSSA",Cash_Book!$E:$E,B5)+SUMIFS(Cash_Book!$H:$H,Cash_Book!$C:$C,"BEPAARI",Cash_Book!$D:$D,"BHUSSA",Cash_Book!$E:$E,B5)</f>
        <v/>
      </c>
      <c r="L5" s="11">
        <f>SUMIFS(Cash_Book!$G:$G,Cash_Book!$C:$C,"BEPAARI",Cash_Book!$D:$D,"GAWALI",Cash_Book!$E:$E,B5)+SUMIFS(Cash_Book!$H:$H,Cash_Book!$C:$C,"BEPAARI",Cash_Book!$D:$D,"GAWALI",Cash_Book!$E:$E,B5)</f>
        <v/>
      </c>
      <c r="M5" s="11">
        <f>SUMIFS(Cash_Book!$G:$G,Cash_Book!$C:$C,"BEPAARI",Cash_Book!$D:$D,"CASH_ADV",Cash_Book!$E:$E,B5)+SUMIFS(Cash_Book!$H:$H,Cash_Book!$C:$C,"BEPAARI",Cash_Book!$D:$D,"CASH_ADV",Cash_Book!$E:$E,B5)</f>
        <v/>
      </c>
      <c r="N5" s="11">
        <f>SUMIFS(Cash_Book!$G:$G,Cash_Book!$C:$C,"BEPAARI",Cash_Book!$D:$D,"OTHER",Cash_Book!$E:$E,B5)+SUMIFS(Cash_Book!$H:$H,Cash_Book!$C:$C,"BEPAARI",Cash_Book!$D:$D,"OTHER",Cash_Book!$E:$E,B5)</f>
        <v/>
      </c>
      <c r="O5" s="9">
        <f>SUM(G5:N5)</f>
        <v/>
      </c>
      <c r="P5" s="9">
        <f>IF(B5="","",E5-O5+D5)</f>
        <v/>
      </c>
      <c r="Q5" s="11">
        <f>SUMIFS(Cash_Book!$G:$G,Cash_Book!$C:$C,"BEPAARI",Cash_Book!$D:$D,"PAYMENT",Cash_Book!$E:$E,B5)+SUMIFS(Cash_Book!$H:$H,Cash_Book!$C:$C,"BEPAARI",Cash_Book!$D:$D,"PAYMENT",Cash_Book!$E:$E,B5)</f>
        <v/>
      </c>
      <c r="R5" s="14">
        <f>IF(B5="","",P5-Q5)</f>
        <v/>
      </c>
    </row>
    <row r="6">
      <c r="A6" t="n">
        <v>2</v>
      </c>
      <c r="B6">
        <f>IF(Masters!$B$4="","",Masters!$B$4)</f>
        <v/>
      </c>
      <c r="C6">
        <f>IF(B6="","",Masters!$C$4)</f>
        <v/>
      </c>
      <c r="D6" s="11">
        <f>IF(B6="",0,Masters!$D$4)</f>
        <v/>
      </c>
      <c r="E6" s="11">
        <f>SUMIF(Daily_Sales!$C:$C,B6,Daily_Sales!$G:$G)</f>
        <v/>
      </c>
      <c r="F6" s="13">
        <f>SUMIF(Daily_Sales!$C:$C,B6,Daily_Sales!$E:$E)</f>
        <v/>
      </c>
      <c r="G6" s="11">
        <f>IF(B6="",0,E6*C6/100)</f>
        <v/>
      </c>
      <c r="H6" s="9">
        <f>IF(F6&gt;0,Masters!$X$3,0)</f>
        <v/>
      </c>
      <c r="I6" s="9">
        <f>F6*Masters!$X$4</f>
        <v/>
      </c>
      <c r="J6" s="11">
        <f>SUMIFS(Cash_Book!$G:$G,Cash_Book!$C:$C,"BEPAARI",Cash_Book!$D:$D,"MOTOR",Cash_Book!$E:$E,B6)+SUMIFS(Cash_Book!$H:$H,Cash_Book!$C:$C,"BEPAARI",Cash_Book!$D:$D,"MOTOR",Cash_Book!$E:$E,B6)</f>
        <v/>
      </c>
      <c r="K6" s="11">
        <f>SUMIFS(Cash_Book!$G:$G,Cash_Book!$C:$C,"BEPAARI",Cash_Book!$D:$D,"BHUSSA",Cash_Book!$E:$E,B6)+SUMIFS(Cash_Book!$H:$H,Cash_Book!$C:$C,"BEPAARI",Cash_Book!$D:$D,"BHUSSA",Cash_Book!$E:$E,B6)</f>
        <v/>
      </c>
      <c r="L6" s="11">
        <f>SUMIFS(Cash_Book!$G:$G,Cash_Book!$C:$C,"BEPAARI",Cash_Book!$D:$D,"GAWALI",Cash_Book!$E:$E,B6)+SUMIFS(Cash_Book!$H:$H,Cash_Book!$C:$C,"BEPAARI",Cash_Book!$D:$D,"GAWALI",Cash_Book!$E:$E,B6)</f>
        <v/>
      </c>
      <c r="M6" s="11">
        <f>SUMIFS(Cash_Book!$G:$G,Cash_Book!$C:$C,"BEPAARI",Cash_Book!$D:$D,"CASH_ADV",Cash_Book!$E:$E,B6)+SUMIFS(Cash_Book!$H:$H,Cash_Book!$C:$C,"BEPAARI",Cash_Book!$D:$D,"CASH_ADV",Cash_Book!$E:$E,B6)</f>
        <v/>
      </c>
      <c r="N6" s="11">
        <f>SUMIFS(Cash_Book!$G:$G,Cash_Book!$C:$C,"BEPAARI",Cash_Book!$D:$D,"OTHER",Cash_Book!$E:$E,B6)+SUMIFS(Cash_Book!$H:$H,Cash_Book!$C:$C,"BEPAARI",Cash_Book!$D:$D,"OTHER",Cash_Book!$E:$E,B6)</f>
        <v/>
      </c>
      <c r="O6" s="9">
        <f>SUM(G6:N6)</f>
        <v/>
      </c>
      <c r="P6" s="9">
        <f>IF(B6="","",E6-O6+D6)</f>
        <v/>
      </c>
      <c r="Q6" s="11">
        <f>SUMIFS(Cash_Book!$G:$G,Cash_Book!$C:$C,"BEPAARI",Cash_Book!$D:$D,"PAYMENT",Cash_Book!$E:$E,B6)+SUMIFS(Cash_Book!$H:$H,Cash_Book!$C:$C,"BEPAARI",Cash_Book!$D:$D,"PAYMENT",Cash_Book!$E:$E,B6)</f>
        <v/>
      </c>
      <c r="R6" s="14">
        <f>IF(B6="","",P6-Q6)</f>
        <v/>
      </c>
    </row>
    <row r="7">
      <c r="A7" t="n">
        <v>3</v>
      </c>
      <c r="B7">
        <f>IF(Masters!$B$5="","",Masters!$B$5)</f>
        <v/>
      </c>
      <c r="C7">
        <f>IF(B7="","",Masters!$C$5)</f>
        <v/>
      </c>
      <c r="D7" s="11">
        <f>IF(B7="",0,Masters!$D$5)</f>
        <v/>
      </c>
      <c r="E7" s="11">
        <f>SUMIF(Daily_Sales!$C:$C,B7,Daily_Sales!$G:$G)</f>
        <v/>
      </c>
      <c r="F7" s="13">
        <f>SUMIF(Daily_Sales!$C:$C,B7,Daily_Sales!$E:$E)</f>
        <v/>
      </c>
      <c r="G7" s="11">
        <f>IF(B7="",0,E7*C7/100)</f>
        <v/>
      </c>
      <c r="H7" s="9">
        <f>IF(F7&gt;0,Masters!$X$3,0)</f>
        <v/>
      </c>
      <c r="I7" s="9">
        <f>F7*Masters!$X$4</f>
        <v/>
      </c>
      <c r="J7" s="11">
        <f>SUMIFS(Cash_Book!$G:$G,Cash_Book!$C:$C,"BEPAARI",Cash_Book!$D:$D,"MOTOR",Cash_Book!$E:$E,B7)+SUMIFS(Cash_Book!$H:$H,Cash_Book!$C:$C,"BEPAARI",Cash_Book!$D:$D,"MOTOR",Cash_Book!$E:$E,B7)</f>
        <v/>
      </c>
      <c r="K7" s="11">
        <f>SUMIFS(Cash_Book!$G:$G,Cash_Book!$C:$C,"BEPAARI",Cash_Book!$D:$D,"BHUSSA",Cash_Book!$E:$E,B7)+SUMIFS(Cash_Book!$H:$H,Cash_Book!$C:$C,"BEPAARI",Cash_Book!$D:$D,"BHUSSA",Cash_Book!$E:$E,B7)</f>
        <v/>
      </c>
      <c r="L7" s="11">
        <f>SUMIFS(Cash_Book!$G:$G,Cash_Book!$C:$C,"BEPAARI",Cash_Book!$D:$D,"GAWALI",Cash_Book!$E:$E,B7)+SUMIFS(Cash_Book!$H:$H,Cash_Book!$C:$C,"BEPAARI",Cash_Book!$D:$D,"GAWALI",Cash_Book!$E:$E,B7)</f>
        <v/>
      </c>
      <c r="M7" s="11">
        <f>SUMIFS(Cash_Book!$G:$G,Cash_Book!$C:$C,"BEPAARI",Cash_Book!$D:$D,"CASH_ADV",Cash_Book!$E:$E,B7)+SUMIFS(Cash_Book!$H:$H,Cash_Book!$C:$C,"BEPAARI",Cash_Book!$D:$D,"CASH_ADV",Cash_Book!$E:$E,B7)</f>
        <v/>
      </c>
      <c r="N7" s="11">
        <f>SUMIFS(Cash_Book!$G:$G,Cash_Book!$C:$C,"BEPAARI",Cash_Book!$D:$D,"OTHER",Cash_Book!$E:$E,B7)+SUMIFS(Cash_Book!$H:$H,Cash_Book!$C:$C,"BEPAARI",Cash_Book!$D:$D,"OTHER",Cash_Book!$E:$E,B7)</f>
        <v/>
      </c>
      <c r="O7" s="9">
        <f>SUM(G7:N7)</f>
        <v/>
      </c>
      <c r="P7" s="9">
        <f>IF(B7="","",E7-O7+D7)</f>
        <v/>
      </c>
      <c r="Q7" s="11">
        <f>SUMIFS(Cash_Book!$G:$G,Cash_Book!$C:$C,"BEPAARI",Cash_Book!$D:$D,"PAYMENT",Cash_Book!$E:$E,B7)+SUMIFS(Cash_Book!$H:$H,Cash_Book!$C:$C,"BEPAARI",Cash_Book!$D:$D,"PAYMENT",Cash_Book!$E:$E,B7)</f>
        <v/>
      </c>
      <c r="R7" s="14">
        <f>IF(B7="","",P7-Q7)</f>
        <v/>
      </c>
    </row>
    <row r="8">
      <c r="A8" t="n">
        <v>4</v>
      </c>
      <c r="B8">
        <f>IF(Masters!$B$6="","",Masters!$B$6)</f>
        <v/>
      </c>
      <c r="C8">
        <f>IF(B8="","",Masters!$C$6)</f>
        <v/>
      </c>
      <c r="D8" s="11">
        <f>IF(B8="",0,Masters!$D$6)</f>
        <v/>
      </c>
      <c r="E8" s="11">
        <f>SUMIF(Daily_Sales!$C:$C,B8,Daily_Sales!$G:$G)</f>
        <v/>
      </c>
      <c r="F8" s="13">
        <f>SUMIF(Daily_Sales!$C:$C,B8,Daily_Sales!$E:$E)</f>
        <v/>
      </c>
      <c r="G8" s="11">
        <f>IF(B8="",0,E8*C8/100)</f>
        <v/>
      </c>
      <c r="H8" s="9">
        <f>IF(F8&gt;0,Masters!$X$3,0)</f>
        <v/>
      </c>
      <c r="I8" s="9">
        <f>F8*Masters!$X$4</f>
        <v/>
      </c>
      <c r="J8" s="11">
        <f>SUMIFS(Cash_Book!$G:$G,Cash_Book!$C:$C,"BEPAARI",Cash_Book!$D:$D,"MOTOR",Cash_Book!$E:$E,B8)+SUMIFS(Cash_Book!$H:$H,Cash_Book!$C:$C,"BEPAARI",Cash_Book!$D:$D,"MOTOR",Cash_Book!$E:$E,B8)</f>
        <v/>
      </c>
      <c r="K8" s="11">
        <f>SUMIFS(Cash_Book!$G:$G,Cash_Book!$C:$C,"BEPAARI",Cash_Book!$D:$D,"BHUSSA",Cash_Book!$E:$E,B8)+SUMIFS(Cash_Book!$H:$H,Cash_Book!$C:$C,"BEPAARI",Cash_Book!$D:$D,"BHUSSA",Cash_Book!$E:$E,B8)</f>
        <v/>
      </c>
      <c r="L8" s="11">
        <f>SUMIFS(Cash_Book!$G:$G,Cash_Book!$C:$C,"BEPAARI",Cash_Book!$D:$D,"GAWALI",Cash_Book!$E:$E,B8)+SUMIFS(Cash_Book!$H:$H,Cash_Book!$C:$C,"BEPAARI",Cash_Book!$D:$D,"GAWALI",Cash_Book!$E:$E,B8)</f>
        <v/>
      </c>
      <c r="M8" s="11">
        <f>SUMIFS(Cash_Book!$G:$G,Cash_Book!$C:$C,"BEPAARI",Cash_Book!$D:$D,"CASH_ADV",Cash_Book!$E:$E,B8)+SUMIFS(Cash_Book!$H:$H,Cash_Book!$C:$C,"BEPAARI",Cash_Book!$D:$D,"CASH_ADV",Cash_Book!$E:$E,B8)</f>
        <v/>
      </c>
      <c r="N8" s="11">
        <f>SUMIFS(Cash_Book!$G:$G,Cash_Book!$C:$C,"BEPAARI",Cash_Book!$D:$D,"OTHER",Cash_Book!$E:$E,B8)+SUMIFS(Cash_Book!$H:$H,Cash_Book!$C:$C,"BEPAARI",Cash_Book!$D:$D,"OTHER",Cash_Book!$E:$E,B8)</f>
        <v/>
      </c>
      <c r="O8" s="9">
        <f>SUM(G8:N8)</f>
        <v/>
      </c>
      <c r="P8" s="9">
        <f>IF(B8="","",E8-O8+D8)</f>
        <v/>
      </c>
      <c r="Q8" s="11">
        <f>SUMIFS(Cash_Book!$G:$G,Cash_Book!$C:$C,"BEPAARI",Cash_Book!$D:$D,"PAYMENT",Cash_Book!$E:$E,B8)+SUMIFS(Cash_Book!$H:$H,Cash_Book!$C:$C,"BEPAARI",Cash_Book!$D:$D,"PAYMENT",Cash_Book!$E:$E,B8)</f>
        <v/>
      </c>
      <c r="R8" s="14">
        <f>IF(B8="","",P8-Q8)</f>
        <v/>
      </c>
    </row>
    <row r="9">
      <c r="A9" t="n">
        <v>5</v>
      </c>
      <c r="B9">
        <f>IF(Masters!$B$7="","",Masters!$B$7)</f>
        <v/>
      </c>
      <c r="C9">
        <f>IF(B9="","",Masters!$C$7)</f>
        <v/>
      </c>
      <c r="D9" s="11">
        <f>IF(B9="",0,Masters!$D$7)</f>
        <v/>
      </c>
      <c r="E9" s="11">
        <f>SUMIF(Daily_Sales!$C:$C,B9,Daily_Sales!$G:$G)</f>
        <v/>
      </c>
      <c r="F9" s="13">
        <f>SUMIF(Daily_Sales!$C:$C,B9,Daily_Sales!$E:$E)</f>
        <v/>
      </c>
      <c r="G9" s="11">
        <f>IF(B9="",0,E9*C9/100)</f>
        <v/>
      </c>
      <c r="H9" s="9">
        <f>IF(F9&gt;0,Masters!$X$3,0)</f>
        <v/>
      </c>
      <c r="I9" s="9">
        <f>F9*Masters!$X$4</f>
        <v/>
      </c>
      <c r="J9" s="11">
        <f>SUMIFS(Cash_Book!$G:$G,Cash_Book!$C:$C,"BEPAARI",Cash_Book!$D:$D,"MOTOR",Cash_Book!$E:$E,B9)+SUMIFS(Cash_Book!$H:$H,Cash_Book!$C:$C,"BEPAARI",Cash_Book!$D:$D,"MOTOR",Cash_Book!$E:$E,B9)</f>
        <v/>
      </c>
      <c r="K9" s="11">
        <f>SUMIFS(Cash_Book!$G:$G,Cash_Book!$C:$C,"BEPAARI",Cash_Book!$D:$D,"BHUSSA",Cash_Book!$E:$E,B9)+SUMIFS(Cash_Book!$H:$H,Cash_Book!$C:$C,"BEPAARI",Cash_Book!$D:$D,"BHUSSA",Cash_Book!$E:$E,B9)</f>
        <v/>
      </c>
      <c r="L9" s="11">
        <f>SUMIFS(Cash_Book!$G:$G,Cash_Book!$C:$C,"BEPAARI",Cash_Book!$D:$D,"GAWALI",Cash_Book!$E:$E,B9)+SUMIFS(Cash_Book!$H:$H,Cash_Book!$C:$C,"BEPAARI",Cash_Book!$D:$D,"GAWALI",Cash_Book!$E:$E,B9)</f>
        <v/>
      </c>
      <c r="M9" s="11">
        <f>SUMIFS(Cash_Book!$G:$G,Cash_Book!$C:$C,"BEPAARI",Cash_Book!$D:$D,"CASH_ADV",Cash_Book!$E:$E,B9)+SUMIFS(Cash_Book!$H:$H,Cash_Book!$C:$C,"BEPAARI",Cash_Book!$D:$D,"CASH_ADV",Cash_Book!$E:$E,B9)</f>
        <v/>
      </c>
      <c r="N9" s="11">
        <f>SUMIFS(Cash_Book!$G:$G,Cash_Book!$C:$C,"BEPAARI",Cash_Book!$D:$D,"OTHER",Cash_Book!$E:$E,B9)+SUMIFS(Cash_Book!$H:$H,Cash_Book!$C:$C,"BEPAARI",Cash_Book!$D:$D,"OTHER",Cash_Book!$E:$E,B9)</f>
        <v/>
      </c>
      <c r="O9" s="9">
        <f>SUM(G9:N9)</f>
        <v/>
      </c>
      <c r="P9" s="9">
        <f>IF(B9="","",E9-O9+D9)</f>
        <v/>
      </c>
      <c r="Q9" s="11">
        <f>SUMIFS(Cash_Book!$G:$G,Cash_Book!$C:$C,"BEPAARI",Cash_Book!$D:$D,"PAYMENT",Cash_Book!$E:$E,B9)+SUMIFS(Cash_Book!$H:$H,Cash_Book!$C:$C,"BEPAARI",Cash_Book!$D:$D,"PAYMENT",Cash_Book!$E:$E,B9)</f>
        <v/>
      </c>
      <c r="R9" s="14">
        <f>IF(B9="","",P9-Q9)</f>
        <v/>
      </c>
    </row>
    <row r="10">
      <c r="A10" t="n">
        <v>6</v>
      </c>
      <c r="B10">
        <f>IF(Masters!$B$8="","",Masters!$B$8)</f>
        <v/>
      </c>
      <c r="C10">
        <f>IF(B10="","",Masters!$C$8)</f>
        <v/>
      </c>
      <c r="D10" s="11">
        <f>IF(B10="",0,Masters!$D$8)</f>
        <v/>
      </c>
      <c r="E10" s="11">
        <f>SUMIF(Daily_Sales!$C:$C,B10,Daily_Sales!$G:$G)</f>
        <v/>
      </c>
      <c r="F10" s="13">
        <f>SUMIF(Daily_Sales!$C:$C,B10,Daily_Sales!$E:$E)</f>
        <v/>
      </c>
      <c r="G10" s="11">
        <f>IF(B10="",0,E10*C10/100)</f>
        <v/>
      </c>
      <c r="H10" s="9">
        <f>IF(F10&gt;0,Masters!$X$3,0)</f>
        <v/>
      </c>
      <c r="I10" s="9">
        <f>F10*Masters!$X$4</f>
        <v/>
      </c>
      <c r="J10" s="11">
        <f>SUMIFS(Cash_Book!$G:$G,Cash_Book!$C:$C,"BEPAARI",Cash_Book!$D:$D,"MOTOR",Cash_Book!$E:$E,B10)+SUMIFS(Cash_Book!$H:$H,Cash_Book!$C:$C,"BEPAARI",Cash_Book!$D:$D,"MOTOR",Cash_Book!$E:$E,B10)</f>
        <v/>
      </c>
      <c r="K10" s="11">
        <f>SUMIFS(Cash_Book!$G:$G,Cash_Book!$C:$C,"BEPAARI",Cash_Book!$D:$D,"BHUSSA",Cash_Book!$E:$E,B10)+SUMIFS(Cash_Book!$H:$H,Cash_Book!$C:$C,"BEPAARI",Cash_Book!$D:$D,"BHUSSA",Cash_Book!$E:$E,B10)</f>
        <v/>
      </c>
      <c r="L10" s="11">
        <f>SUMIFS(Cash_Book!$G:$G,Cash_Book!$C:$C,"BEPAARI",Cash_Book!$D:$D,"GAWALI",Cash_Book!$E:$E,B10)+SUMIFS(Cash_Book!$H:$H,Cash_Book!$C:$C,"BEPAARI",Cash_Book!$D:$D,"GAWALI",Cash_Book!$E:$E,B10)</f>
        <v/>
      </c>
      <c r="M10" s="11">
        <f>SUMIFS(Cash_Book!$G:$G,Cash_Book!$C:$C,"BEPAARI",Cash_Book!$D:$D,"CASH_ADV",Cash_Book!$E:$E,B10)+SUMIFS(Cash_Book!$H:$H,Cash_Book!$C:$C,"BEPAARI",Cash_Book!$D:$D,"CASH_ADV",Cash_Book!$E:$E,B10)</f>
        <v/>
      </c>
      <c r="N10" s="11">
        <f>SUMIFS(Cash_Book!$G:$G,Cash_Book!$C:$C,"BEPAARI",Cash_Book!$D:$D,"OTHER",Cash_Book!$E:$E,B10)+SUMIFS(Cash_Book!$H:$H,Cash_Book!$C:$C,"BEPAARI",Cash_Book!$D:$D,"OTHER",Cash_Book!$E:$E,B10)</f>
        <v/>
      </c>
      <c r="O10" s="9">
        <f>SUM(G10:N10)</f>
        <v/>
      </c>
      <c r="P10" s="9">
        <f>IF(B10="","",E10-O10+D10)</f>
        <v/>
      </c>
      <c r="Q10" s="11">
        <f>SUMIFS(Cash_Book!$G:$G,Cash_Book!$C:$C,"BEPAARI",Cash_Book!$D:$D,"PAYMENT",Cash_Book!$E:$E,B10)+SUMIFS(Cash_Book!$H:$H,Cash_Book!$C:$C,"BEPAARI",Cash_Book!$D:$D,"PAYMENT",Cash_Book!$E:$E,B10)</f>
        <v/>
      </c>
      <c r="R10" s="14">
        <f>IF(B10="","",P10-Q10)</f>
        <v/>
      </c>
    </row>
    <row r="11">
      <c r="A11" t="n">
        <v>7</v>
      </c>
      <c r="B11">
        <f>IF(Masters!$B$9="","",Masters!$B$9)</f>
        <v/>
      </c>
      <c r="C11">
        <f>IF(B11="","",Masters!$C$9)</f>
        <v/>
      </c>
      <c r="D11" s="11">
        <f>IF(B11="",0,Masters!$D$9)</f>
        <v/>
      </c>
      <c r="E11" s="11">
        <f>SUMIF(Daily_Sales!$C:$C,B11,Daily_Sales!$G:$G)</f>
        <v/>
      </c>
      <c r="F11" s="13">
        <f>SUMIF(Daily_Sales!$C:$C,B11,Daily_Sales!$E:$E)</f>
        <v/>
      </c>
      <c r="G11" s="11">
        <f>IF(B11="",0,E11*C11/100)</f>
        <v/>
      </c>
      <c r="H11" s="9">
        <f>IF(F11&gt;0,Masters!$X$3,0)</f>
        <v/>
      </c>
      <c r="I11" s="9">
        <f>F11*Masters!$X$4</f>
        <v/>
      </c>
      <c r="J11" s="11">
        <f>SUMIFS(Cash_Book!$G:$G,Cash_Book!$C:$C,"BEPAARI",Cash_Book!$D:$D,"MOTOR",Cash_Book!$E:$E,B11)+SUMIFS(Cash_Book!$H:$H,Cash_Book!$C:$C,"BEPAARI",Cash_Book!$D:$D,"MOTOR",Cash_Book!$E:$E,B11)</f>
        <v/>
      </c>
      <c r="K11" s="11">
        <f>SUMIFS(Cash_Book!$G:$G,Cash_Book!$C:$C,"BEPAARI",Cash_Book!$D:$D,"BHUSSA",Cash_Book!$E:$E,B11)+SUMIFS(Cash_Book!$H:$H,Cash_Book!$C:$C,"BEPAARI",Cash_Book!$D:$D,"BHUSSA",Cash_Book!$E:$E,B11)</f>
        <v/>
      </c>
      <c r="L11" s="11">
        <f>SUMIFS(Cash_Book!$G:$G,Cash_Book!$C:$C,"BEPAARI",Cash_Book!$D:$D,"GAWALI",Cash_Book!$E:$E,B11)+SUMIFS(Cash_Book!$H:$H,Cash_Book!$C:$C,"BEPAARI",Cash_Book!$D:$D,"GAWALI",Cash_Book!$E:$E,B11)</f>
        <v/>
      </c>
      <c r="M11" s="11">
        <f>SUMIFS(Cash_Book!$G:$G,Cash_Book!$C:$C,"BEPAARI",Cash_Book!$D:$D,"CASH_ADV",Cash_Book!$E:$E,B11)+SUMIFS(Cash_Book!$H:$H,Cash_Book!$C:$C,"BEPAARI",Cash_Book!$D:$D,"CASH_ADV",Cash_Book!$E:$E,B11)</f>
        <v/>
      </c>
      <c r="N11" s="11">
        <f>SUMIFS(Cash_Book!$G:$G,Cash_Book!$C:$C,"BEPAARI",Cash_Book!$D:$D,"OTHER",Cash_Book!$E:$E,B11)+SUMIFS(Cash_Book!$H:$H,Cash_Book!$C:$C,"BEPAARI",Cash_Book!$D:$D,"OTHER",Cash_Book!$E:$E,B11)</f>
        <v/>
      </c>
      <c r="O11" s="9">
        <f>SUM(G11:N11)</f>
        <v/>
      </c>
      <c r="P11" s="9">
        <f>IF(B11="","",E11-O11+D11)</f>
        <v/>
      </c>
      <c r="Q11" s="11">
        <f>SUMIFS(Cash_Book!$G:$G,Cash_Book!$C:$C,"BEPAARI",Cash_Book!$D:$D,"PAYMENT",Cash_Book!$E:$E,B11)+SUMIFS(Cash_Book!$H:$H,Cash_Book!$C:$C,"BEPAARI",Cash_Book!$D:$D,"PAYMENT",Cash_Book!$E:$E,B11)</f>
        <v/>
      </c>
      <c r="R11" s="14">
        <f>IF(B11="","",P11-Q11)</f>
        <v/>
      </c>
    </row>
    <row r="12">
      <c r="A12" t="n">
        <v>8</v>
      </c>
      <c r="B12">
        <f>IF(Masters!$B$10="","",Masters!$B$10)</f>
        <v/>
      </c>
      <c r="C12">
        <f>IF(B12="","",Masters!$C$10)</f>
        <v/>
      </c>
      <c r="D12" s="11">
        <f>IF(B12="",0,Masters!$D$10)</f>
        <v/>
      </c>
      <c r="E12" s="11">
        <f>SUMIF(Daily_Sales!$C:$C,B12,Daily_Sales!$G:$G)</f>
        <v/>
      </c>
      <c r="F12" s="13">
        <f>SUMIF(Daily_Sales!$C:$C,B12,Daily_Sales!$E:$E)</f>
        <v/>
      </c>
      <c r="G12" s="11">
        <f>IF(B12="",0,E12*C12/100)</f>
        <v/>
      </c>
      <c r="H12" s="9">
        <f>IF(F12&gt;0,Masters!$X$3,0)</f>
        <v/>
      </c>
      <c r="I12" s="9">
        <f>F12*Masters!$X$4</f>
        <v/>
      </c>
      <c r="J12" s="11">
        <f>SUMIFS(Cash_Book!$G:$G,Cash_Book!$C:$C,"BEPAARI",Cash_Book!$D:$D,"MOTOR",Cash_Book!$E:$E,B12)+SUMIFS(Cash_Book!$H:$H,Cash_Book!$C:$C,"BEPAARI",Cash_Book!$D:$D,"MOTOR",Cash_Book!$E:$E,B12)</f>
        <v/>
      </c>
      <c r="K12" s="11">
        <f>SUMIFS(Cash_Book!$G:$G,Cash_Book!$C:$C,"BEPAARI",Cash_Book!$D:$D,"BHUSSA",Cash_Book!$E:$E,B12)+SUMIFS(Cash_Book!$H:$H,Cash_Book!$C:$C,"BEPAARI",Cash_Book!$D:$D,"BHUSSA",Cash_Book!$E:$E,B12)</f>
        <v/>
      </c>
      <c r="L12" s="11">
        <f>SUMIFS(Cash_Book!$G:$G,Cash_Book!$C:$C,"BEPAARI",Cash_Book!$D:$D,"GAWALI",Cash_Book!$E:$E,B12)+SUMIFS(Cash_Book!$H:$H,Cash_Book!$C:$C,"BEPAARI",Cash_Book!$D:$D,"GAWALI",Cash_Book!$E:$E,B12)</f>
        <v/>
      </c>
      <c r="M12" s="11">
        <f>SUMIFS(Cash_Book!$G:$G,Cash_Book!$C:$C,"BEPAARI",Cash_Book!$D:$D,"CASH_ADV",Cash_Book!$E:$E,B12)+SUMIFS(Cash_Book!$H:$H,Cash_Book!$C:$C,"BEPAARI",Cash_Book!$D:$D,"CASH_ADV",Cash_Book!$E:$E,B12)</f>
        <v/>
      </c>
      <c r="N12" s="11">
        <f>SUMIFS(Cash_Book!$G:$G,Cash_Book!$C:$C,"BEPAARI",Cash_Book!$D:$D,"OTHER",Cash_Book!$E:$E,B12)+SUMIFS(Cash_Book!$H:$H,Cash_Book!$C:$C,"BEPAARI",Cash_Book!$D:$D,"OTHER",Cash_Book!$E:$E,B12)</f>
        <v/>
      </c>
      <c r="O12" s="9">
        <f>SUM(G12:N12)</f>
        <v/>
      </c>
      <c r="P12" s="9">
        <f>IF(B12="","",E12-O12+D12)</f>
        <v/>
      </c>
      <c r="Q12" s="11">
        <f>SUMIFS(Cash_Book!$G:$G,Cash_Book!$C:$C,"BEPAARI",Cash_Book!$D:$D,"PAYMENT",Cash_Book!$E:$E,B12)+SUMIFS(Cash_Book!$H:$H,Cash_Book!$C:$C,"BEPAARI",Cash_Book!$D:$D,"PAYMENT",Cash_Book!$E:$E,B12)</f>
        <v/>
      </c>
      <c r="R12" s="14">
        <f>IF(B12="","",P12-Q12)</f>
        <v/>
      </c>
    </row>
    <row r="13">
      <c r="A13" t="n">
        <v>9</v>
      </c>
      <c r="B13">
        <f>IF(Masters!$B$11="","",Masters!$B$11)</f>
        <v/>
      </c>
      <c r="C13">
        <f>IF(B13="","",Masters!$C$11)</f>
        <v/>
      </c>
      <c r="D13" s="11">
        <f>IF(B13="",0,Masters!$D$11)</f>
        <v/>
      </c>
      <c r="E13" s="11">
        <f>SUMIF(Daily_Sales!$C:$C,B13,Daily_Sales!$G:$G)</f>
        <v/>
      </c>
      <c r="F13" s="13">
        <f>SUMIF(Daily_Sales!$C:$C,B13,Daily_Sales!$E:$E)</f>
        <v/>
      </c>
      <c r="G13" s="11">
        <f>IF(B13="",0,E13*C13/100)</f>
        <v/>
      </c>
      <c r="H13" s="9">
        <f>IF(F13&gt;0,Masters!$X$3,0)</f>
        <v/>
      </c>
      <c r="I13" s="9">
        <f>F13*Masters!$X$4</f>
        <v/>
      </c>
      <c r="J13" s="11">
        <f>SUMIFS(Cash_Book!$G:$G,Cash_Book!$C:$C,"BEPAARI",Cash_Book!$D:$D,"MOTOR",Cash_Book!$E:$E,B13)+SUMIFS(Cash_Book!$H:$H,Cash_Book!$C:$C,"BEPAARI",Cash_Book!$D:$D,"MOTOR",Cash_Book!$E:$E,B13)</f>
        <v/>
      </c>
      <c r="K13" s="11">
        <f>SUMIFS(Cash_Book!$G:$G,Cash_Book!$C:$C,"BEPAARI",Cash_Book!$D:$D,"BHUSSA",Cash_Book!$E:$E,B13)+SUMIFS(Cash_Book!$H:$H,Cash_Book!$C:$C,"BEPAARI",Cash_Book!$D:$D,"BHUSSA",Cash_Book!$E:$E,B13)</f>
        <v/>
      </c>
      <c r="L13" s="11">
        <f>SUMIFS(Cash_Book!$G:$G,Cash_Book!$C:$C,"BEPAARI",Cash_Book!$D:$D,"GAWALI",Cash_Book!$E:$E,B13)+SUMIFS(Cash_Book!$H:$H,Cash_Book!$C:$C,"BEPAARI",Cash_Book!$D:$D,"GAWALI",Cash_Book!$E:$E,B13)</f>
        <v/>
      </c>
      <c r="M13" s="11">
        <f>SUMIFS(Cash_Book!$G:$G,Cash_Book!$C:$C,"BEPAARI",Cash_Book!$D:$D,"CASH_ADV",Cash_Book!$E:$E,B13)+SUMIFS(Cash_Book!$H:$H,Cash_Book!$C:$C,"BEPAARI",Cash_Book!$D:$D,"CASH_ADV",Cash_Book!$E:$E,B13)</f>
        <v/>
      </c>
      <c r="N13" s="11">
        <f>SUMIFS(Cash_Book!$G:$G,Cash_Book!$C:$C,"BEPAARI",Cash_Book!$D:$D,"OTHER",Cash_Book!$E:$E,B13)+SUMIFS(Cash_Book!$H:$H,Cash_Book!$C:$C,"BEPAARI",Cash_Book!$D:$D,"OTHER",Cash_Book!$E:$E,B13)</f>
        <v/>
      </c>
      <c r="O13" s="9">
        <f>SUM(G13:N13)</f>
        <v/>
      </c>
      <c r="P13" s="9">
        <f>IF(B13="","",E13-O13+D13)</f>
        <v/>
      </c>
      <c r="Q13" s="11">
        <f>SUMIFS(Cash_Book!$G:$G,Cash_Book!$C:$C,"BEPAARI",Cash_Book!$D:$D,"PAYMENT",Cash_Book!$E:$E,B13)+SUMIFS(Cash_Book!$H:$H,Cash_Book!$C:$C,"BEPAARI",Cash_Book!$D:$D,"PAYMENT",Cash_Book!$E:$E,B13)</f>
        <v/>
      </c>
      <c r="R13" s="14">
        <f>IF(B13="","",P13-Q13)</f>
        <v/>
      </c>
    </row>
    <row r="14">
      <c r="A14" t="n">
        <v>10</v>
      </c>
      <c r="B14">
        <f>IF(Masters!$B$12="","",Masters!$B$12)</f>
        <v/>
      </c>
      <c r="C14">
        <f>IF(B14="","",Masters!$C$12)</f>
        <v/>
      </c>
      <c r="D14" s="11">
        <f>IF(B14="",0,Masters!$D$12)</f>
        <v/>
      </c>
      <c r="E14" s="11">
        <f>SUMIF(Daily_Sales!$C:$C,B14,Daily_Sales!$G:$G)</f>
        <v/>
      </c>
      <c r="F14" s="13">
        <f>SUMIF(Daily_Sales!$C:$C,B14,Daily_Sales!$E:$E)</f>
        <v/>
      </c>
      <c r="G14" s="11">
        <f>IF(B14="",0,E14*C14/100)</f>
        <v/>
      </c>
      <c r="H14" s="9">
        <f>IF(F14&gt;0,Masters!$X$3,0)</f>
        <v/>
      </c>
      <c r="I14" s="9">
        <f>F14*Masters!$X$4</f>
        <v/>
      </c>
      <c r="J14" s="11">
        <f>SUMIFS(Cash_Book!$G:$G,Cash_Book!$C:$C,"BEPAARI",Cash_Book!$D:$D,"MOTOR",Cash_Book!$E:$E,B14)+SUMIFS(Cash_Book!$H:$H,Cash_Book!$C:$C,"BEPAARI",Cash_Book!$D:$D,"MOTOR",Cash_Book!$E:$E,B14)</f>
        <v/>
      </c>
      <c r="K14" s="11">
        <f>SUMIFS(Cash_Book!$G:$G,Cash_Book!$C:$C,"BEPAARI",Cash_Book!$D:$D,"BHUSSA",Cash_Book!$E:$E,B14)+SUMIFS(Cash_Book!$H:$H,Cash_Book!$C:$C,"BEPAARI",Cash_Book!$D:$D,"BHUSSA",Cash_Book!$E:$E,B14)</f>
        <v/>
      </c>
      <c r="L14" s="11">
        <f>SUMIFS(Cash_Book!$G:$G,Cash_Book!$C:$C,"BEPAARI",Cash_Book!$D:$D,"GAWALI",Cash_Book!$E:$E,B14)+SUMIFS(Cash_Book!$H:$H,Cash_Book!$C:$C,"BEPAARI",Cash_Book!$D:$D,"GAWALI",Cash_Book!$E:$E,B14)</f>
        <v/>
      </c>
      <c r="M14" s="11">
        <f>SUMIFS(Cash_Book!$G:$G,Cash_Book!$C:$C,"BEPAARI",Cash_Book!$D:$D,"CASH_ADV",Cash_Book!$E:$E,B14)+SUMIFS(Cash_Book!$H:$H,Cash_Book!$C:$C,"BEPAARI",Cash_Book!$D:$D,"CASH_ADV",Cash_Book!$E:$E,B14)</f>
        <v/>
      </c>
      <c r="N14" s="11">
        <f>SUMIFS(Cash_Book!$G:$G,Cash_Book!$C:$C,"BEPAARI",Cash_Book!$D:$D,"OTHER",Cash_Book!$E:$E,B14)+SUMIFS(Cash_Book!$H:$H,Cash_Book!$C:$C,"BEPAARI",Cash_Book!$D:$D,"OTHER",Cash_Book!$E:$E,B14)</f>
        <v/>
      </c>
      <c r="O14" s="9">
        <f>SUM(G14:N14)</f>
        <v/>
      </c>
      <c r="P14" s="9">
        <f>IF(B14="","",E14-O14+D14)</f>
        <v/>
      </c>
      <c r="Q14" s="11">
        <f>SUMIFS(Cash_Book!$G:$G,Cash_Book!$C:$C,"BEPAARI",Cash_Book!$D:$D,"PAYMENT",Cash_Book!$E:$E,B14)+SUMIFS(Cash_Book!$H:$H,Cash_Book!$C:$C,"BEPAARI",Cash_Book!$D:$D,"PAYMENT",Cash_Book!$E:$E,B14)</f>
        <v/>
      </c>
      <c r="R14" s="14">
        <f>IF(B14="","",P14-Q14)</f>
        <v/>
      </c>
    </row>
    <row r="15">
      <c r="A15" t="n">
        <v>11</v>
      </c>
      <c r="B15">
        <f>IF(Masters!$B$13="","",Masters!$B$13)</f>
        <v/>
      </c>
      <c r="C15">
        <f>IF(B15="","",Masters!$C$13)</f>
        <v/>
      </c>
      <c r="D15" s="11">
        <f>IF(B15="",0,Masters!$D$13)</f>
        <v/>
      </c>
      <c r="E15" s="11">
        <f>SUMIF(Daily_Sales!$C:$C,B15,Daily_Sales!$G:$G)</f>
        <v/>
      </c>
      <c r="F15" s="13">
        <f>SUMIF(Daily_Sales!$C:$C,B15,Daily_Sales!$E:$E)</f>
        <v/>
      </c>
      <c r="G15" s="11">
        <f>IF(B15="",0,E15*C15/100)</f>
        <v/>
      </c>
      <c r="H15" s="9">
        <f>IF(F15&gt;0,Masters!$X$3,0)</f>
        <v/>
      </c>
      <c r="I15" s="9">
        <f>F15*Masters!$X$4</f>
        <v/>
      </c>
      <c r="J15" s="11">
        <f>SUMIFS(Cash_Book!$G:$G,Cash_Book!$C:$C,"BEPAARI",Cash_Book!$D:$D,"MOTOR",Cash_Book!$E:$E,B15)+SUMIFS(Cash_Book!$H:$H,Cash_Book!$C:$C,"BEPAARI",Cash_Book!$D:$D,"MOTOR",Cash_Book!$E:$E,B15)</f>
        <v/>
      </c>
      <c r="K15" s="11">
        <f>SUMIFS(Cash_Book!$G:$G,Cash_Book!$C:$C,"BEPAARI",Cash_Book!$D:$D,"BHUSSA",Cash_Book!$E:$E,B15)+SUMIFS(Cash_Book!$H:$H,Cash_Book!$C:$C,"BEPAARI",Cash_Book!$D:$D,"BHUSSA",Cash_Book!$E:$E,B15)</f>
        <v/>
      </c>
      <c r="L15" s="11">
        <f>SUMIFS(Cash_Book!$G:$G,Cash_Book!$C:$C,"BEPAARI",Cash_Book!$D:$D,"GAWALI",Cash_Book!$E:$E,B15)+SUMIFS(Cash_Book!$H:$H,Cash_Book!$C:$C,"BEPAARI",Cash_Book!$D:$D,"GAWALI",Cash_Book!$E:$E,B15)</f>
        <v/>
      </c>
      <c r="M15" s="11">
        <f>SUMIFS(Cash_Book!$G:$G,Cash_Book!$C:$C,"BEPAARI",Cash_Book!$D:$D,"CASH_ADV",Cash_Book!$E:$E,B15)+SUMIFS(Cash_Book!$H:$H,Cash_Book!$C:$C,"BEPAARI",Cash_Book!$D:$D,"CASH_ADV",Cash_Book!$E:$E,B15)</f>
        <v/>
      </c>
      <c r="N15" s="11">
        <f>SUMIFS(Cash_Book!$G:$G,Cash_Book!$C:$C,"BEPAARI",Cash_Book!$D:$D,"OTHER",Cash_Book!$E:$E,B15)+SUMIFS(Cash_Book!$H:$H,Cash_Book!$C:$C,"BEPAARI",Cash_Book!$D:$D,"OTHER",Cash_Book!$E:$E,B15)</f>
        <v/>
      </c>
      <c r="O15" s="9">
        <f>SUM(G15:N15)</f>
        <v/>
      </c>
      <c r="P15" s="9">
        <f>IF(B15="","",E15-O15+D15)</f>
        <v/>
      </c>
      <c r="Q15" s="11">
        <f>SUMIFS(Cash_Book!$G:$G,Cash_Book!$C:$C,"BEPAARI",Cash_Book!$D:$D,"PAYMENT",Cash_Book!$E:$E,B15)+SUMIFS(Cash_Book!$H:$H,Cash_Book!$C:$C,"BEPAARI",Cash_Book!$D:$D,"PAYMENT",Cash_Book!$E:$E,B15)</f>
        <v/>
      </c>
      <c r="R15" s="14">
        <f>IF(B15="","",P15-Q15)</f>
        <v/>
      </c>
    </row>
    <row r="16">
      <c r="A16" t="n">
        <v>12</v>
      </c>
      <c r="B16">
        <f>IF(Masters!$B$14="","",Masters!$B$14)</f>
        <v/>
      </c>
      <c r="C16">
        <f>IF(B16="","",Masters!$C$14)</f>
        <v/>
      </c>
      <c r="D16" s="11">
        <f>IF(B16="",0,Masters!$D$14)</f>
        <v/>
      </c>
      <c r="E16" s="11">
        <f>SUMIF(Daily_Sales!$C:$C,B16,Daily_Sales!$G:$G)</f>
        <v/>
      </c>
      <c r="F16" s="13">
        <f>SUMIF(Daily_Sales!$C:$C,B16,Daily_Sales!$E:$E)</f>
        <v/>
      </c>
      <c r="G16" s="11">
        <f>IF(B16="",0,E16*C16/100)</f>
        <v/>
      </c>
      <c r="H16" s="9">
        <f>IF(F16&gt;0,Masters!$X$3,0)</f>
        <v/>
      </c>
      <c r="I16" s="9">
        <f>F16*Masters!$X$4</f>
        <v/>
      </c>
      <c r="J16" s="11">
        <f>SUMIFS(Cash_Book!$G:$G,Cash_Book!$C:$C,"BEPAARI",Cash_Book!$D:$D,"MOTOR",Cash_Book!$E:$E,B16)+SUMIFS(Cash_Book!$H:$H,Cash_Book!$C:$C,"BEPAARI",Cash_Book!$D:$D,"MOTOR",Cash_Book!$E:$E,B16)</f>
        <v/>
      </c>
      <c r="K16" s="11">
        <f>SUMIFS(Cash_Book!$G:$G,Cash_Book!$C:$C,"BEPAARI",Cash_Book!$D:$D,"BHUSSA",Cash_Book!$E:$E,B16)+SUMIFS(Cash_Book!$H:$H,Cash_Book!$C:$C,"BEPAARI",Cash_Book!$D:$D,"BHUSSA",Cash_Book!$E:$E,B16)</f>
        <v/>
      </c>
      <c r="L16" s="11">
        <f>SUMIFS(Cash_Book!$G:$G,Cash_Book!$C:$C,"BEPAARI",Cash_Book!$D:$D,"GAWALI",Cash_Book!$E:$E,B16)+SUMIFS(Cash_Book!$H:$H,Cash_Book!$C:$C,"BEPAARI",Cash_Book!$D:$D,"GAWALI",Cash_Book!$E:$E,B16)</f>
        <v/>
      </c>
      <c r="M16" s="11">
        <f>SUMIFS(Cash_Book!$G:$G,Cash_Book!$C:$C,"BEPAARI",Cash_Book!$D:$D,"CASH_ADV",Cash_Book!$E:$E,B16)+SUMIFS(Cash_Book!$H:$H,Cash_Book!$C:$C,"BEPAARI",Cash_Book!$D:$D,"CASH_ADV",Cash_Book!$E:$E,B16)</f>
        <v/>
      </c>
      <c r="N16" s="11">
        <f>SUMIFS(Cash_Book!$G:$G,Cash_Book!$C:$C,"BEPAARI",Cash_Book!$D:$D,"OTHER",Cash_Book!$E:$E,B16)+SUMIFS(Cash_Book!$H:$H,Cash_Book!$C:$C,"BEPAARI",Cash_Book!$D:$D,"OTHER",Cash_Book!$E:$E,B16)</f>
        <v/>
      </c>
      <c r="O16" s="9">
        <f>SUM(G16:N16)</f>
        <v/>
      </c>
      <c r="P16" s="9">
        <f>IF(B16="","",E16-O16+D16)</f>
        <v/>
      </c>
      <c r="Q16" s="11">
        <f>SUMIFS(Cash_Book!$G:$G,Cash_Book!$C:$C,"BEPAARI",Cash_Book!$D:$D,"PAYMENT",Cash_Book!$E:$E,B16)+SUMIFS(Cash_Book!$H:$H,Cash_Book!$C:$C,"BEPAARI",Cash_Book!$D:$D,"PAYMENT",Cash_Book!$E:$E,B16)</f>
        <v/>
      </c>
      <c r="R16" s="14">
        <f>IF(B16="","",P16-Q16)</f>
        <v/>
      </c>
    </row>
    <row r="17">
      <c r="A17" t="n">
        <v>13</v>
      </c>
      <c r="B17">
        <f>IF(Masters!$B$15="","",Masters!$B$15)</f>
        <v/>
      </c>
      <c r="C17">
        <f>IF(B17="","",Masters!$C$15)</f>
        <v/>
      </c>
      <c r="D17" s="11">
        <f>IF(B17="",0,Masters!$D$15)</f>
        <v/>
      </c>
      <c r="E17" s="11">
        <f>SUMIF(Daily_Sales!$C:$C,B17,Daily_Sales!$G:$G)</f>
        <v/>
      </c>
      <c r="F17" s="13">
        <f>SUMIF(Daily_Sales!$C:$C,B17,Daily_Sales!$E:$E)</f>
        <v/>
      </c>
      <c r="G17" s="11">
        <f>IF(B17="",0,E17*C17/100)</f>
        <v/>
      </c>
      <c r="H17" s="9">
        <f>IF(F17&gt;0,Masters!$X$3,0)</f>
        <v/>
      </c>
      <c r="I17" s="9">
        <f>F17*Masters!$X$4</f>
        <v/>
      </c>
      <c r="J17" s="11">
        <f>SUMIFS(Cash_Book!$G:$G,Cash_Book!$C:$C,"BEPAARI",Cash_Book!$D:$D,"MOTOR",Cash_Book!$E:$E,B17)+SUMIFS(Cash_Book!$H:$H,Cash_Book!$C:$C,"BEPAARI",Cash_Book!$D:$D,"MOTOR",Cash_Book!$E:$E,B17)</f>
        <v/>
      </c>
      <c r="K17" s="11">
        <f>SUMIFS(Cash_Book!$G:$G,Cash_Book!$C:$C,"BEPAARI",Cash_Book!$D:$D,"BHUSSA",Cash_Book!$E:$E,B17)+SUMIFS(Cash_Book!$H:$H,Cash_Book!$C:$C,"BEPAARI",Cash_Book!$D:$D,"BHUSSA",Cash_Book!$E:$E,B17)</f>
        <v/>
      </c>
      <c r="L17" s="11">
        <f>SUMIFS(Cash_Book!$G:$G,Cash_Book!$C:$C,"BEPAARI",Cash_Book!$D:$D,"GAWALI",Cash_Book!$E:$E,B17)+SUMIFS(Cash_Book!$H:$H,Cash_Book!$C:$C,"BEPAARI",Cash_Book!$D:$D,"GAWALI",Cash_Book!$E:$E,B17)</f>
        <v/>
      </c>
      <c r="M17" s="11">
        <f>SUMIFS(Cash_Book!$G:$G,Cash_Book!$C:$C,"BEPAARI",Cash_Book!$D:$D,"CASH_ADV",Cash_Book!$E:$E,B17)+SUMIFS(Cash_Book!$H:$H,Cash_Book!$C:$C,"BEPAARI",Cash_Book!$D:$D,"CASH_ADV",Cash_Book!$E:$E,B17)</f>
        <v/>
      </c>
      <c r="N17" s="11">
        <f>SUMIFS(Cash_Book!$G:$G,Cash_Book!$C:$C,"BEPAARI",Cash_Book!$D:$D,"OTHER",Cash_Book!$E:$E,B17)+SUMIFS(Cash_Book!$H:$H,Cash_Book!$C:$C,"BEPAARI",Cash_Book!$D:$D,"OTHER",Cash_Book!$E:$E,B17)</f>
        <v/>
      </c>
      <c r="O17" s="9">
        <f>SUM(G17:N17)</f>
        <v/>
      </c>
      <c r="P17" s="9">
        <f>IF(B17="","",E17-O17+D17)</f>
        <v/>
      </c>
      <c r="Q17" s="11">
        <f>SUMIFS(Cash_Book!$G:$G,Cash_Book!$C:$C,"BEPAARI",Cash_Book!$D:$D,"PAYMENT",Cash_Book!$E:$E,B17)+SUMIFS(Cash_Book!$H:$H,Cash_Book!$C:$C,"BEPAARI",Cash_Book!$D:$D,"PAYMENT",Cash_Book!$E:$E,B17)</f>
        <v/>
      </c>
      <c r="R17" s="14">
        <f>IF(B17="","",P17-Q17)</f>
        <v/>
      </c>
    </row>
    <row r="18">
      <c r="A18" t="n">
        <v>14</v>
      </c>
      <c r="B18">
        <f>IF(Masters!$B$16="","",Masters!$B$16)</f>
        <v/>
      </c>
      <c r="C18">
        <f>IF(B18="","",Masters!$C$16)</f>
        <v/>
      </c>
      <c r="D18" s="11">
        <f>IF(B18="",0,Masters!$D$16)</f>
        <v/>
      </c>
      <c r="E18" s="11">
        <f>SUMIF(Daily_Sales!$C:$C,B18,Daily_Sales!$G:$G)</f>
        <v/>
      </c>
      <c r="F18" s="13">
        <f>SUMIF(Daily_Sales!$C:$C,B18,Daily_Sales!$E:$E)</f>
        <v/>
      </c>
      <c r="G18" s="11">
        <f>IF(B18="",0,E18*C18/100)</f>
        <v/>
      </c>
      <c r="H18" s="9">
        <f>IF(F18&gt;0,Masters!$X$3,0)</f>
        <v/>
      </c>
      <c r="I18" s="9">
        <f>F18*Masters!$X$4</f>
        <v/>
      </c>
      <c r="J18" s="11">
        <f>SUMIFS(Cash_Book!$G:$G,Cash_Book!$C:$C,"BEPAARI",Cash_Book!$D:$D,"MOTOR",Cash_Book!$E:$E,B18)+SUMIFS(Cash_Book!$H:$H,Cash_Book!$C:$C,"BEPAARI",Cash_Book!$D:$D,"MOTOR",Cash_Book!$E:$E,B18)</f>
        <v/>
      </c>
      <c r="K18" s="11">
        <f>SUMIFS(Cash_Book!$G:$G,Cash_Book!$C:$C,"BEPAARI",Cash_Book!$D:$D,"BHUSSA",Cash_Book!$E:$E,B18)+SUMIFS(Cash_Book!$H:$H,Cash_Book!$C:$C,"BEPAARI",Cash_Book!$D:$D,"BHUSSA",Cash_Book!$E:$E,B18)</f>
        <v/>
      </c>
      <c r="L18" s="11">
        <f>SUMIFS(Cash_Book!$G:$G,Cash_Book!$C:$C,"BEPAARI",Cash_Book!$D:$D,"GAWALI",Cash_Book!$E:$E,B18)+SUMIFS(Cash_Book!$H:$H,Cash_Book!$C:$C,"BEPAARI",Cash_Book!$D:$D,"GAWALI",Cash_Book!$E:$E,B18)</f>
        <v/>
      </c>
      <c r="M18" s="11">
        <f>SUMIFS(Cash_Book!$G:$G,Cash_Book!$C:$C,"BEPAARI",Cash_Book!$D:$D,"CASH_ADV",Cash_Book!$E:$E,B18)+SUMIFS(Cash_Book!$H:$H,Cash_Book!$C:$C,"BEPAARI",Cash_Book!$D:$D,"CASH_ADV",Cash_Book!$E:$E,B18)</f>
        <v/>
      </c>
      <c r="N18" s="11">
        <f>SUMIFS(Cash_Book!$G:$G,Cash_Book!$C:$C,"BEPAARI",Cash_Book!$D:$D,"OTHER",Cash_Book!$E:$E,B18)+SUMIFS(Cash_Book!$H:$H,Cash_Book!$C:$C,"BEPAARI",Cash_Book!$D:$D,"OTHER",Cash_Book!$E:$E,B18)</f>
        <v/>
      </c>
      <c r="O18" s="9">
        <f>SUM(G18:N18)</f>
        <v/>
      </c>
      <c r="P18" s="9">
        <f>IF(B18="","",E18-O18+D18)</f>
        <v/>
      </c>
      <c r="Q18" s="11">
        <f>SUMIFS(Cash_Book!$G:$G,Cash_Book!$C:$C,"BEPAARI",Cash_Book!$D:$D,"PAYMENT",Cash_Book!$E:$E,B18)+SUMIFS(Cash_Book!$H:$H,Cash_Book!$C:$C,"BEPAARI",Cash_Book!$D:$D,"PAYMENT",Cash_Book!$E:$E,B18)</f>
        <v/>
      </c>
      <c r="R18" s="14">
        <f>IF(B18="","",P18-Q18)</f>
        <v/>
      </c>
    </row>
    <row r="19">
      <c r="A19" t="n">
        <v>15</v>
      </c>
      <c r="B19">
        <f>IF(Masters!$B$17="","",Masters!$B$17)</f>
        <v/>
      </c>
      <c r="C19">
        <f>IF(B19="","",Masters!$C$17)</f>
        <v/>
      </c>
      <c r="D19" s="11">
        <f>IF(B19="",0,Masters!$D$17)</f>
        <v/>
      </c>
      <c r="E19" s="11">
        <f>SUMIF(Daily_Sales!$C:$C,B19,Daily_Sales!$G:$G)</f>
        <v/>
      </c>
      <c r="F19" s="13">
        <f>SUMIF(Daily_Sales!$C:$C,B19,Daily_Sales!$E:$E)</f>
        <v/>
      </c>
      <c r="G19" s="11">
        <f>IF(B19="",0,E19*C19/100)</f>
        <v/>
      </c>
      <c r="H19" s="9">
        <f>IF(F19&gt;0,Masters!$X$3,0)</f>
        <v/>
      </c>
      <c r="I19" s="9">
        <f>F19*Masters!$X$4</f>
        <v/>
      </c>
      <c r="J19" s="11">
        <f>SUMIFS(Cash_Book!$G:$G,Cash_Book!$C:$C,"BEPAARI",Cash_Book!$D:$D,"MOTOR",Cash_Book!$E:$E,B19)+SUMIFS(Cash_Book!$H:$H,Cash_Book!$C:$C,"BEPAARI",Cash_Book!$D:$D,"MOTOR",Cash_Book!$E:$E,B19)</f>
        <v/>
      </c>
      <c r="K19" s="11">
        <f>SUMIFS(Cash_Book!$G:$G,Cash_Book!$C:$C,"BEPAARI",Cash_Book!$D:$D,"BHUSSA",Cash_Book!$E:$E,B19)+SUMIFS(Cash_Book!$H:$H,Cash_Book!$C:$C,"BEPAARI",Cash_Book!$D:$D,"BHUSSA",Cash_Book!$E:$E,B19)</f>
        <v/>
      </c>
      <c r="L19" s="11">
        <f>SUMIFS(Cash_Book!$G:$G,Cash_Book!$C:$C,"BEPAARI",Cash_Book!$D:$D,"GAWALI",Cash_Book!$E:$E,B19)+SUMIFS(Cash_Book!$H:$H,Cash_Book!$C:$C,"BEPAARI",Cash_Book!$D:$D,"GAWALI",Cash_Book!$E:$E,B19)</f>
        <v/>
      </c>
      <c r="M19" s="11">
        <f>SUMIFS(Cash_Book!$G:$G,Cash_Book!$C:$C,"BEPAARI",Cash_Book!$D:$D,"CASH_ADV",Cash_Book!$E:$E,B19)+SUMIFS(Cash_Book!$H:$H,Cash_Book!$C:$C,"BEPAARI",Cash_Book!$D:$D,"CASH_ADV",Cash_Book!$E:$E,B19)</f>
        <v/>
      </c>
      <c r="N19" s="11">
        <f>SUMIFS(Cash_Book!$G:$G,Cash_Book!$C:$C,"BEPAARI",Cash_Book!$D:$D,"OTHER",Cash_Book!$E:$E,B19)+SUMIFS(Cash_Book!$H:$H,Cash_Book!$C:$C,"BEPAARI",Cash_Book!$D:$D,"OTHER",Cash_Book!$E:$E,B19)</f>
        <v/>
      </c>
      <c r="O19" s="9">
        <f>SUM(G19:N19)</f>
        <v/>
      </c>
      <c r="P19" s="9">
        <f>IF(B19="","",E19-O19+D19)</f>
        <v/>
      </c>
      <c r="Q19" s="11">
        <f>SUMIFS(Cash_Book!$G:$G,Cash_Book!$C:$C,"BEPAARI",Cash_Book!$D:$D,"PAYMENT",Cash_Book!$E:$E,B19)+SUMIFS(Cash_Book!$H:$H,Cash_Book!$C:$C,"BEPAARI",Cash_Book!$D:$D,"PAYMENT",Cash_Book!$E:$E,B19)</f>
        <v/>
      </c>
      <c r="R19" s="14">
        <f>IF(B19="","",P19-Q19)</f>
        <v/>
      </c>
    </row>
    <row r="20">
      <c r="A20" t="n">
        <v>16</v>
      </c>
      <c r="B20">
        <f>IF(Masters!$B$18="","",Masters!$B$18)</f>
        <v/>
      </c>
      <c r="C20">
        <f>IF(B20="","",Masters!$C$18)</f>
        <v/>
      </c>
      <c r="D20" s="11">
        <f>IF(B20="",0,Masters!$D$18)</f>
        <v/>
      </c>
      <c r="E20" s="11">
        <f>SUMIF(Daily_Sales!$C:$C,B20,Daily_Sales!$G:$G)</f>
        <v/>
      </c>
      <c r="F20" s="13">
        <f>SUMIF(Daily_Sales!$C:$C,B20,Daily_Sales!$E:$E)</f>
        <v/>
      </c>
      <c r="G20" s="11">
        <f>IF(B20="",0,E20*C20/100)</f>
        <v/>
      </c>
      <c r="H20" s="9">
        <f>IF(F20&gt;0,Masters!$X$3,0)</f>
        <v/>
      </c>
      <c r="I20" s="9">
        <f>F20*Masters!$X$4</f>
        <v/>
      </c>
      <c r="J20" s="11">
        <f>SUMIFS(Cash_Book!$G:$G,Cash_Book!$C:$C,"BEPAARI",Cash_Book!$D:$D,"MOTOR",Cash_Book!$E:$E,B20)+SUMIFS(Cash_Book!$H:$H,Cash_Book!$C:$C,"BEPAARI",Cash_Book!$D:$D,"MOTOR",Cash_Book!$E:$E,B20)</f>
        <v/>
      </c>
      <c r="K20" s="11">
        <f>SUMIFS(Cash_Book!$G:$G,Cash_Book!$C:$C,"BEPAARI",Cash_Book!$D:$D,"BHUSSA",Cash_Book!$E:$E,B20)+SUMIFS(Cash_Book!$H:$H,Cash_Book!$C:$C,"BEPAARI",Cash_Book!$D:$D,"BHUSSA",Cash_Book!$E:$E,B20)</f>
        <v/>
      </c>
      <c r="L20" s="11">
        <f>SUMIFS(Cash_Book!$G:$G,Cash_Book!$C:$C,"BEPAARI",Cash_Book!$D:$D,"GAWALI",Cash_Book!$E:$E,B20)+SUMIFS(Cash_Book!$H:$H,Cash_Book!$C:$C,"BEPAARI",Cash_Book!$D:$D,"GAWALI",Cash_Book!$E:$E,B20)</f>
        <v/>
      </c>
      <c r="M20" s="11">
        <f>SUMIFS(Cash_Book!$G:$G,Cash_Book!$C:$C,"BEPAARI",Cash_Book!$D:$D,"CASH_ADV",Cash_Book!$E:$E,B20)+SUMIFS(Cash_Book!$H:$H,Cash_Book!$C:$C,"BEPAARI",Cash_Book!$D:$D,"CASH_ADV",Cash_Book!$E:$E,B20)</f>
        <v/>
      </c>
      <c r="N20" s="11">
        <f>SUMIFS(Cash_Book!$G:$G,Cash_Book!$C:$C,"BEPAARI",Cash_Book!$D:$D,"OTHER",Cash_Book!$E:$E,B20)+SUMIFS(Cash_Book!$H:$H,Cash_Book!$C:$C,"BEPAARI",Cash_Book!$D:$D,"OTHER",Cash_Book!$E:$E,B20)</f>
        <v/>
      </c>
      <c r="O20" s="9">
        <f>SUM(G20:N20)</f>
        <v/>
      </c>
      <c r="P20" s="9">
        <f>IF(B20="","",E20-O20+D20)</f>
        <v/>
      </c>
      <c r="Q20" s="11">
        <f>SUMIFS(Cash_Book!$G:$G,Cash_Book!$C:$C,"BEPAARI",Cash_Book!$D:$D,"PAYMENT",Cash_Book!$E:$E,B20)+SUMIFS(Cash_Book!$H:$H,Cash_Book!$C:$C,"BEPAARI",Cash_Book!$D:$D,"PAYMENT",Cash_Book!$E:$E,B20)</f>
        <v/>
      </c>
      <c r="R20" s="14">
        <f>IF(B20="","",P20-Q20)</f>
        <v/>
      </c>
    </row>
    <row r="21">
      <c r="A21" t="n">
        <v>17</v>
      </c>
      <c r="B21">
        <f>IF(Masters!$B$19="","",Masters!$B$19)</f>
        <v/>
      </c>
      <c r="C21">
        <f>IF(B21="","",Masters!$C$19)</f>
        <v/>
      </c>
      <c r="D21" s="11">
        <f>IF(B21="",0,Masters!$D$19)</f>
        <v/>
      </c>
      <c r="E21" s="11">
        <f>SUMIF(Daily_Sales!$C:$C,B21,Daily_Sales!$G:$G)</f>
        <v/>
      </c>
      <c r="F21" s="13">
        <f>SUMIF(Daily_Sales!$C:$C,B21,Daily_Sales!$E:$E)</f>
        <v/>
      </c>
      <c r="G21" s="11">
        <f>IF(B21="",0,E21*C21/100)</f>
        <v/>
      </c>
      <c r="H21" s="9">
        <f>IF(F21&gt;0,Masters!$X$3,0)</f>
        <v/>
      </c>
      <c r="I21" s="9">
        <f>F21*Masters!$X$4</f>
        <v/>
      </c>
      <c r="J21" s="11">
        <f>SUMIFS(Cash_Book!$G:$G,Cash_Book!$C:$C,"BEPAARI",Cash_Book!$D:$D,"MOTOR",Cash_Book!$E:$E,B21)+SUMIFS(Cash_Book!$H:$H,Cash_Book!$C:$C,"BEPAARI",Cash_Book!$D:$D,"MOTOR",Cash_Book!$E:$E,B21)</f>
        <v/>
      </c>
      <c r="K21" s="11">
        <f>SUMIFS(Cash_Book!$G:$G,Cash_Book!$C:$C,"BEPAARI",Cash_Book!$D:$D,"BHUSSA",Cash_Book!$E:$E,B21)+SUMIFS(Cash_Book!$H:$H,Cash_Book!$C:$C,"BEPAARI",Cash_Book!$D:$D,"BHUSSA",Cash_Book!$E:$E,B21)</f>
        <v/>
      </c>
      <c r="L21" s="11">
        <f>SUMIFS(Cash_Book!$G:$G,Cash_Book!$C:$C,"BEPAARI",Cash_Book!$D:$D,"GAWALI",Cash_Book!$E:$E,B21)+SUMIFS(Cash_Book!$H:$H,Cash_Book!$C:$C,"BEPAARI",Cash_Book!$D:$D,"GAWALI",Cash_Book!$E:$E,B21)</f>
        <v/>
      </c>
      <c r="M21" s="11">
        <f>SUMIFS(Cash_Book!$G:$G,Cash_Book!$C:$C,"BEPAARI",Cash_Book!$D:$D,"CASH_ADV",Cash_Book!$E:$E,B21)+SUMIFS(Cash_Book!$H:$H,Cash_Book!$C:$C,"BEPAARI",Cash_Book!$D:$D,"CASH_ADV",Cash_Book!$E:$E,B21)</f>
        <v/>
      </c>
      <c r="N21" s="11">
        <f>SUMIFS(Cash_Book!$G:$G,Cash_Book!$C:$C,"BEPAARI",Cash_Book!$D:$D,"OTHER",Cash_Book!$E:$E,B21)+SUMIFS(Cash_Book!$H:$H,Cash_Book!$C:$C,"BEPAARI",Cash_Book!$D:$D,"OTHER",Cash_Book!$E:$E,B21)</f>
        <v/>
      </c>
      <c r="O21" s="9">
        <f>SUM(G21:N21)</f>
        <v/>
      </c>
      <c r="P21" s="9">
        <f>IF(B21="","",E21-O21+D21)</f>
        <v/>
      </c>
      <c r="Q21" s="11">
        <f>SUMIFS(Cash_Book!$G:$G,Cash_Book!$C:$C,"BEPAARI",Cash_Book!$D:$D,"PAYMENT",Cash_Book!$E:$E,B21)+SUMIFS(Cash_Book!$H:$H,Cash_Book!$C:$C,"BEPAARI",Cash_Book!$D:$D,"PAYMENT",Cash_Book!$E:$E,B21)</f>
        <v/>
      </c>
      <c r="R21" s="14">
        <f>IF(B21="","",P21-Q21)</f>
        <v/>
      </c>
    </row>
    <row r="22">
      <c r="A22" t="n">
        <v>18</v>
      </c>
      <c r="B22">
        <f>IF(Masters!$B$20="","",Masters!$B$20)</f>
        <v/>
      </c>
      <c r="C22">
        <f>IF(B22="","",Masters!$C$20)</f>
        <v/>
      </c>
      <c r="D22" s="11">
        <f>IF(B22="",0,Masters!$D$20)</f>
        <v/>
      </c>
      <c r="E22" s="11">
        <f>SUMIF(Daily_Sales!$C:$C,B22,Daily_Sales!$G:$G)</f>
        <v/>
      </c>
      <c r="F22" s="13">
        <f>SUMIF(Daily_Sales!$C:$C,B22,Daily_Sales!$E:$E)</f>
        <v/>
      </c>
      <c r="G22" s="11">
        <f>IF(B22="",0,E22*C22/100)</f>
        <v/>
      </c>
      <c r="H22" s="9">
        <f>IF(F22&gt;0,Masters!$X$3,0)</f>
        <v/>
      </c>
      <c r="I22" s="9">
        <f>F22*Masters!$X$4</f>
        <v/>
      </c>
      <c r="J22" s="11">
        <f>SUMIFS(Cash_Book!$G:$G,Cash_Book!$C:$C,"BEPAARI",Cash_Book!$D:$D,"MOTOR",Cash_Book!$E:$E,B22)+SUMIFS(Cash_Book!$H:$H,Cash_Book!$C:$C,"BEPAARI",Cash_Book!$D:$D,"MOTOR",Cash_Book!$E:$E,B22)</f>
        <v/>
      </c>
      <c r="K22" s="11">
        <f>SUMIFS(Cash_Book!$G:$G,Cash_Book!$C:$C,"BEPAARI",Cash_Book!$D:$D,"BHUSSA",Cash_Book!$E:$E,B22)+SUMIFS(Cash_Book!$H:$H,Cash_Book!$C:$C,"BEPAARI",Cash_Book!$D:$D,"BHUSSA",Cash_Book!$E:$E,B22)</f>
        <v/>
      </c>
      <c r="L22" s="11">
        <f>SUMIFS(Cash_Book!$G:$G,Cash_Book!$C:$C,"BEPAARI",Cash_Book!$D:$D,"GAWALI",Cash_Book!$E:$E,B22)+SUMIFS(Cash_Book!$H:$H,Cash_Book!$C:$C,"BEPAARI",Cash_Book!$D:$D,"GAWALI",Cash_Book!$E:$E,B22)</f>
        <v/>
      </c>
      <c r="M22" s="11">
        <f>SUMIFS(Cash_Book!$G:$G,Cash_Book!$C:$C,"BEPAARI",Cash_Book!$D:$D,"CASH_ADV",Cash_Book!$E:$E,B22)+SUMIFS(Cash_Book!$H:$H,Cash_Book!$C:$C,"BEPAARI",Cash_Book!$D:$D,"CASH_ADV",Cash_Book!$E:$E,B22)</f>
        <v/>
      </c>
      <c r="N22" s="11">
        <f>SUMIFS(Cash_Book!$G:$G,Cash_Book!$C:$C,"BEPAARI",Cash_Book!$D:$D,"OTHER",Cash_Book!$E:$E,B22)+SUMIFS(Cash_Book!$H:$H,Cash_Book!$C:$C,"BEPAARI",Cash_Book!$D:$D,"OTHER",Cash_Book!$E:$E,B22)</f>
        <v/>
      </c>
      <c r="O22" s="9">
        <f>SUM(G22:N22)</f>
        <v/>
      </c>
      <c r="P22" s="9">
        <f>IF(B22="","",E22-O22+D22)</f>
        <v/>
      </c>
      <c r="Q22" s="11">
        <f>SUMIFS(Cash_Book!$G:$G,Cash_Book!$C:$C,"BEPAARI",Cash_Book!$D:$D,"PAYMENT",Cash_Book!$E:$E,B22)+SUMIFS(Cash_Book!$H:$H,Cash_Book!$C:$C,"BEPAARI",Cash_Book!$D:$D,"PAYMENT",Cash_Book!$E:$E,B22)</f>
        <v/>
      </c>
      <c r="R22" s="14">
        <f>IF(B22="","",P22-Q22)</f>
        <v/>
      </c>
    </row>
    <row r="23">
      <c r="A23" t="n">
        <v>19</v>
      </c>
      <c r="B23">
        <f>IF(Masters!$B$21="","",Masters!$B$21)</f>
        <v/>
      </c>
      <c r="C23">
        <f>IF(B23="","",Masters!$C$21)</f>
        <v/>
      </c>
      <c r="D23" s="11">
        <f>IF(B23="",0,Masters!$D$21)</f>
        <v/>
      </c>
      <c r="E23" s="11">
        <f>SUMIF(Daily_Sales!$C:$C,B23,Daily_Sales!$G:$G)</f>
        <v/>
      </c>
      <c r="F23" s="13">
        <f>SUMIF(Daily_Sales!$C:$C,B23,Daily_Sales!$E:$E)</f>
        <v/>
      </c>
      <c r="G23" s="11">
        <f>IF(B23="",0,E23*C23/100)</f>
        <v/>
      </c>
      <c r="H23" s="9">
        <f>IF(F23&gt;0,Masters!$X$3,0)</f>
        <v/>
      </c>
      <c r="I23" s="9">
        <f>F23*Masters!$X$4</f>
        <v/>
      </c>
      <c r="J23" s="11">
        <f>SUMIFS(Cash_Book!$G:$G,Cash_Book!$C:$C,"BEPAARI",Cash_Book!$D:$D,"MOTOR",Cash_Book!$E:$E,B23)+SUMIFS(Cash_Book!$H:$H,Cash_Book!$C:$C,"BEPAARI",Cash_Book!$D:$D,"MOTOR",Cash_Book!$E:$E,B23)</f>
        <v/>
      </c>
      <c r="K23" s="11">
        <f>SUMIFS(Cash_Book!$G:$G,Cash_Book!$C:$C,"BEPAARI",Cash_Book!$D:$D,"BHUSSA",Cash_Book!$E:$E,B23)+SUMIFS(Cash_Book!$H:$H,Cash_Book!$C:$C,"BEPAARI",Cash_Book!$D:$D,"BHUSSA",Cash_Book!$E:$E,B23)</f>
        <v/>
      </c>
      <c r="L23" s="11">
        <f>SUMIFS(Cash_Book!$G:$G,Cash_Book!$C:$C,"BEPAARI",Cash_Book!$D:$D,"GAWALI",Cash_Book!$E:$E,B23)+SUMIFS(Cash_Book!$H:$H,Cash_Book!$C:$C,"BEPAARI",Cash_Book!$D:$D,"GAWALI",Cash_Book!$E:$E,B23)</f>
        <v/>
      </c>
      <c r="M23" s="11">
        <f>SUMIFS(Cash_Book!$G:$G,Cash_Book!$C:$C,"BEPAARI",Cash_Book!$D:$D,"CASH_ADV",Cash_Book!$E:$E,B23)+SUMIFS(Cash_Book!$H:$H,Cash_Book!$C:$C,"BEPAARI",Cash_Book!$D:$D,"CASH_ADV",Cash_Book!$E:$E,B23)</f>
        <v/>
      </c>
      <c r="N23" s="11">
        <f>SUMIFS(Cash_Book!$G:$G,Cash_Book!$C:$C,"BEPAARI",Cash_Book!$D:$D,"OTHER",Cash_Book!$E:$E,B23)+SUMIFS(Cash_Book!$H:$H,Cash_Book!$C:$C,"BEPAARI",Cash_Book!$D:$D,"OTHER",Cash_Book!$E:$E,B23)</f>
        <v/>
      </c>
      <c r="O23" s="9">
        <f>SUM(G23:N23)</f>
        <v/>
      </c>
      <c r="P23" s="9">
        <f>IF(B23="","",E23-O23+D23)</f>
        <v/>
      </c>
      <c r="Q23" s="11">
        <f>SUMIFS(Cash_Book!$G:$G,Cash_Book!$C:$C,"BEPAARI",Cash_Book!$D:$D,"PAYMENT",Cash_Book!$E:$E,B23)+SUMIFS(Cash_Book!$H:$H,Cash_Book!$C:$C,"BEPAARI",Cash_Book!$D:$D,"PAYMENT",Cash_Book!$E:$E,B23)</f>
        <v/>
      </c>
      <c r="R23" s="14">
        <f>IF(B23="","",P23-Q23)</f>
        <v/>
      </c>
    </row>
    <row r="24">
      <c r="A24" t="n">
        <v>20</v>
      </c>
      <c r="B24">
        <f>IF(Masters!$B$22="","",Masters!$B$22)</f>
        <v/>
      </c>
      <c r="C24">
        <f>IF(B24="","",Masters!$C$22)</f>
        <v/>
      </c>
      <c r="D24" s="11">
        <f>IF(B24="",0,Masters!$D$22)</f>
        <v/>
      </c>
      <c r="E24" s="11">
        <f>SUMIF(Daily_Sales!$C:$C,B24,Daily_Sales!$G:$G)</f>
        <v/>
      </c>
      <c r="F24" s="13">
        <f>SUMIF(Daily_Sales!$C:$C,B24,Daily_Sales!$E:$E)</f>
        <v/>
      </c>
      <c r="G24" s="11">
        <f>IF(B24="",0,E24*C24/100)</f>
        <v/>
      </c>
      <c r="H24" s="9">
        <f>IF(F24&gt;0,Masters!$X$3,0)</f>
        <v/>
      </c>
      <c r="I24" s="9">
        <f>F24*Masters!$X$4</f>
        <v/>
      </c>
      <c r="J24" s="11">
        <f>SUMIFS(Cash_Book!$G:$G,Cash_Book!$C:$C,"BEPAARI",Cash_Book!$D:$D,"MOTOR",Cash_Book!$E:$E,B24)+SUMIFS(Cash_Book!$H:$H,Cash_Book!$C:$C,"BEPAARI",Cash_Book!$D:$D,"MOTOR",Cash_Book!$E:$E,B24)</f>
        <v/>
      </c>
      <c r="K24" s="11">
        <f>SUMIFS(Cash_Book!$G:$G,Cash_Book!$C:$C,"BEPAARI",Cash_Book!$D:$D,"BHUSSA",Cash_Book!$E:$E,B24)+SUMIFS(Cash_Book!$H:$H,Cash_Book!$C:$C,"BEPAARI",Cash_Book!$D:$D,"BHUSSA",Cash_Book!$E:$E,B24)</f>
        <v/>
      </c>
      <c r="L24" s="11">
        <f>SUMIFS(Cash_Book!$G:$G,Cash_Book!$C:$C,"BEPAARI",Cash_Book!$D:$D,"GAWALI",Cash_Book!$E:$E,B24)+SUMIFS(Cash_Book!$H:$H,Cash_Book!$C:$C,"BEPAARI",Cash_Book!$D:$D,"GAWALI",Cash_Book!$E:$E,B24)</f>
        <v/>
      </c>
      <c r="M24" s="11">
        <f>SUMIFS(Cash_Book!$G:$G,Cash_Book!$C:$C,"BEPAARI",Cash_Book!$D:$D,"CASH_ADV",Cash_Book!$E:$E,B24)+SUMIFS(Cash_Book!$H:$H,Cash_Book!$C:$C,"BEPAARI",Cash_Book!$D:$D,"CASH_ADV",Cash_Book!$E:$E,B24)</f>
        <v/>
      </c>
      <c r="N24" s="11">
        <f>SUMIFS(Cash_Book!$G:$G,Cash_Book!$C:$C,"BEPAARI",Cash_Book!$D:$D,"OTHER",Cash_Book!$E:$E,B24)+SUMIFS(Cash_Book!$H:$H,Cash_Book!$C:$C,"BEPAARI",Cash_Book!$D:$D,"OTHER",Cash_Book!$E:$E,B24)</f>
        <v/>
      </c>
      <c r="O24" s="9">
        <f>SUM(G24:N24)</f>
        <v/>
      </c>
      <c r="P24" s="9">
        <f>IF(B24="","",E24-O24+D24)</f>
        <v/>
      </c>
      <c r="Q24" s="11">
        <f>SUMIFS(Cash_Book!$G:$G,Cash_Book!$C:$C,"BEPAARI",Cash_Book!$D:$D,"PAYMENT",Cash_Book!$E:$E,B24)+SUMIFS(Cash_Book!$H:$H,Cash_Book!$C:$C,"BEPAARI",Cash_Book!$D:$D,"PAYMENT",Cash_Book!$E:$E,B24)</f>
        <v/>
      </c>
      <c r="R24" s="14">
        <f>IF(B24="","",P24-Q24)</f>
        <v/>
      </c>
    </row>
    <row r="25">
      <c r="A25" t="n">
        <v>21</v>
      </c>
      <c r="B25">
        <f>IF(Masters!$B$23="","",Masters!$B$23)</f>
        <v/>
      </c>
      <c r="C25">
        <f>IF(B25="","",Masters!$C$23)</f>
        <v/>
      </c>
      <c r="D25" s="11">
        <f>IF(B25="",0,Masters!$D$23)</f>
        <v/>
      </c>
      <c r="E25" s="11">
        <f>SUMIF(Daily_Sales!$C:$C,B25,Daily_Sales!$G:$G)</f>
        <v/>
      </c>
      <c r="F25" s="13">
        <f>SUMIF(Daily_Sales!$C:$C,B25,Daily_Sales!$E:$E)</f>
        <v/>
      </c>
      <c r="G25" s="11">
        <f>IF(B25="",0,E25*C25/100)</f>
        <v/>
      </c>
      <c r="H25" s="9">
        <f>IF(F25&gt;0,Masters!$X$3,0)</f>
        <v/>
      </c>
      <c r="I25" s="9">
        <f>F25*Masters!$X$4</f>
        <v/>
      </c>
      <c r="J25" s="11">
        <f>SUMIFS(Cash_Book!$G:$G,Cash_Book!$C:$C,"BEPAARI",Cash_Book!$D:$D,"MOTOR",Cash_Book!$E:$E,B25)+SUMIFS(Cash_Book!$H:$H,Cash_Book!$C:$C,"BEPAARI",Cash_Book!$D:$D,"MOTOR",Cash_Book!$E:$E,B25)</f>
        <v/>
      </c>
      <c r="K25" s="11">
        <f>SUMIFS(Cash_Book!$G:$G,Cash_Book!$C:$C,"BEPAARI",Cash_Book!$D:$D,"BHUSSA",Cash_Book!$E:$E,B25)+SUMIFS(Cash_Book!$H:$H,Cash_Book!$C:$C,"BEPAARI",Cash_Book!$D:$D,"BHUSSA",Cash_Book!$E:$E,B25)</f>
        <v/>
      </c>
      <c r="L25" s="11">
        <f>SUMIFS(Cash_Book!$G:$G,Cash_Book!$C:$C,"BEPAARI",Cash_Book!$D:$D,"GAWALI",Cash_Book!$E:$E,B25)+SUMIFS(Cash_Book!$H:$H,Cash_Book!$C:$C,"BEPAARI",Cash_Book!$D:$D,"GAWALI",Cash_Book!$E:$E,B25)</f>
        <v/>
      </c>
      <c r="M25" s="11">
        <f>SUMIFS(Cash_Book!$G:$G,Cash_Book!$C:$C,"BEPAARI",Cash_Book!$D:$D,"CASH_ADV",Cash_Book!$E:$E,B25)+SUMIFS(Cash_Book!$H:$H,Cash_Book!$C:$C,"BEPAARI",Cash_Book!$D:$D,"CASH_ADV",Cash_Book!$E:$E,B25)</f>
        <v/>
      </c>
      <c r="N25" s="11">
        <f>SUMIFS(Cash_Book!$G:$G,Cash_Book!$C:$C,"BEPAARI",Cash_Book!$D:$D,"OTHER",Cash_Book!$E:$E,B25)+SUMIFS(Cash_Book!$H:$H,Cash_Book!$C:$C,"BEPAARI",Cash_Book!$D:$D,"OTHER",Cash_Book!$E:$E,B25)</f>
        <v/>
      </c>
      <c r="O25" s="9">
        <f>SUM(G25:N25)</f>
        <v/>
      </c>
      <c r="P25" s="9">
        <f>IF(B25="","",E25-O25+D25)</f>
        <v/>
      </c>
      <c r="Q25" s="11">
        <f>SUMIFS(Cash_Book!$G:$G,Cash_Book!$C:$C,"BEPAARI",Cash_Book!$D:$D,"PAYMENT",Cash_Book!$E:$E,B25)+SUMIFS(Cash_Book!$H:$H,Cash_Book!$C:$C,"BEPAARI",Cash_Book!$D:$D,"PAYMENT",Cash_Book!$E:$E,B25)</f>
        <v/>
      </c>
      <c r="R25" s="14">
        <f>IF(B25="","",P25-Q25)</f>
        <v/>
      </c>
    </row>
    <row r="26">
      <c r="A26" t="n">
        <v>22</v>
      </c>
      <c r="B26">
        <f>IF(Masters!$B$24="","",Masters!$B$24)</f>
        <v/>
      </c>
      <c r="C26">
        <f>IF(B26="","",Masters!$C$24)</f>
        <v/>
      </c>
      <c r="D26" s="11">
        <f>IF(B26="",0,Masters!$D$24)</f>
        <v/>
      </c>
      <c r="E26" s="11">
        <f>SUMIF(Daily_Sales!$C:$C,B26,Daily_Sales!$G:$G)</f>
        <v/>
      </c>
      <c r="F26" s="13">
        <f>SUMIF(Daily_Sales!$C:$C,B26,Daily_Sales!$E:$E)</f>
        <v/>
      </c>
      <c r="G26" s="11">
        <f>IF(B26="",0,E26*C26/100)</f>
        <v/>
      </c>
      <c r="H26" s="9">
        <f>IF(F26&gt;0,Masters!$X$3,0)</f>
        <v/>
      </c>
      <c r="I26" s="9">
        <f>F26*Masters!$X$4</f>
        <v/>
      </c>
      <c r="J26" s="11">
        <f>SUMIFS(Cash_Book!$G:$G,Cash_Book!$C:$C,"BEPAARI",Cash_Book!$D:$D,"MOTOR",Cash_Book!$E:$E,B26)+SUMIFS(Cash_Book!$H:$H,Cash_Book!$C:$C,"BEPAARI",Cash_Book!$D:$D,"MOTOR",Cash_Book!$E:$E,B26)</f>
        <v/>
      </c>
      <c r="K26" s="11">
        <f>SUMIFS(Cash_Book!$G:$G,Cash_Book!$C:$C,"BEPAARI",Cash_Book!$D:$D,"BHUSSA",Cash_Book!$E:$E,B26)+SUMIFS(Cash_Book!$H:$H,Cash_Book!$C:$C,"BEPAARI",Cash_Book!$D:$D,"BHUSSA",Cash_Book!$E:$E,B26)</f>
        <v/>
      </c>
      <c r="L26" s="11">
        <f>SUMIFS(Cash_Book!$G:$G,Cash_Book!$C:$C,"BEPAARI",Cash_Book!$D:$D,"GAWALI",Cash_Book!$E:$E,B26)+SUMIFS(Cash_Book!$H:$H,Cash_Book!$C:$C,"BEPAARI",Cash_Book!$D:$D,"GAWALI",Cash_Book!$E:$E,B26)</f>
        <v/>
      </c>
      <c r="M26" s="11">
        <f>SUMIFS(Cash_Book!$G:$G,Cash_Book!$C:$C,"BEPAARI",Cash_Book!$D:$D,"CASH_ADV",Cash_Book!$E:$E,B26)+SUMIFS(Cash_Book!$H:$H,Cash_Book!$C:$C,"BEPAARI",Cash_Book!$D:$D,"CASH_ADV",Cash_Book!$E:$E,B26)</f>
        <v/>
      </c>
      <c r="N26" s="11">
        <f>SUMIFS(Cash_Book!$G:$G,Cash_Book!$C:$C,"BEPAARI",Cash_Book!$D:$D,"OTHER",Cash_Book!$E:$E,B26)+SUMIFS(Cash_Book!$H:$H,Cash_Book!$C:$C,"BEPAARI",Cash_Book!$D:$D,"OTHER",Cash_Book!$E:$E,B26)</f>
        <v/>
      </c>
      <c r="O26" s="9">
        <f>SUM(G26:N26)</f>
        <v/>
      </c>
      <c r="P26" s="9">
        <f>IF(B26="","",E26-O26+D26)</f>
        <v/>
      </c>
      <c r="Q26" s="11">
        <f>SUMIFS(Cash_Book!$G:$G,Cash_Book!$C:$C,"BEPAARI",Cash_Book!$D:$D,"PAYMENT",Cash_Book!$E:$E,B26)+SUMIFS(Cash_Book!$H:$H,Cash_Book!$C:$C,"BEPAARI",Cash_Book!$D:$D,"PAYMENT",Cash_Book!$E:$E,B26)</f>
        <v/>
      </c>
      <c r="R26" s="14">
        <f>IF(B26="","",P26-Q26)</f>
        <v/>
      </c>
    </row>
    <row r="27">
      <c r="A27" t="n">
        <v>23</v>
      </c>
      <c r="B27">
        <f>IF(Masters!$B$25="","",Masters!$B$25)</f>
        <v/>
      </c>
      <c r="C27">
        <f>IF(B27="","",Masters!$C$25)</f>
        <v/>
      </c>
      <c r="D27" s="11">
        <f>IF(B27="",0,Masters!$D$25)</f>
        <v/>
      </c>
      <c r="E27" s="11">
        <f>SUMIF(Daily_Sales!$C:$C,B27,Daily_Sales!$G:$G)</f>
        <v/>
      </c>
      <c r="F27" s="13">
        <f>SUMIF(Daily_Sales!$C:$C,B27,Daily_Sales!$E:$E)</f>
        <v/>
      </c>
      <c r="G27" s="11">
        <f>IF(B27="",0,E27*C27/100)</f>
        <v/>
      </c>
      <c r="H27" s="9">
        <f>IF(F27&gt;0,Masters!$X$3,0)</f>
        <v/>
      </c>
      <c r="I27" s="9">
        <f>F27*Masters!$X$4</f>
        <v/>
      </c>
      <c r="J27" s="11">
        <f>SUMIFS(Cash_Book!$G:$G,Cash_Book!$C:$C,"BEPAARI",Cash_Book!$D:$D,"MOTOR",Cash_Book!$E:$E,B27)+SUMIFS(Cash_Book!$H:$H,Cash_Book!$C:$C,"BEPAARI",Cash_Book!$D:$D,"MOTOR",Cash_Book!$E:$E,B27)</f>
        <v/>
      </c>
      <c r="K27" s="11">
        <f>SUMIFS(Cash_Book!$G:$G,Cash_Book!$C:$C,"BEPAARI",Cash_Book!$D:$D,"BHUSSA",Cash_Book!$E:$E,B27)+SUMIFS(Cash_Book!$H:$H,Cash_Book!$C:$C,"BEPAARI",Cash_Book!$D:$D,"BHUSSA",Cash_Book!$E:$E,B27)</f>
        <v/>
      </c>
      <c r="L27" s="11">
        <f>SUMIFS(Cash_Book!$G:$G,Cash_Book!$C:$C,"BEPAARI",Cash_Book!$D:$D,"GAWALI",Cash_Book!$E:$E,B27)+SUMIFS(Cash_Book!$H:$H,Cash_Book!$C:$C,"BEPAARI",Cash_Book!$D:$D,"GAWALI",Cash_Book!$E:$E,B27)</f>
        <v/>
      </c>
      <c r="M27" s="11">
        <f>SUMIFS(Cash_Book!$G:$G,Cash_Book!$C:$C,"BEPAARI",Cash_Book!$D:$D,"CASH_ADV",Cash_Book!$E:$E,B27)+SUMIFS(Cash_Book!$H:$H,Cash_Book!$C:$C,"BEPAARI",Cash_Book!$D:$D,"CASH_ADV",Cash_Book!$E:$E,B27)</f>
        <v/>
      </c>
      <c r="N27" s="11">
        <f>SUMIFS(Cash_Book!$G:$G,Cash_Book!$C:$C,"BEPAARI",Cash_Book!$D:$D,"OTHER",Cash_Book!$E:$E,B27)+SUMIFS(Cash_Book!$H:$H,Cash_Book!$C:$C,"BEPAARI",Cash_Book!$D:$D,"OTHER",Cash_Book!$E:$E,B27)</f>
        <v/>
      </c>
      <c r="O27" s="9">
        <f>SUM(G27:N27)</f>
        <v/>
      </c>
      <c r="P27" s="9">
        <f>IF(B27="","",E27-O27+D27)</f>
        <v/>
      </c>
      <c r="Q27" s="11">
        <f>SUMIFS(Cash_Book!$G:$G,Cash_Book!$C:$C,"BEPAARI",Cash_Book!$D:$D,"PAYMENT",Cash_Book!$E:$E,B27)+SUMIFS(Cash_Book!$H:$H,Cash_Book!$C:$C,"BEPAARI",Cash_Book!$D:$D,"PAYMENT",Cash_Book!$E:$E,B27)</f>
        <v/>
      </c>
      <c r="R27" s="14">
        <f>IF(B27="","",P27-Q27)</f>
        <v/>
      </c>
    </row>
    <row r="28">
      <c r="A28" t="n">
        <v>24</v>
      </c>
      <c r="B28">
        <f>IF(Masters!$B$26="","",Masters!$B$26)</f>
        <v/>
      </c>
      <c r="C28">
        <f>IF(B28="","",Masters!$C$26)</f>
        <v/>
      </c>
      <c r="D28" s="11">
        <f>IF(B28="",0,Masters!$D$26)</f>
        <v/>
      </c>
      <c r="E28" s="11">
        <f>SUMIF(Daily_Sales!$C:$C,B28,Daily_Sales!$G:$G)</f>
        <v/>
      </c>
      <c r="F28" s="13">
        <f>SUMIF(Daily_Sales!$C:$C,B28,Daily_Sales!$E:$E)</f>
        <v/>
      </c>
      <c r="G28" s="11">
        <f>IF(B28="",0,E28*C28/100)</f>
        <v/>
      </c>
      <c r="H28" s="9">
        <f>IF(F28&gt;0,Masters!$X$3,0)</f>
        <v/>
      </c>
      <c r="I28" s="9">
        <f>F28*Masters!$X$4</f>
        <v/>
      </c>
      <c r="J28" s="11">
        <f>SUMIFS(Cash_Book!$G:$G,Cash_Book!$C:$C,"BEPAARI",Cash_Book!$D:$D,"MOTOR",Cash_Book!$E:$E,B28)+SUMIFS(Cash_Book!$H:$H,Cash_Book!$C:$C,"BEPAARI",Cash_Book!$D:$D,"MOTOR",Cash_Book!$E:$E,B28)</f>
        <v/>
      </c>
      <c r="K28" s="11">
        <f>SUMIFS(Cash_Book!$G:$G,Cash_Book!$C:$C,"BEPAARI",Cash_Book!$D:$D,"BHUSSA",Cash_Book!$E:$E,B28)+SUMIFS(Cash_Book!$H:$H,Cash_Book!$C:$C,"BEPAARI",Cash_Book!$D:$D,"BHUSSA",Cash_Book!$E:$E,B28)</f>
        <v/>
      </c>
      <c r="L28" s="11">
        <f>SUMIFS(Cash_Book!$G:$G,Cash_Book!$C:$C,"BEPAARI",Cash_Book!$D:$D,"GAWALI",Cash_Book!$E:$E,B28)+SUMIFS(Cash_Book!$H:$H,Cash_Book!$C:$C,"BEPAARI",Cash_Book!$D:$D,"GAWALI",Cash_Book!$E:$E,B28)</f>
        <v/>
      </c>
      <c r="M28" s="11">
        <f>SUMIFS(Cash_Book!$G:$G,Cash_Book!$C:$C,"BEPAARI",Cash_Book!$D:$D,"CASH_ADV",Cash_Book!$E:$E,B28)+SUMIFS(Cash_Book!$H:$H,Cash_Book!$C:$C,"BEPAARI",Cash_Book!$D:$D,"CASH_ADV",Cash_Book!$E:$E,B28)</f>
        <v/>
      </c>
      <c r="N28" s="11">
        <f>SUMIFS(Cash_Book!$G:$G,Cash_Book!$C:$C,"BEPAARI",Cash_Book!$D:$D,"OTHER",Cash_Book!$E:$E,B28)+SUMIFS(Cash_Book!$H:$H,Cash_Book!$C:$C,"BEPAARI",Cash_Book!$D:$D,"OTHER",Cash_Book!$E:$E,B28)</f>
        <v/>
      </c>
      <c r="O28" s="9">
        <f>SUM(G28:N28)</f>
        <v/>
      </c>
      <c r="P28" s="9">
        <f>IF(B28="","",E28-O28+D28)</f>
        <v/>
      </c>
      <c r="Q28" s="11">
        <f>SUMIFS(Cash_Book!$G:$G,Cash_Book!$C:$C,"BEPAARI",Cash_Book!$D:$D,"PAYMENT",Cash_Book!$E:$E,B28)+SUMIFS(Cash_Book!$H:$H,Cash_Book!$C:$C,"BEPAARI",Cash_Book!$D:$D,"PAYMENT",Cash_Book!$E:$E,B28)</f>
        <v/>
      </c>
      <c r="R28" s="14">
        <f>IF(B28="","",P28-Q28)</f>
        <v/>
      </c>
    </row>
    <row r="29">
      <c r="A29" t="n">
        <v>25</v>
      </c>
      <c r="B29">
        <f>IF(Masters!$B$27="","",Masters!$B$27)</f>
        <v/>
      </c>
      <c r="C29">
        <f>IF(B29="","",Masters!$C$27)</f>
        <v/>
      </c>
      <c r="D29" s="11">
        <f>IF(B29="",0,Masters!$D$27)</f>
        <v/>
      </c>
      <c r="E29" s="11">
        <f>SUMIF(Daily_Sales!$C:$C,B29,Daily_Sales!$G:$G)</f>
        <v/>
      </c>
      <c r="F29" s="13">
        <f>SUMIF(Daily_Sales!$C:$C,B29,Daily_Sales!$E:$E)</f>
        <v/>
      </c>
      <c r="G29" s="11">
        <f>IF(B29="",0,E29*C29/100)</f>
        <v/>
      </c>
      <c r="H29" s="9">
        <f>IF(F29&gt;0,Masters!$X$3,0)</f>
        <v/>
      </c>
      <c r="I29" s="9">
        <f>F29*Masters!$X$4</f>
        <v/>
      </c>
      <c r="J29" s="11">
        <f>SUMIFS(Cash_Book!$G:$G,Cash_Book!$C:$C,"BEPAARI",Cash_Book!$D:$D,"MOTOR",Cash_Book!$E:$E,B29)+SUMIFS(Cash_Book!$H:$H,Cash_Book!$C:$C,"BEPAARI",Cash_Book!$D:$D,"MOTOR",Cash_Book!$E:$E,B29)</f>
        <v/>
      </c>
      <c r="K29" s="11">
        <f>SUMIFS(Cash_Book!$G:$G,Cash_Book!$C:$C,"BEPAARI",Cash_Book!$D:$D,"BHUSSA",Cash_Book!$E:$E,B29)+SUMIFS(Cash_Book!$H:$H,Cash_Book!$C:$C,"BEPAARI",Cash_Book!$D:$D,"BHUSSA",Cash_Book!$E:$E,B29)</f>
        <v/>
      </c>
      <c r="L29" s="11">
        <f>SUMIFS(Cash_Book!$G:$G,Cash_Book!$C:$C,"BEPAARI",Cash_Book!$D:$D,"GAWALI",Cash_Book!$E:$E,B29)+SUMIFS(Cash_Book!$H:$H,Cash_Book!$C:$C,"BEPAARI",Cash_Book!$D:$D,"GAWALI",Cash_Book!$E:$E,B29)</f>
        <v/>
      </c>
      <c r="M29" s="11">
        <f>SUMIFS(Cash_Book!$G:$G,Cash_Book!$C:$C,"BEPAARI",Cash_Book!$D:$D,"CASH_ADV",Cash_Book!$E:$E,B29)+SUMIFS(Cash_Book!$H:$H,Cash_Book!$C:$C,"BEPAARI",Cash_Book!$D:$D,"CASH_ADV",Cash_Book!$E:$E,B29)</f>
        <v/>
      </c>
      <c r="N29" s="11">
        <f>SUMIFS(Cash_Book!$G:$G,Cash_Book!$C:$C,"BEPAARI",Cash_Book!$D:$D,"OTHER",Cash_Book!$E:$E,B29)+SUMIFS(Cash_Book!$H:$H,Cash_Book!$C:$C,"BEPAARI",Cash_Book!$D:$D,"OTHER",Cash_Book!$E:$E,B29)</f>
        <v/>
      </c>
      <c r="O29" s="9">
        <f>SUM(G29:N29)</f>
        <v/>
      </c>
      <c r="P29" s="9">
        <f>IF(B29="","",E29-O29+D29)</f>
        <v/>
      </c>
      <c r="Q29" s="11">
        <f>SUMIFS(Cash_Book!$G:$G,Cash_Book!$C:$C,"BEPAARI",Cash_Book!$D:$D,"PAYMENT",Cash_Book!$E:$E,B29)+SUMIFS(Cash_Book!$H:$H,Cash_Book!$C:$C,"BEPAARI",Cash_Book!$D:$D,"PAYMENT",Cash_Book!$E:$E,B29)</f>
        <v/>
      </c>
      <c r="R29" s="14">
        <f>IF(B29="","",P29-Q29)</f>
        <v/>
      </c>
    </row>
    <row r="30">
      <c r="A30" t="n">
        <v>26</v>
      </c>
      <c r="B30">
        <f>IF(Masters!$B$28="","",Masters!$B$28)</f>
        <v/>
      </c>
      <c r="C30">
        <f>IF(B30="","",Masters!$C$28)</f>
        <v/>
      </c>
      <c r="D30" s="11">
        <f>IF(B30="",0,Masters!$D$28)</f>
        <v/>
      </c>
      <c r="E30" s="11">
        <f>SUMIF(Daily_Sales!$C:$C,B30,Daily_Sales!$G:$G)</f>
        <v/>
      </c>
      <c r="F30" s="13">
        <f>SUMIF(Daily_Sales!$C:$C,B30,Daily_Sales!$E:$E)</f>
        <v/>
      </c>
      <c r="G30" s="11">
        <f>IF(B30="",0,E30*C30/100)</f>
        <v/>
      </c>
      <c r="H30" s="9">
        <f>IF(F30&gt;0,Masters!$X$3,0)</f>
        <v/>
      </c>
      <c r="I30" s="9">
        <f>F30*Masters!$X$4</f>
        <v/>
      </c>
      <c r="J30" s="11">
        <f>SUMIFS(Cash_Book!$G:$G,Cash_Book!$C:$C,"BEPAARI",Cash_Book!$D:$D,"MOTOR",Cash_Book!$E:$E,B30)+SUMIFS(Cash_Book!$H:$H,Cash_Book!$C:$C,"BEPAARI",Cash_Book!$D:$D,"MOTOR",Cash_Book!$E:$E,B30)</f>
        <v/>
      </c>
      <c r="K30" s="11">
        <f>SUMIFS(Cash_Book!$G:$G,Cash_Book!$C:$C,"BEPAARI",Cash_Book!$D:$D,"BHUSSA",Cash_Book!$E:$E,B30)+SUMIFS(Cash_Book!$H:$H,Cash_Book!$C:$C,"BEPAARI",Cash_Book!$D:$D,"BHUSSA",Cash_Book!$E:$E,B30)</f>
        <v/>
      </c>
      <c r="L30" s="11">
        <f>SUMIFS(Cash_Book!$G:$G,Cash_Book!$C:$C,"BEPAARI",Cash_Book!$D:$D,"GAWALI",Cash_Book!$E:$E,B30)+SUMIFS(Cash_Book!$H:$H,Cash_Book!$C:$C,"BEPAARI",Cash_Book!$D:$D,"GAWALI",Cash_Book!$E:$E,B30)</f>
        <v/>
      </c>
      <c r="M30" s="11">
        <f>SUMIFS(Cash_Book!$G:$G,Cash_Book!$C:$C,"BEPAARI",Cash_Book!$D:$D,"CASH_ADV",Cash_Book!$E:$E,B30)+SUMIFS(Cash_Book!$H:$H,Cash_Book!$C:$C,"BEPAARI",Cash_Book!$D:$D,"CASH_ADV",Cash_Book!$E:$E,B30)</f>
        <v/>
      </c>
      <c r="N30" s="11">
        <f>SUMIFS(Cash_Book!$G:$G,Cash_Book!$C:$C,"BEPAARI",Cash_Book!$D:$D,"OTHER",Cash_Book!$E:$E,B30)+SUMIFS(Cash_Book!$H:$H,Cash_Book!$C:$C,"BEPAARI",Cash_Book!$D:$D,"OTHER",Cash_Book!$E:$E,B30)</f>
        <v/>
      </c>
      <c r="O30" s="9">
        <f>SUM(G30:N30)</f>
        <v/>
      </c>
      <c r="P30" s="9">
        <f>IF(B30="","",E30-O30+D30)</f>
        <v/>
      </c>
      <c r="Q30" s="11">
        <f>SUMIFS(Cash_Book!$G:$G,Cash_Book!$C:$C,"BEPAARI",Cash_Book!$D:$D,"PAYMENT",Cash_Book!$E:$E,B30)+SUMIFS(Cash_Book!$H:$H,Cash_Book!$C:$C,"BEPAARI",Cash_Book!$D:$D,"PAYMENT",Cash_Book!$E:$E,B30)</f>
        <v/>
      </c>
      <c r="R30" s="14">
        <f>IF(B30="","",P30-Q30)</f>
        <v/>
      </c>
    </row>
    <row r="31">
      <c r="A31" t="n">
        <v>27</v>
      </c>
      <c r="B31">
        <f>IF(Masters!$B$29="","",Masters!$B$29)</f>
        <v/>
      </c>
      <c r="C31">
        <f>IF(B31="","",Masters!$C$29)</f>
        <v/>
      </c>
      <c r="D31" s="11">
        <f>IF(B31="",0,Masters!$D$29)</f>
        <v/>
      </c>
      <c r="E31" s="11">
        <f>SUMIF(Daily_Sales!$C:$C,B31,Daily_Sales!$G:$G)</f>
        <v/>
      </c>
      <c r="F31" s="13">
        <f>SUMIF(Daily_Sales!$C:$C,B31,Daily_Sales!$E:$E)</f>
        <v/>
      </c>
      <c r="G31" s="11">
        <f>IF(B31="",0,E31*C31/100)</f>
        <v/>
      </c>
      <c r="H31" s="9">
        <f>IF(F31&gt;0,Masters!$X$3,0)</f>
        <v/>
      </c>
      <c r="I31" s="9">
        <f>F31*Masters!$X$4</f>
        <v/>
      </c>
      <c r="J31" s="11">
        <f>SUMIFS(Cash_Book!$G:$G,Cash_Book!$C:$C,"BEPAARI",Cash_Book!$D:$D,"MOTOR",Cash_Book!$E:$E,B31)+SUMIFS(Cash_Book!$H:$H,Cash_Book!$C:$C,"BEPAARI",Cash_Book!$D:$D,"MOTOR",Cash_Book!$E:$E,B31)</f>
        <v/>
      </c>
      <c r="K31" s="11">
        <f>SUMIFS(Cash_Book!$G:$G,Cash_Book!$C:$C,"BEPAARI",Cash_Book!$D:$D,"BHUSSA",Cash_Book!$E:$E,B31)+SUMIFS(Cash_Book!$H:$H,Cash_Book!$C:$C,"BEPAARI",Cash_Book!$D:$D,"BHUSSA",Cash_Book!$E:$E,B31)</f>
        <v/>
      </c>
      <c r="L31" s="11">
        <f>SUMIFS(Cash_Book!$G:$G,Cash_Book!$C:$C,"BEPAARI",Cash_Book!$D:$D,"GAWALI",Cash_Book!$E:$E,B31)+SUMIFS(Cash_Book!$H:$H,Cash_Book!$C:$C,"BEPAARI",Cash_Book!$D:$D,"GAWALI",Cash_Book!$E:$E,B31)</f>
        <v/>
      </c>
      <c r="M31" s="11">
        <f>SUMIFS(Cash_Book!$G:$G,Cash_Book!$C:$C,"BEPAARI",Cash_Book!$D:$D,"CASH_ADV",Cash_Book!$E:$E,B31)+SUMIFS(Cash_Book!$H:$H,Cash_Book!$C:$C,"BEPAARI",Cash_Book!$D:$D,"CASH_ADV",Cash_Book!$E:$E,B31)</f>
        <v/>
      </c>
      <c r="N31" s="11">
        <f>SUMIFS(Cash_Book!$G:$G,Cash_Book!$C:$C,"BEPAARI",Cash_Book!$D:$D,"OTHER",Cash_Book!$E:$E,B31)+SUMIFS(Cash_Book!$H:$H,Cash_Book!$C:$C,"BEPAARI",Cash_Book!$D:$D,"OTHER",Cash_Book!$E:$E,B31)</f>
        <v/>
      </c>
      <c r="O31" s="9">
        <f>SUM(G31:N31)</f>
        <v/>
      </c>
      <c r="P31" s="9">
        <f>IF(B31="","",E31-O31+D31)</f>
        <v/>
      </c>
      <c r="Q31" s="11">
        <f>SUMIFS(Cash_Book!$G:$G,Cash_Book!$C:$C,"BEPAARI",Cash_Book!$D:$D,"PAYMENT",Cash_Book!$E:$E,B31)+SUMIFS(Cash_Book!$H:$H,Cash_Book!$C:$C,"BEPAARI",Cash_Book!$D:$D,"PAYMENT",Cash_Book!$E:$E,B31)</f>
        <v/>
      </c>
      <c r="R31" s="14">
        <f>IF(B31="","",P31-Q31)</f>
        <v/>
      </c>
    </row>
    <row r="32">
      <c r="A32" t="n">
        <v>28</v>
      </c>
      <c r="B32">
        <f>IF(Masters!$B$30="","",Masters!$B$30)</f>
        <v/>
      </c>
      <c r="C32">
        <f>IF(B32="","",Masters!$C$30)</f>
        <v/>
      </c>
      <c r="D32" s="11">
        <f>IF(B32="",0,Masters!$D$30)</f>
        <v/>
      </c>
      <c r="E32" s="11">
        <f>SUMIF(Daily_Sales!$C:$C,B32,Daily_Sales!$G:$G)</f>
        <v/>
      </c>
      <c r="F32" s="13">
        <f>SUMIF(Daily_Sales!$C:$C,B32,Daily_Sales!$E:$E)</f>
        <v/>
      </c>
      <c r="G32" s="11">
        <f>IF(B32="",0,E32*C32/100)</f>
        <v/>
      </c>
      <c r="H32" s="9">
        <f>IF(F32&gt;0,Masters!$X$3,0)</f>
        <v/>
      </c>
      <c r="I32" s="9">
        <f>F32*Masters!$X$4</f>
        <v/>
      </c>
      <c r="J32" s="11">
        <f>SUMIFS(Cash_Book!$G:$G,Cash_Book!$C:$C,"BEPAARI",Cash_Book!$D:$D,"MOTOR",Cash_Book!$E:$E,B32)+SUMIFS(Cash_Book!$H:$H,Cash_Book!$C:$C,"BEPAARI",Cash_Book!$D:$D,"MOTOR",Cash_Book!$E:$E,B32)</f>
        <v/>
      </c>
      <c r="K32" s="11">
        <f>SUMIFS(Cash_Book!$G:$G,Cash_Book!$C:$C,"BEPAARI",Cash_Book!$D:$D,"BHUSSA",Cash_Book!$E:$E,B32)+SUMIFS(Cash_Book!$H:$H,Cash_Book!$C:$C,"BEPAARI",Cash_Book!$D:$D,"BHUSSA",Cash_Book!$E:$E,B32)</f>
        <v/>
      </c>
      <c r="L32" s="11">
        <f>SUMIFS(Cash_Book!$G:$G,Cash_Book!$C:$C,"BEPAARI",Cash_Book!$D:$D,"GAWALI",Cash_Book!$E:$E,B32)+SUMIFS(Cash_Book!$H:$H,Cash_Book!$C:$C,"BEPAARI",Cash_Book!$D:$D,"GAWALI",Cash_Book!$E:$E,B32)</f>
        <v/>
      </c>
      <c r="M32" s="11">
        <f>SUMIFS(Cash_Book!$G:$G,Cash_Book!$C:$C,"BEPAARI",Cash_Book!$D:$D,"CASH_ADV",Cash_Book!$E:$E,B32)+SUMIFS(Cash_Book!$H:$H,Cash_Book!$C:$C,"BEPAARI",Cash_Book!$D:$D,"CASH_ADV",Cash_Book!$E:$E,B32)</f>
        <v/>
      </c>
      <c r="N32" s="11">
        <f>SUMIFS(Cash_Book!$G:$G,Cash_Book!$C:$C,"BEPAARI",Cash_Book!$D:$D,"OTHER",Cash_Book!$E:$E,B32)+SUMIFS(Cash_Book!$H:$H,Cash_Book!$C:$C,"BEPAARI",Cash_Book!$D:$D,"OTHER",Cash_Book!$E:$E,B32)</f>
        <v/>
      </c>
      <c r="O32" s="9">
        <f>SUM(G32:N32)</f>
        <v/>
      </c>
      <c r="P32" s="9">
        <f>IF(B32="","",E32-O32+D32)</f>
        <v/>
      </c>
      <c r="Q32" s="11">
        <f>SUMIFS(Cash_Book!$G:$G,Cash_Book!$C:$C,"BEPAARI",Cash_Book!$D:$D,"PAYMENT",Cash_Book!$E:$E,B32)+SUMIFS(Cash_Book!$H:$H,Cash_Book!$C:$C,"BEPAARI",Cash_Book!$D:$D,"PAYMENT",Cash_Book!$E:$E,B32)</f>
        <v/>
      </c>
      <c r="R32" s="14">
        <f>IF(B32="","",P32-Q32)</f>
        <v/>
      </c>
    </row>
    <row r="33">
      <c r="A33" t="n">
        <v>29</v>
      </c>
      <c r="B33">
        <f>IF(Masters!$B$31="","",Masters!$B$31)</f>
        <v/>
      </c>
      <c r="C33">
        <f>IF(B33="","",Masters!$C$31)</f>
        <v/>
      </c>
      <c r="D33" s="11">
        <f>IF(B33="",0,Masters!$D$31)</f>
        <v/>
      </c>
      <c r="E33" s="11">
        <f>SUMIF(Daily_Sales!$C:$C,B33,Daily_Sales!$G:$G)</f>
        <v/>
      </c>
      <c r="F33" s="13">
        <f>SUMIF(Daily_Sales!$C:$C,B33,Daily_Sales!$E:$E)</f>
        <v/>
      </c>
      <c r="G33" s="11">
        <f>IF(B33="",0,E33*C33/100)</f>
        <v/>
      </c>
      <c r="H33" s="9">
        <f>IF(F33&gt;0,Masters!$X$3,0)</f>
        <v/>
      </c>
      <c r="I33" s="9">
        <f>F33*Masters!$X$4</f>
        <v/>
      </c>
      <c r="J33" s="11">
        <f>SUMIFS(Cash_Book!$G:$G,Cash_Book!$C:$C,"BEPAARI",Cash_Book!$D:$D,"MOTOR",Cash_Book!$E:$E,B33)+SUMIFS(Cash_Book!$H:$H,Cash_Book!$C:$C,"BEPAARI",Cash_Book!$D:$D,"MOTOR",Cash_Book!$E:$E,B33)</f>
        <v/>
      </c>
      <c r="K33" s="11">
        <f>SUMIFS(Cash_Book!$G:$G,Cash_Book!$C:$C,"BEPAARI",Cash_Book!$D:$D,"BHUSSA",Cash_Book!$E:$E,B33)+SUMIFS(Cash_Book!$H:$H,Cash_Book!$C:$C,"BEPAARI",Cash_Book!$D:$D,"BHUSSA",Cash_Book!$E:$E,B33)</f>
        <v/>
      </c>
      <c r="L33" s="11">
        <f>SUMIFS(Cash_Book!$G:$G,Cash_Book!$C:$C,"BEPAARI",Cash_Book!$D:$D,"GAWALI",Cash_Book!$E:$E,B33)+SUMIFS(Cash_Book!$H:$H,Cash_Book!$C:$C,"BEPAARI",Cash_Book!$D:$D,"GAWALI",Cash_Book!$E:$E,B33)</f>
        <v/>
      </c>
      <c r="M33" s="11">
        <f>SUMIFS(Cash_Book!$G:$G,Cash_Book!$C:$C,"BEPAARI",Cash_Book!$D:$D,"CASH_ADV",Cash_Book!$E:$E,B33)+SUMIFS(Cash_Book!$H:$H,Cash_Book!$C:$C,"BEPAARI",Cash_Book!$D:$D,"CASH_ADV",Cash_Book!$E:$E,B33)</f>
        <v/>
      </c>
      <c r="N33" s="11">
        <f>SUMIFS(Cash_Book!$G:$G,Cash_Book!$C:$C,"BEPAARI",Cash_Book!$D:$D,"OTHER",Cash_Book!$E:$E,B33)+SUMIFS(Cash_Book!$H:$H,Cash_Book!$C:$C,"BEPAARI",Cash_Book!$D:$D,"OTHER",Cash_Book!$E:$E,B33)</f>
        <v/>
      </c>
      <c r="O33" s="9">
        <f>SUM(G33:N33)</f>
        <v/>
      </c>
      <c r="P33" s="9">
        <f>IF(B33="","",E33-O33+D33)</f>
        <v/>
      </c>
      <c r="Q33" s="11">
        <f>SUMIFS(Cash_Book!$G:$G,Cash_Book!$C:$C,"BEPAARI",Cash_Book!$D:$D,"PAYMENT",Cash_Book!$E:$E,B33)+SUMIFS(Cash_Book!$H:$H,Cash_Book!$C:$C,"BEPAARI",Cash_Book!$D:$D,"PAYMENT",Cash_Book!$E:$E,B33)</f>
        <v/>
      </c>
      <c r="R33" s="14">
        <f>IF(B33="","",P33-Q33)</f>
        <v/>
      </c>
    </row>
    <row r="34">
      <c r="A34" t="n">
        <v>30</v>
      </c>
      <c r="B34">
        <f>IF(Masters!$B$32="","",Masters!$B$32)</f>
        <v/>
      </c>
      <c r="C34">
        <f>IF(B34="","",Masters!$C$32)</f>
        <v/>
      </c>
      <c r="D34" s="11">
        <f>IF(B34="",0,Masters!$D$32)</f>
        <v/>
      </c>
      <c r="E34" s="11">
        <f>SUMIF(Daily_Sales!$C:$C,B34,Daily_Sales!$G:$G)</f>
        <v/>
      </c>
      <c r="F34" s="13">
        <f>SUMIF(Daily_Sales!$C:$C,B34,Daily_Sales!$E:$E)</f>
        <v/>
      </c>
      <c r="G34" s="11">
        <f>IF(B34="",0,E34*C34/100)</f>
        <v/>
      </c>
      <c r="H34" s="9">
        <f>IF(F34&gt;0,Masters!$X$3,0)</f>
        <v/>
      </c>
      <c r="I34" s="9">
        <f>F34*Masters!$X$4</f>
        <v/>
      </c>
      <c r="J34" s="11">
        <f>SUMIFS(Cash_Book!$G:$G,Cash_Book!$C:$C,"BEPAARI",Cash_Book!$D:$D,"MOTOR",Cash_Book!$E:$E,B34)+SUMIFS(Cash_Book!$H:$H,Cash_Book!$C:$C,"BEPAARI",Cash_Book!$D:$D,"MOTOR",Cash_Book!$E:$E,B34)</f>
        <v/>
      </c>
      <c r="K34" s="11">
        <f>SUMIFS(Cash_Book!$G:$G,Cash_Book!$C:$C,"BEPAARI",Cash_Book!$D:$D,"BHUSSA",Cash_Book!$E:$E,B34)+SUMIFS(Cash_Book!$H:$H,Cash_Book!$C:$C,"BEPAARI",Cash_Book!$D:$D,"BHUSSA",Cash_Book!$E:$E,B34)</f>
        <v/>
      </c>
      <c r="L34" s="11">
        <f>SUMIFS(Cash_Book!$G:$G,Cash_Book!$C:$C,"BEPAARI",Cash_Book!$D:$D,"GAWALI",Cash_Book!$E:$E,B34)+SUMIFS(Cash_Book!$H:$H,Cash_Book!$C:$C,"BEPAARI",Cash_Book!$D:$D,"GAWALI",Cash_Book!$E:$E,B34)</f>
        <v/>
      </c>
      <c r="M34" s="11">
        <f>SUMIFS(Cash_Book!$G:$G,Cash_Book!$C:$C,"BEPAARI",Cash_Book!$D:$D,"CASH_ADV",Cash_Book!$E:$E,B34)+SUMIFS(Cash_Book!$H:$H,Cash_Book!$C:$C,"BEPAARI",Cash_Book!$D:$D,"CASH_ADV",Cash_Book!$E:$E,B34)</f>
        <v/>
      </c>
      <c r="N34" s="11">
        <f>SUMIFS(Cash_Book!$G:$G,Cash_Book!$C:$C,"BEPAARI",Cash_Book!$D:$D,"OTHER",Cash_Book!$E:$E,B34)+SUMIFS(Cash_Book!$H:$H,Cash_Book!$C:$C,"BEPAARI",Cash_Book!$D:$D,"OTHER",Cash_Book!$E:$E,B34)</f>
        <v/>
      </c>
      <c r="O34" s="9">
        <f>SUM(G34:N34)</f>
        <v/>
      </c>
      <c r="P34" s="9">
        <f>IF(B34="","",E34-O34+D34)</f>
        <v/>
      </c>
      <c r="Q34" s="11">
        <f>SUMIFS(Cash_Book!$G:$G,Cash_Book!$C:$C,"BEPAARI",Cash_Book!$D:$D,"PAYMENT",Cash_Book!$E:$E,B34)+SUMIFS(Cash_Book!$H:$H,Cash_Book!$C:$C,"BEPAARI",Cash_Book!$D:$D,"PAYMENT",Cash_Book!$E:$E,B34)</f>
        <v/>
      </c>
      <c r="R34" s="14">
        <f>IF(B34="","",P34-Q34)</f>
        <v/>
      </c>
    </row>
    <row r="35">
      <c r="A35" t="n">
        <v>31</v>
      </c>
      <c r="B35">
        <f>IF(Masters!$B$33="","",Masters!$B$33)</f>
        <v/>
      </c>
      <c r="C35">
        <f>IF(B35="","",Masters!$C$33)</f>
        <v/>
      </c>
      <c r="D35" s="11">
        <f>IF(B35="",0,Masters!$D$33)</f>
        <v/>
      </c>
      <c r="E35" s="11">
        <f>SUMIF(Daily_Sales!$C:$C,B35,Daily_Sales!$G:$G)</f>
        <v/>
      </c>
      <c r="F35" s="13">
        <f>SUMIF(Daily_Sales!$C:$C,B35,Daily_Sales!$E:$E)</f>
        <v/>
      </c>
      <c r="G35" s="11">
        <f>IF(B35="",0,E35*C35/100)</f>
        <v/>
      </c>
      <c r="H35" s="9">
        <f>IF(F35&gt;0,Masters!$X$3,0)</f>
        <v/>
      </c>
      <c r="I35" s="9">
        <f>F35*Masters!$X$4</f>
        <v/>
      </c>
      <c r="J35" s="11">
        <f>SUMIFS(Cash_Book!$G:$G,Cash_Book!$C:$C,"BEPAARI",Cash_Book!$D:$D,"MOTOR",Cash_Book!$E:$E,B35)+SUMIFS(Cash_Book!$H:$H,Cash_Book!$C:$C,"BEPAARI",Cash_Book!$D:$D,"MOTOR",Cash_Book!$E:$E,B35)</f>
        <v/>
      </c>
      <c r="K35" s="11">
        <f>SUMIFS(Cash_Book!$G:$G,Cash_Book!$C:$C,"BEPAARI",Cash_Book!$D:$D,"BHUSSA",Cash_Book!$E:$E,B35)+SUMIFS(Cash_Book!$H:$H,Cash_Book!$C:$C,"BEPAARI",Cash_Book!$D:$D,"BHUSSA",Cash_Book!$E:$E,B35)</f>
        <v/>
      </c>
      <c r="L35" s="11">
        <f>SUMIFS(Cash_Book!$G:$G,Cash_Book!$C:$C,"BEPAARI",Cash_Book!$D:$D,"GAWALI",Cash_Book!$E:$E,B35)+SUMIFS(Cash_Book!$H:$H,Cash_Book!$C:$C,"BEPAARI",Cash_Book!$D:$D,"GAWALI",Cash_Book!$E:$E,B35)</f>
        <v/>
      </c>
      <c r="M35" s="11">
        <f>SUMIFS(Cash_Book!$G:$G,Cash_Book!$C:$C,"BEPAARI",Cash_Book!$D:$D,"CASH_ADV",Cash_Book!$E:$E,B35)+SUMIFS(Cash_Book!$H:$H,Cash_Book!$C:$C,"BEPAARI",Cash_Book!$D:$D,"CASH_ADV",Cash_Book!$E:$E,B35)</f>
        <v/>
      </c>
      <c r="N35" s="11">
        <f>SUMIFS(Cash_Book!$G:$G,Cash_Book!$C:$C,"BEPAARI",Cash_Book!$D:$D,"OTHER",Cash_Book!$E:$E,B35)+SUMIFS(Cash_Book!$H:$H,Cash_Book!$C:$C,"BEPAARI",Cash_Book!$D:$D,"OTHER",Cash_Book!$E:$E,B35)</f>
        <v/>
      </c>
      <c r="O35" s="9">
        <f>SUM(G35:N35)</f>
        <v/>
      </c>
      <c r="P35" s="9">
        <f>IF(B35="","",E35-O35+D35)</f>
        <v/>
      </c>
      <c r="Q35" s="11">
        <f>SUMIFS(Cash_Book!$G:$G,Cash_Book!$C:$C,"BEPAARI",Cash_Book!$D:$D,"PAYMENT",Cash_Book!$E:$E,B35)+SUMIFS(Cash_Book!$H:$H,Cash_Book!$C:$C,"BEPAARI",Cash_Book!$D:$D,"PAYMENT",Cash_Book!$E:$E,B35)</f>
        <v/>
      </c>
      <c r="R35" s="14">
        <f>IF(B35="","",P35-Q35)</f>
        <v/>
      </c>
    </row>
    <row r="36">
      <c r="A36" t="n">
        <v>32</v>
      </c>
      <c r="B36">
        <f>IF(Masters!$B$34="","",Masters!$B$34)</f>
        <v/>
      </c>
      <c r="C36">
        <f>IF(B36="","",Masters!$C$34)</f>
        <v/>
      </c>
      <c r="D36" s="11">
        <f>IF(B36="",0,Masters!$D$34)</f>
        <v/>
      </c>
      <c r="E36" s="11">
        <f>SUMIF(Daily_Sales!$C:$C,B36,Daily_Sales!$G:$G)</f>
        <v/>
      </c>
      <c r="F36" s="13">
        <f>SUMIF(Daily_Sales!$C:$C,B36,Daily_Sales!$E:$E)</f>
        <v/>
      </c>
      <c r="G36" s="11">
        <f>IF(B36="",0,E36*C36/100)</f>
        <v/>
      </c>
      <c r="H36" s="9">
        <f>IF(F36&gt;0,Masters!$X$3,0)</f>
        <v/>
      </c>
      <c r="I36" s="9">
        <f>F36*Masters!$X$4</f>
        <v/>
      </c>
      <c r="J36" s="11">
        <f>SUMIFS(Cash_Book!$G:$G,Cash_Book!$C:$C,"BEPAARI",Cash_Book!$D:$D,"MOTOR",Cash_Book!$E:$E,B36)+SUMIFS(Cash_Book!$H:$H,Cash_Book!$C:$C,"BEPAARI",Cash_Book!$D:$D,"MOTOR",Cash_Book!$E:$E,B36)</f>
        <v/>
      </c>
      <c r="K36" s="11">
        <f>SUMIFS(Cash_Book!$G:$G,Cash_Book!$C:$C,"BEPAARI",Cash_Book!$D:$D,"BHUSSA",Cash_Book!$E:$E,B36)+SUMIFS(Cash_Book!$H:$H,Cash_Book!$C:$C,"BEPAARI",Cash_Book!$D:$D,"BHUSSA",Cash_Book!$E:$E,B36)</f>
        <v/>
      </c>
      <c r="L36" s="11">
        <f>SUMIFS(Cash_Book!$G:$G,Cash_Book!$C:$C,"BEPAARI",Cash_Book!$D:$D,"GAWALI",Cash_Book!$E:$E,B36)+SUMIFS(Cash_Book!$H:$H,Cash_Book!$C:$C,"BEPAARI",Cash_Book!$D:$D,"GAWALI",Cash_Book!$E:$E,B36)</f>
        <v/>
      </c>
      <c r="M36" s="11">
        <f>SUMIFS(Cash_Book!$G:$G,Cash_Book!$C:$C,"BEPAARI",Cash_Book!$D:$D,"CASH_ADV",Cash_Book!$E:$E,B36)+SUMIFS(Cash_Book!$H:$H,Cash_Book!$C:$C,"BEPAARI",Cash_Book!$D:$D,"CASH_ADV",Cash_Book!$E:$E,B36)</f>
        <v/>
      </c>
      <c r="N36" s="11">
        <f>SUMIFS(Cash_Book!$G:$G,Cash_Book!$C:$C,"BEPAARI",Cash_Book!$D:$D,"OTHER",Cash_Book!$E:$E,B36)+SUMIFS(Cash_Book!$H:$H,Cash_Book!$C:$C,"BEPAARI",Cash_Book!$D:$D,"OTHER",Cash_Book!$E:$E,B36)</f>
        <v/>
      </c>
      <c r="O36" s="9">
        <f>SUM(G36:N36)</f>
        <v/>
      </c>
      <c r="P36" s="9">
        <f>IF(B36="","",E36-O36+D36)</f>
        <v/>
      </c>
      <c r="Q36" s="11">
        <f>SUMIFS(Cash_Book!$G:$G,Cash_Book!$C:$C,"BEPAARI",Cash_Book!$D:$D,"PAYMENT",Cash_Book!$E:$E,B36)+SUMIFS(Cash_Book!$H:$H,Cash_Book!$C:$C,"BEPAARI",Cash_Book!$D:$D,"PAYMENT",Cash_Book!$E:$E,B36)</f>
        <v/>
      </c>
      <c r="R36" s="14">
        <f>IF(B36="","",P36-Q36)</f>
        <v/>
      </c>
    </row>
    <row r="37">
      <c r="A37" t="n">
        <v>33</v>
      </c>
      <c r="B37">
        <f>IF(Masters!$B$35="","",Masters!$B$35)</f>
        <v/>
      </c>
      <c r="C37">
        <f>IF(B37="","",Masters!$C$35)</f>
        <v/>
      </c>
      <c r="D37" s="11">
        <f>IF(B37="",0,Masters!$D$35)</f>
        <v/>
      </c>
      <c r="E37" s="11">
        <f>SUMIF(Daily_Sales!$C:$C,B37,Daily_Sales!$G:$G)</f>
        <v/>
      </c>
      <c r="F37" s="13">
        <f>SUMIF(Daily_Sales!$C:$C,B37,Daily_Sales!$E:$E)</f>
        <v/>
      </c>
      <c r="G37" s="11">
        <f>IF(B37="",0,E37*C37/100)</f>
        <v/>
      </c>
      <c r="H37" s="9">
        <f>IF(F37&gt;0,Masters!$X$3,0)</f>
        <v/>
      </c>
      <c r="I37" s="9">
        <f>F37*Masters!$X$4</f>
        <v/>
      </c>
      <c r="J37" s="11">
        <f>SUMIFS(Cash_Book!$G:$G,Cash_Book!$C:$C,"BEPAARI",Cash_Book!$D:$D,"MOTOR",Cash_Book!$E:$E,B37)+SUMIFS(Cash_Book!$H:$H,Cash_Book!$C:$C,"BEPAARI",Cash_Book!$D:$D,"MOTOR",Cash_Book!$E:$E,B37)</f>
        <v/>
      </c>
      <c r="K37" s="11">
        <f>SUMIFS(Cash_Book!$G:$G,Cash_Book!$C:$C,"BEPAARI",Cash_Book!$D:$D,"BHUSSA",Cash_Book!$E:$E,B37)+SUMIFS(Cash_Book!$H:$H,Cash_Book!$C:$C,"BEPAARI",Cash_Book!$D:$D,"BHUSSA",Cash_Book!$E:$E,B37)</f>
        <v/>
      </c>
      <c r="L37" s="11">
        <f>SUMIFS(Cash_Book!$G:$G,Cash_Book!$C:$C,"BEPAARI",Cash_Book!$D:$D,"GAWALI",Cash_Book!$E:$E,B37)+SUMIFS(Cash_Book!$H:$H,Cash_Book!$C:$C,"BEPAARI",Cash_Book!$D:$D,"GAWALI",Cash_Book!$E:$E,B37)</f>
        <v/>
      </c>
      <c r="M37" s="11">
        <f>SUMIFS(Cash_Book!$G:$G,Cash_Book!$C:$C,"BEPAARI",Cash_Book!$D:$D,"CASH_ADV",Cash_Book!$E:$E,B37)+SUMIFS(Cash_Book!$H:$H,Cash_Book!$C:$C,"BEPAARI",Cash_Book!$D:$D,"CASH_ADV",Cash_Book!$E:$E,B37)</f>
        <v/>
      </c>
      <c r="N37" s="11">
        <f>SUMIFS(Cash_Book!$G:$G,Cash_Book!$C:$C,"BEPAARI",Cash_Book!$D:$D,"OTHER",Cash_Book!$E:$E,B37)+SUMIFS(Cash_Book!$H:$H,Cash_Book!$C:$C,"BEPAARI",Cash_Book!$D:$D,"OTHER",Cash_Book!$E:$E,B37)</f>
        <v/>
      </c>
      <c r="O37" s="9">
        <f>SUM(G37:N37)</f>
        <v/>
      </c>
      <c r="P37" s="9">
        <f>IF(B37="","",E37-O37+D37)</f>
        <v/>
      </c>
      <c r="Q37" s="11">
        <f>SUMIFS(Cash_Book!$G:$G,Cash_Book!$C:$C,"BEPAARI",Cash_Book!$D:$D,"PAYMENT",Cash_Book!$E:$E,B37)+SUMIFS(Cash_Book!$H:$H,Cash_Book!$C:$C,"BEPAARI",Cash_Book!$D:$D,"PAYMENT",Cash_Book!$E:$E,B37)</f>
        <v/>
      </c>
      <c r="R37" s="14">
        <f>IF(B37="","",P37-Q37)</f>
        <v/>
      </c>
    </row>
    <row r="38">
      <c r="A38" t="n">
        <v>34</v>
      </c>
      <c r="B38">
        <f>IF(Masters!$B$36="","",Masters!$B$36)</f>
        <v/>
      </c>
      <c r="C38">
        <f>IF(B38="","",Masters!$C$36)</f>
        <v/>
      </c>
      <c r="D38" s="11">
        <f>IF(B38="",0,Masters!$D$36)</f>
        <v/>
      </c>
      <c r="E38" s="11">
        <f>SUMIF(Daily_Sales!$C:$C,B38,Daily_Sales!$G:$G)</f>
        <v/>
      </c>
      <c r="F38" s="13">
        <f>SUMIF(Daily_Sales!$C:$C,B38,Daily_Sales!$E:$E)</f>
        <v/>
      </c>
      <c r="G38" s="11">
        <f>IF(B38="",0,E38*C38/100)</f>
        <v/>
      </c>
      <c r="H38" s="9">
        <f>IF(F38&gt;0,Masters!$X$3,0)</f>
        <v/>
      </c>
      <c r="I38" s="9">
        <f>F38*Masters!$X$4</f>
        <v/>
      </c>
      <c r="J38" s="11">
        <f>SUMIFS(Cash_Book!$G:$G,Cash_Book!$C:$C,"BEPAARI",Cash_Book!$D:$D,"MOTOR",Cash_Book!$E:$E,B38)+SUMIFS(Cash_Book!$H:$H,Cash_Book!$C:$C,"BEPAARI",Cash_Book!$D:$D,"MOTOR",Cash_Book!$E:$E,B38)</f>
        <v/>
      </c>
      <c r="K38" s="11">
        <f>SUMIFS(Cash_Book!$G:$G,Cash_Book!$C:$C,"BEPAARI",Cash_Book!$D:$D,"BHUSSA",Cash_Book!$E:$E,B38)+SUMIFS(Cash_Book!$H:$H,Cash_Book!$C:$C,"BEPAARI",Cash_Book!$D:$D,"BHUSSA",Cash_Book!$E:$E,B38)</f>
        <v/>
      </c>
      <c r="L38" s="11">
        <f>SUMIFS(Cash_Book!$G:$G,Cash_Book!$C:$C,"BEPAARI",Cash_Book!$D:$D,"GAWALI",Cash_Book!$E:$E,B38)+SUMIFS(Cash_Book!$H:$H,Cash_Book!$C:$C,"BEPAARI",Cash_Book!$D:$D,"GAWALI",Cash_Book!$E:$E,B38)</f>
        <v/>
      </c>
      <c r="M38" s="11">
        <f>SUMIFS(Cash_Book!$G:$G,Cash_Book!$C:$C,"BEPAARI",Cash_Book!$D:$D,"CASH_ADV",Cash_Book!$E:$E,B38)+SUMIFS(Cash_Book!$H:$H,Cash_Book!$C:$C,"BEPAARI",Cash_Book!$D:$D,"CASH_ADV",Cash_Book!$E:$E,B38)</f>
        <v/>
      </c>
      <c r="N38" s="11">
        <f>SUMIFS(Cash_Book!$G:$G,Cash_Book!$C:$C,"BEPAARI",Cash_Book!$D:$D,"OTHER",Cash_Book!$E:$E,B38)+SUMIFS(Cash_Book!$H:$H,Cash_Book!$C:$C,"BEPAARI",Cash_Book!$D:$D,"OTHER",Cash_Book!$E:$E,B38)</f>
        <v/>
      </c>
      <c r="O38" s="9">
        <f>SUM(G38:N38)</f>
        <v/>
      </c>
      <c r="P38" s="9">
        <f>IF(B38="","",E38-O38+D38)</f>
        <v/>
      </c>
      <c r="Q38" s="11">
        <f>SUMIFS(Cash_Book!$G:$G,Cash_Book!$C:$C,"BEPAARI",Cash_Book!$D:$D,"PAYMENT",Cash_Book!$E:$E,B38)+SUMIFS(Cash_Book!$H:$H,Cash_Book!$C:$C,"BEPAARI",Cash_Book!$D:$D,"PAYMENT",Cash_Book!$E:$E,B38)</f>
        <v/>
      </c>
      <c r="R38" s="14">
        <f>IF(B38="","",P38-Q38)</f>
        <v/>
      </c>
    </row>
    <row r="39">
      <c r="A39" t="n">
        <v>35</v>
      </c>
      <c r="B39">
        <f>IF(Masters!$B$37="","",Masters!$B$37)</f>
        <v/>
      </c>
      <c r="C39">
        <f>IF(B39="","",Masters!$C$37)</f>
        <v/>
      </c>
      <c r="D39" s="11">
        <f>IF(B39="",0,Masters!$D$37)</f>
        <v/>
      </c>
      <c r="E39" s="11">
        <f>SUMIF(Daily_Sales!$C:$C,B39,Daily_Sales!$G:$G)</f>
        <v/>
      </c>
      <c r="F39" s="13">
        <f>SUMIF(Daily_Sales!$C:$C,B39,Daily_Sales!$E:$E)</f>
        <v/>
      </c>
      <c r="G39" s="11">
        <f>IF(B39="",0,E39*C39/100)</f>
        <v/>
      </c>
      <c r="H39" s="9">
        <f>IF(F39&gt;0,Masters!$X$3,0)</f>
        <v/>
      </c>
      <c r="I39" s="9">
        <f>F39*Masters!$X$4</f>
        <v/>
      </c>
      <c r="J39" s="11">
        <f>SUMIFS(Cash_Book!$G:$G,Cash_Book!$C:$C,"BEPAARI",Cash_Book!$D:$D,"MOTOR",Cash_Book!$E:$E,B39)+SUMIFS(Cash_Book!$H:$H,Cash_Book!$C:$C,"BEPAARI",Cash_Book!$D:$D,"MOTOR",Cash_Book!$E:$E,B39)</f>
        <v/>
      </c>
      <c r="K39" s="11">
        <f>SUMIFS(Cash_Book!$G:$G,Cash_Book!$C:$C,"BEPAARI",Cash_Book!$D:$D,"BHUSSA",Cash_Book!$E:$E,B39)+SUMIFS(Cash_Book!$H:$H,Cash_Book!$C:$C,"BEPAARI",Cash_Book!$D:$D,"BHUSSA",Cash_Book!$E:$E,B39)</f>
        <v/>
      </c>
      <c r="L39" s="11">
        <f>SUMIFS(Cash_Book!$G:$G,Cash_Book!$C:$C,"BEPAARI",Cash_Book!$D:$D,"GAWALI",Cash_Book!$E:$E,B39)+SUMIFS(Cash_Book!$H:$H,Cash_Book!$C:$C,"BEPAARI",Cash_Book!$D:$D,"GAWALI",Cash_Book!$E:$E,B39)</f>
        <v/>
      </c>
      <c r="M39" s="11">
        <f>SUMIFS(Cash_Book!$G:$G,Cash_Book!$C:$C,"BEPAARI",Cash_Book!$D:$D,"CASH_ADV",Cash_Book!$E:$E,B39)+SUMIFS(Cash_Book!$H:$H,Cash_Book!$C:$C,"BEPAARI",Cash_Book!$D:$D,"CASH_ADV",Cash_Book!$E:$E,B39)</f>
        <v/>
      </c>
      <c r="N39" s="11">
        <f>SUMIFS(Cash_Book!$G:$G,Cash_Book!$C:$C,"BEPAARI",Cash_Book!$D:$D,"OTHER",Cash_Book!$E:$E,B39)+SUMIFS(Cash_Book!$H:$H,Cash_Book!$C:$C,"BEPAARI",Cash_Book!$D:$D,"OTHER",Cash_Book!$E:$E,B39)</f>
        <v/>
      </c>
      <c r="O39" s="9">
        <f>SUM(G39:N39)</f>
        <v/>
      </c>
      <c r="P39" s="9">
        <f>IF(B39="","",E39-O39+D39)</f>
        <v/>
      </c>
      <c r="Q39" s="11">
        <f>SUMIFS(Cash_Book!$G:$G,Cash_Book!$C:$C,"BEPAARI",Cash_Book!$D:$D,"PAYMENT",Cash_Book!$E:$E,B39)+SUMIFS(Cash_Book!$H:$H,Cash_Book!$C:$C,"BEPAARI",Cash_Book!$D:$D,"PAYMENT",Cash_Book!$E:$E,B39)</f>
        <v/>
      </c>
      <c r="R39" s="14">
        <f>IF(B39="","",P39-Q39)</f>
        <v/>
      </c>
    </row>
    <row r="40">
      <c r="A40" t="n">
        <v>36</v>
      </c>
      <c r="B40">
        <f>IF(Masters!$B$38="","",Masters!$B$38)</f>
        <v/>
      </c>
      <c r="C40">
        <f>IF(B40="","",Masters!$C$38)</f>
        <v/>
      </c>
      <c r="D40" s="11">
        <f>IF(B40="",0,Masters!$D$38)</f>
        <v/>
      </c>
      <c r="E40" s="11">
        <f>SUMIF(Daily_Sales!$C:$C,B40,Daily_Sales!$G:$G)</f>
        <v/>
      </c>
      <c r="F40" s="13">
        <f>SUMIF(Daily_Sales!$C:$C,B40,Daily_Sales!$E:$E)</f>
        <v/>
      </c>
      <c r="G40" s="11">
        <f>IF(B40="",0,E40*C40/100)</f>
        <v/>
      </c>
      <c r="H40" s="9">
        <f>IF(F40&gt;0,Masters!$X$3,0)</f>
        <v/>
      </c>
      <c r="I40" s="9">
        <f>F40*Masters!$X$4</f>
        <v/>
      </c>
      <c r="J40" s="11">
        <f>SUMIFS(Cash_Book!$G:$G,Cash_Book!$C:$C,"BEPAARI",Cash_Book!$D:$D,"MOTOR",Cash_Book!$E:$E,B40)+SUMIFS(Cash_Book!$H:$H,Cash_Book!$C:$C,"BEPAARI",Cash_Book!$D:$D,"MOTOR",Cash_Book!$E:$E,B40)</f>
        <v/>
      </c>
      <c r="K40" s="11">
        <f>SUMIFS(Cash_Book!$G:$G,Cash_Book!$C:$C,"BEPAARI",Cash_Book!$D:$D,"BHUSSA",Cash_Book!$E:$E,B40)+SUMIFS(Cash_Book!$H:$H,Cash_Book!$C:$C,"BEPAARI",Cash_Book!$D:$D,"BHUSSA",Cash_Book!$E:$E,B40)</f>
        <v/>
      </c>
      <c r="L40" s="11">
        <f>SUMIFS(Cash_Book!$G:$G,Cash_Book!$C:$C,"BEPAARI",Cash_Book!$D:$D,"GAWALI",Cash_Book!$E:$E,B40)+SUMIFS(Cash_Book!$H:$H,Cash_Book!$C:$C,"BEPAARI",Cash_Book!$D:$D,"GAWALI",Cash_Book!$E:$E,B40)</f>
        <v/>
      </c>
      <c r="M40" s="11">
        <f>SUMIFS(Cash_Book!$G:$G,Cash_Book!$C:$C,"BEPAARI",Cash_Book!$D:$D,"CASH_ADV",Cash_Book!$E:$E,B40)+SUMIFS(Cash_Book!$H:$H,Cash_Book!$C:$C,"BEPAARI",Cash_Book!$D:$D,"CASH_ADV",Cash_Book!$E:$E,B40)</f>
        <v/>
      </c>
      <c r="N40" s="11">
        <f>SUMIFS(Cash_Book!$G:$G,Cash_Book!$C:$C,"BEPAARI",Cash_Book!$D:$D,"OTHER",Cash_Book!$E:$E,B40)+SUMIFS(Cash_Book!$H:$H,Cash_Book!$C:$C,"BEPAARI",Cash_Book!$D:$D,"OTHER",Cash_Book!$E:$E,B40)</f>
        <v/>
      </c>
      <c r="O40" s="9">
        <f>SUM(G40:N40)</f>
        <v/>
      </c>
      <c r="P40" s="9">
        <f>IF(B40="","",E40-O40+D40)</f>
        <v/>
      </c>
      <c r="Q40" s="11">
        <f>SUMIFS(Cash_Book!$G:$G,Cash_Book!$C:$C,"BEPAARI",Cash_Book!$D:$D,"PAYMENT",Cash_Book!$E:$E,B40)+SUMIFS(Cash_Book!$H:$H,Cash_Book!$C:$C,"BEPAARI",Cash_Book!$D:$D,"PAYMENT",Cash_Book!$E:$E,B40)</f>
        <v/>
      </c>
      <c r="R40" s="14">
        <f>IF(B40="","",P40-Q40)</f>
        <v/>
      </c>
    </row>
    <row r="41">
      <c r="A41" t="n">
        <v>37</v>
      </c>
      <c r="B41">
        <f>IF(Masters!$B$39="","",Masters!$B$39)</f>
        <v/>
      </c>
      <c r="C41">
        <f>IF(B41="","",Masters!$C$39)</f>
        <v/>
      </c>
      <c r="D41" s="11">
        <f>IF(B41="",0,Masters!$D$39)</f>
        <v/>
      </c>
      <c r="E41" s="11">
        <f>SUMIF(Daily_Sales!$C:$C,B41,Daily_Sales!$G:$G)</f>
        <v/>
      </c>
      <c r="F41" s="13">
        <f>SUMIF(Daily_Sales!$C:$C,B41,Daily_Sales!$E:$E)</f>
        <v/>
      </c>
      <c r="G41" s="11">
        <f>IF(B41="",0,E41*C41/100)</f>
        <v/>
      </c>
      <c r="H41" s="9">
        <f>IF(F41&gt;0,Masters!$X$3,0)</f>
        <v/>
      </c>
      <c r="I41" s="9">
        <f>F41*Masters!$X$4</f>
        <v/>
      </c>
      <c r="J41" s="11">
        <f>SUMIFS(Cash_Book!$G:$G,Cash_Book!$C:$C,"BEPAARI",Cash_Book!$D:$D,"MOTOR",Cash_Book!$E:$E,B41)+SUMIFS(Cash_Book!$H:$H,Cash_Book!$C:$C,"BEPAARI",Cash_Book!$D:$D,"MOTOR",Cash_Book!$E:$E,B41)</f>
        <v/>
      </c>
      <c r="K41" s="11">
        <f>SUMIFS(Cash_Book!$G:$G,Cash_Book!$C:$C,"BEPAARI",Cash_Book!$D:$D,"BHUSSA",Cash_Book!$E:$E,B41)+SUMIFS(Cash_Book!$H:$H,Cash_Book!$C:$C,"BEPAARI",Cash_Book!$D:$D,"BHUSSA",Cash_Book!$E:$E,B41)</f>
        <v/>
      </c>
      <c r="L41" s="11">
        <f>SUMIFS(Cash_Book!$G:$G,Cash_Book!$C:$C,"BEPAARI",Cash_Book!$D:$D,"GAWALI",Cash_Book!$E:$E,B41)+SUMIFS(Cash_Book!$H:$H,Cash_Book!$C:$C,"BEPAARI",Cash_Book!$D:$D,"GAWALI",Cash_Book!$E:$E,B41)</f>
        <v/>
      </c>
      <c r="M41" s="11">
        <f>SUMIFS(Cash_Book!$G:$G,Cash_Book!$C:$C,"BEPAARI",Cash_Book!$D:$D,"CASH_ADV",Cash_Book!$E:$E,B41)+SUMIFS(Cash_Book!$H:$H,Cash_Book!$C:$C,"BEPAARI",Cash_Book!$D:$D,"CASH_ADV",Cash_Book!$E:$E,B41)</f>
        <v/>
      </c>
      <c r="N41" s="11">
        <f>SUMIFS(Cash_Book!$G:$G,Cash_Book!$C:$C,"BEPAARI",Cash_Book!$D:$D,"OTHER",Cash_Book!$E:$E,B41)+SUMIFS(Cash_Book!$H:$H,Cash_Book!$C:$C,"BEPAARI",Cash_Book!$D:$D,"OTHER",Cash_Book!$E:$E,B41)</f>
        <v/>
      </c>
      <c r="O41" s="9">
        <f>SUM(G41:N41)</f>
        <v/>
      </c>
      <c r="P41" s="9">
        <f>IF(B41="","",E41-O41+D41)</f>
        <v/>
      </c>
      <c r="Q41" s="11">
        <f>SUMIFS(Cash_Book!$G:$G,Cash_Book!$C:$C,"BEPAARI",Cash_Book!$D:$D,"PAYMENT",Cash_Book!$E:$E,B41)+SUMIFS(Cash_Book!$H:$H,Cash_Book!$C:$C,"BEPAARI",Cash_Book!$D:$D,"PAYMENT",Cash_Book!$E:$E,B41)</f>
        <v/>
      </c>
      <c r="R41" s="14">
        <f>IF(B41="","",P41-Q41)</f>
        <v/>
      </c>
    </row>
    <row r="42">
      <c r="A42" t="n">
        <v>38</v>
      </c>
      <c r="B42">
        <f>IF(Masters!$B$40="","",Masters!$B$40)</f>
        <v/>
      </c>
      <c r="C42">
        <f>IF(B42="","",Masters!$C$40)</f>
        <v/>
      </c>
      <c r="D42" s="11">
        <f>IF(B42="",0,Masters!$D$40)</f>
        <v/>
      </c>
      <c r="E42" s="11">
        <f>SUMIF(Daily_Sales!$C:$C,B42,Daily_Sales!$G:$G)</f>
        <v/>
      </c>
      <c r="F42" s="13">
        <f>SUMIF(Daily_Sales!$C:$C,B42,Daily_Sales!$E:$E)</f>
        <v/>
      </c>
      <c r="G42" s="11">
        <f>IF(B42="",0,E42*C42/100)</f>
        <v/>
      </c>
      <c r="H42" s="9">
        <f>IF(F42&gt;0,Masters!$X$3,0)</f>
        <v/>
      </c>
      <c r="I42" s="9">
        <f>F42*Masters!$X$4</f>
        <v/>
      </c>
      <c r="J42" s="11">
        <f>SUMIFS(Cash_Book!$G:$G,Cash_Book!$C:$C,"BEPAARI",Cash_Book!$D:$D,"MOTOR",Cash_Book!$E:$E,B42)+SUMIFS(Cash_Book!$H:$H,Cash_Book!$C:$C,"BEPAARI",Cash_Book!$D:$D,"MOTOR",Cash_Book!$E:$E,B42)</f>
        <v/>
      </c>
      <c r="K42" s="11">
        <f>SUMIFS(Cash_Book!$G:$G,Cash_Book!$C:$C,"BEPAARI",Cash_Book!$D:$D,"BHUSSA",Cash_Book!$E:$E,B42)+SUMIFS(Cash_Book!$H:$H,Cash_Book!$C:$C,"BEPAARI",Cash_Book!$D:$D,"BHUSSA",Cash_Book!$E:$E,B42)</f>
        <v/>
      </c>
      <c r="L42" s="11">
        <f>SUMIFS(Cash_Book!$G:$G,Cash_Book!$C:$C,"BEPAARI",Cash_Book!$D:$D,"GAWALI",Cash_Book!$E:$E,B42)+SUMIFS(Cash_Book!$H:$H,Cash_Book!$C:$C,"BEPAARI",Cash_Book!$D:$D,"GAWALI",Cash_Book!$E:$E,B42)</f>
        <v/>
      </c>
      <c r="M42" s="11">
        <f>SUMIFS(Cash_Book!$G:$G,Cash_Book!$C:$C,"BEPAARI",Cash_Book!$D:$D,"CASH_ADV",Cash_Book!$E:$E,B42)+SUMIFS(Cash_Book!$H:$H,Cash_Book!$C:$C,"BEPAARI",Cash_Book!$D:$D,"CASH_ADV",Cash_Book!$E:$E,B42)</f>
        <v/>
      </c>
      <c r="N42" s="11">
        <f>SUMIFS(Cash_Book!$G:$G,Cash_Book!$C:$C,"BEPAARI",Cash_Book!$D:$D,"OTHER",Cash_Book!$E:$E,B42)+SUMIFS(Cash_Book!$H:$H,Cash_Book!$C:$C,"BEPAARI",Cash_Book!$D:$D,"OTHER",Cash_Book!$E:$E,B42)</f>
        <v/>
      </c>
      <c r="O42" s="9">
        <f>SUM(G42:N42)</f>
        <v/>
      </c>
      <c r="P42" s="9">
        <f>IF(B42="","",E42-O42+D42)</f>
        <v/>
      </c>
      <c r="Q42" s="11">
        <f>SUMIFS(Cash_Book!$G:$G,Cash_Book!$C:$C,"BEPAARI",Cash_Book!$D:$D,"PAYMENT",Cash_Book!$E:$E,B42)+SUMIFS(Cash_Book!$H:$H,Cash_Book!$C:$C,"BEPAARI",Cash_Book!$D:$D,"PAYMENT",Cash_Book!$E:$E,B42)</f>
        <v/>
      </c>
      <c r="R42" s="14">
        <f>IF(B42="","",P42-Q42)</f>
        <v/>
      </c>
    </row>
    <row r="43">
      <c r="A43" t="n">
        <v>39</v>
      </c>
      <c r="B43">
        <f>IF(Masters!$B$41="","",Masters!$B$41)</f>
        <v/>
      </c>
      <c r="C43">
        <f>IF(B43="","",Masters!$C$41)</f>
        <v/>
      </c>
      <c r="D43" s="11">
        <f>IF(B43="",0,Masters!$D$41)</f>
        <v/>
      </c>
      <c r="E43" s="11">
        <f>SUMIF(Daily_Sales!$C:$C,B43,Daily_Sales!$G:$G)</f>
        <v/>
      </c>
      <c r="F43" s="13">
        <f>SUMIF(Daily_Sales!$C:$C,B43,Daily_Sales!$E:$E)</f>
        <v/>
      </c>
      <c r="G43" s="11">
        <f>IF(B43="",0,E43*C43/100)</f>
        <v/>
      </c>
      <c r="H43" s="9">
        <f>IF(F43&gt;0,Masters!$X$3,0)</f>
        <v/>
      </c>
      <c r="I43" s="9">
        <f>F43*Masters!$X$4</f>
        <v/>
      </c>
      <c r="J43" s="11">
        <f>SUMIFS(Cash_Book!$G:$G,Cash_Book!$C:$C,"BEPAARI",Cash_Book!$D:$D,"MOTOR",Cash_Book!$E:$E,B43)+SUMIFS(Cash_Book!$H:$H,Cash_Book!$C:$C,"BEPAARI",Cash_Book!$D:$D,"MOTOR",Cash_Book!$E:$E,B43)</f>
        <v/>
      </c>
      <c r="K43" s="11">
        <f>SUMIFS(Cash_Book!$G:$G,Cash_Book!$C:$C,"BEPAARI",Cash_Book!$D:$D,"BHUSSA",Cash_Book!$E:$E,B43)+SUMIFS(Cash_Book!$H:$H,Cash_Book!$C:$C,"BEPAARI",Cash_Book!$D:$D,"BHUSSA",Cash_Book!$E:$E,B43)</f>
        <v/>
      </c>
      <c r="L43" s="11">
        <f>SUMIFS(Cash_Book!$G:$G,Cash_Book!$C:$C,"BEPAARI",Cash_Book!$D:$D,"GAWALI",Cash_Book!$E:$E,B43)+SUMIFS(Cash_Book!$H:$H,Cash_Book!$C:$C,"BEPAARI",Cash_Book!$D:$D,"GAWALI",Cash_Book!$E:$E,B43)</f>
        <v/>
      </c>
      <c r="M43" s="11">
        <f>SUMIFS(Cash_Book!$G:$G,Cash_Book!$C:$C,"BEPAARI",Cash_Book!$D:$D,"CASH_ADV",Cash_Book!$E:$E,B43)+SUMIFS(Cash_Book!$H:$H,Cash_Book!$C:$C,"BEPAARI",Cash_Book!$D:$D,"CASH_ADV",Cash_Book!$E:$E,B43)</f>
        <v/>
      </c>
      <c r="N43" s="11">
        <f>SUMIFS(Cash_Book!$G:$G,Cash_Book!$C:$C,"BEPAARI",Cash_Book!$D:$D,"OTHER",Cash_Book!$E:$E,B43)+SUMIFS(Cash_Book!$H:$H,Cash_Book!$C:$C,"BEPAARI",Cash_Book!$D:$D,"OTHER",Cash_Book!$E:$E,B43)</f>
        <v/>
      </c>
      <c r="O43" s="9">
        <f>SUM(G43:N43)</f>
        <v/>
      </c>
      <c r="P43" s="9">
        <f>IF(B43="","",E43-O43+D43)</f>
        <v/>
      </c>
      <c r="Q43" s="11">
        <f>SUMIFS(Cash_Book!$G:$G,Cash_Book!$C:$C,"BEPAARI",Cash_Book!$D:$D,"PAYMENT",Cash_Book!$E:$E,B43)+SUMIFS(Cash_Book!$H:$H,Cash_Book!$C:$C,"BEPAARI",Cash_Book!$D:$D,"PAYMENT",Cash_Book!$E:$E,B43)</f>
        <v/>
      </c>
      <c r="R43" s="14">
        <f>IF(B43="","",P43-Q43)</f>
        <v/>
      </c>
    </row>
    <row r="44">
      <c r="A44" t="n">
        <v>40</v>
      </c>
      <c r="B44">
        <f>IF(Masters!$B$42="","",Masters!$B$42)</f>
        <v/>
      </c>
      <c r="C44">
        <f>IF(B44="","",Masters!$C$42)</f>
        <v/>
      </c>
      <c r="D44" s="11">
        <f>IF(B44="",0,Masters!$D$42)</f>
        <v/>
      </c>
      <c r="E44" s="11">
        <f>SUMIF(Daily_Sales!$C:$C,B44,Daily_Sales!$G:$G)</f>
        <v/>
      </c>
      <c r="F44" s="13">
        <f>SUMIF(Daily_Sales!$C:$C,B44,Daily_Sales!$E:$E)</f>
        <v/>
      </c>
      <c r="G44" s="11">
        <f>IF(B44="",0,E44*C44/100)</f>
        <v/>
      </c>
      <c r="H44" s="9">
        <f>IF(F44&gt;0,Masters!$X$3,0)</f>
        <v/>
      </c>
      <c r="I44" s="9">
        <f>F44*Masters!$X$4</f>
        <v/>
      </c>
      <c r="J44" s="11">
        <f>SUMIFS(Cash_Book!$G:$G,Cash_Book!$C:$C,"BEPAARI",Cash_Book!$D:$D,"MOTOR",Cash_Book!$E:$E,B44)+SUMIFS(Cash_Book!$H:$H,Cash_Book!$C:$C,"BEPAARI",Cash_Book!$D:$D,"MOTOR",Cash_Book!$E:$E,B44)</f>
        <v/>
      </c>
      <c r="K44" s="11">
        <f>SUMIFS(Cash_Book!$G:$G,Cash_Book!$C:$C,"BEPAARI",Cash_Book!$D:$D,"BHUSSA",Cash_Book!$E:$E,B44)+SUMIFS(Cash_Book!$H:$H,Cash_Book!$C:$C,"BEPAARI",Cash_Book!$D:$D,"BHUSSA",Cash_Book!$E:$E,B44)</f>
        <v/>
      </c>
      <c r="L44" s="11">
        <f>SUMIFS(Cash_Book!$G:$G,Cash_Book!$C:$C,"BEPAARI",Cash_Book!$D:$D,"GAWALI",Cash_Book!$E:$E,B44)+SUMIFS(Cash_Book!$H:$H,Cash_Book!$C:$C,"BEPAARI",Cash_Book!$D:$D,"GAWALI",Cash_Book!$E:$E,B44)</f>
        <v/>
      </c>
      <c r="M44" s="11">
        <f>SUMIFS(Cash_Book!$G:$G,Cash_Book!$C:$C,"BEPAARI",Cash_Book!$D:$D,"CASH_ADV",Cash_Book!$E:$E,B44)+SUMIFS(Cash_Book!$H:$H,Cash_Book!$C:$C,"BEPAARI",Cash_Book!$D:$D,"CASH_ADV",Cash_Book!$E:$E,B44)</f>
        <v/>
      </c>
      <c r="N44" s="11">
        <f>SUMIFS(Cash_Book!$G:$G,Cash_Book!$C:$C,"BEPAARI",Cash_Book!$D:$D,"OTHER",Cash_Book!$E:$E,B44)+SUMIFS(Cash_Book!$H:$H,Cash_Book!$C:$C,"BEPAARI",Cash_Book!$D:$D,"OTHER",Cash_Book!$E:$E,B44)</f>
        <v/>
      </c>
      <c r="O44" s="9">
        <f>SUM(G44:N44)</f>
        <v/>
      </c>
      <c r="P44" s="9">
        <f>IF(B44="","",E44-O44+D44)</f>
        <v/>
      </c>
      <c r="Q44" s="11">
        <f>SUMIFS(Cash_Book!$G:$G,Cash_Book!$C:$C,"BEPAARI",Cash_Book!$D:$D,"PAYMENT",Cash_Book!$E:$E,B44)+SUMIFS(Cash_Book!$H:$H,Cash_Book!$C:$C,"BEPAARI",Cash_Book!$D:$D,"PAYMENT",Cash_Book!$E:$E,B44)</f>
        <v/>
      </c>
      <c r="R44" s="14">
        <f>IF(B44="","",P44-Q44)</f>
        <v/>
      </c>
    </row>
    <row r="45">
      <c r="A45" t="n">
        <v>41</v>
      </c>
      <c r="B45">
        <f>IF(Masters!$B$43="","",Masters!$B$43)</f>
        <v/>
      </c>
      <c r="C45">
        <f>IF(B45="","",Masters!$C$43)</f>
        <v/>
      </c>
      <c r="D45" s="11">
        <f>IF(B45="",0,Masters!$D$43)</f>
        <v/>
      </c>
      <c r="E45" s="11">
        <f>SUMIF(Daily_Sales!$C:$C,B45,Daily_Sales!$G:$G)</f>
        <v/>
      </c>
      <c r="F45" s="13">
        <f>SUMIF(Daily_Sales!$C:$C,B45,Daily_Sales!$E:$E)</f>
        <v/>
      </c>
      <c r="G45" s="11">
        <f>IF(B45="",0,E45*C45/100)</f>
        <v/>
      </c>
      <c r="H45" s="9">
        <f>IF(F45&gt;0,Masters!$X$3,0)</f>
        <v/>
      </c>
      <c r="I45" s="9">
        <f>F45*Masters!$X$4</f>
        <v/>
      </c>
      <c r="J45" s="11">
        <f>SUMIFS(Cash_Book!$G:$G,Cash_Book!$C:$C,"BEPAARI",Cash_Book!$D:$D,"MOTOR",Cash_Book!$E:$E,B45)+SUMIFS(Cash_Book!$H:$H,Cash_Book!$C:$C,"BEPAARI",Cash_Book!$D:$D,"MOTOR",Cash_Book!$E:$E,B45)</f>
        <v/>
      </c>
      <c r="K45" s="11">
        <f>SUMIFS(Cash_Book!$G:$G,Cash_Book!$C:$C,"BEPAARI",Cash_Book!$D:$D,"BHUSSA",Cash_Book!$E:$E,B45)+SUMIFS(Cash_Book!$H:$H,Cash_Book!$C:$C,"BEPAARI",Cash_Book!$D:$D,"BHUSSA",Cash_Book!$E:$E,B45)</f>
        <v/>
      </c>
      <c r="L45" s="11">
        <f>SUMIFS(Cash_Book!$G:$G,Cash_Book!$C:$C,"BEPAARI",Cash_Book!$D:$D,"GAWALI",Cash_Book!$E:$E,B45)+SUMIFS(Cash_Book!$H:$H,Cash_Book!$C:$C,"BEPAARI",Cash_Book!$D:$D,"GAWALI",Cash_Book!$E:$E,B45)</f>
        <v/>
      </c>
      <c r="M45" s="11">
        <f>SUMIFS(Cash_Book!$G:$G,Cash_Book!$C:$C,"BEPAARI",Cash_Book!$D:$D,"CASH_ADV",Cash_Book!$E:$E,B45)+SUMIFS(Cash_Book!$H:$H,Cash_Book!$C:$C,"BEPAARI",Cash_Book!$D:$D,"CASH_ADV",Cash_Book!$E:$E,B45)</f>
        <v/>
      </c>
      <c r="N45" s="11">
        <f>SUMIFS(Cash_Book!$G:$G,Cash_Book!$C:$C,"BEPAARI",Cash_Book!$D:$D,"OTHER",Cash_Book!$E:$E,B45)+SUMIFS(Cash_Book!$H:$H,Cash_Book!$C:$C,"BEPAARI",Cash_Book!$D:$D,"OTHER",Cash_Book!$E:$E,B45)</f>
        <v/>
      </c>
      <c r="O45" s="9">
        <f>SUM(G45:N45)</f>
        <v/>
      </c>
      <c r="P45" s="9">
        <f>IF(B45="","",E45-O45+D45)</f>
        <v/>
      </c>
      <c r="Q45" s="11">
        <f>SUMIFS(Cash_Book!$G:$G,Cash_Book!$C:$C,"BEPAARI",Cash_Book!$D:$D,"PAYMENT",Cash_Book!$E:$E,B45)+SUMIFS(Cash_Book!$H:$H,Cash_Book!$C:$C,"BEPAARI",Cash_Book!$D:$D,"PAYMENT",Cash_Book!$E:$E,B45)</f>
        <v/>
      </c>
      <c r="R45" s="14">
        <f>IF(B45="","",P45-Q45)</f>
        <v/>
      </c>
    </row>
    <row r="46">
      <c r="A46" t="n">
        <v>42</v>
      </c>
      <c r="B46">
        <f>IF(Masters!$B$44="","",Masters!$B$44)</f>
        <v/>
      </c>
      <c r="C46">
        <f>IF(B46="","",Masters!$C$44)</f>
        <v/>
      </c>
      <c r="D46" s="11">
        <f>IF(B46="",0,Masters!$D$44)</f>
        <v/>
      </c>
      <c r="E46" s="11">
        <f>SUMIF(Daily_Sales!$C:$C,B46,Daily_Sales!$G:$G)</f>
        <v/>
      </c>
      <c r="F46" s="13">
        <f>SUMIF(Daily_Sales!$C:$C,B46,Daily_Sales!$E:$E)</f>
        <v/>
      </c>
      <c r="G46" s="11">
        <f>IF(B46="",0,E46*C46/100)</f>
        <v/>
      </c>
      <c r="H46" s="9">
        <f>IF(F46&gt;0,Masters!$X$3,0)</f>
        <v/>
      </c>
      <c r="I46" s="9">
        <f>F46*Masters!$X$4</f>
        <v/>
      </c>
      <c r="J46" s="11">
        <f>SUMIFS(Cash_Book!$G:$G,Cash_Book!$C:$C,"BEPAARI",Cash_Book!$D:$D,"MOTOR",Cash_Book!$E:$E,B46)+SUMIFS(Cash_Book!$H:$H,Cash_Book!$C:$C,"BEPAARI",Cash_Book!$D:$D,"MOTOR",Cash_Book!$E:$E,B46)</f>
        <v/>
      </c>
      <c r="K46" s="11">
        <f>SUMIFS(Cash_Book!$G:$G,Cash_Book!$C:$C,"BEPAARI",Cash_Book!$D:$D,"BHUSSA",Cash_Book!$E:$E,B46)+SUMIFS(Cash_Book!$H:$H,Cash_Book!$C:$C,"BEPAARI",Cash_Book!$D:$D,"BHUSSA",Cash_Book!$E:$E,B46)</f>
        <v/>
      </c>
      <c r="L46" s="11">
        <f>SUMIFS(Cash_Book!$G:$G,Cash_Book!$C:$C,"BEPAARI",Cash_Book!$D:$D,"GAWALI",Cash_Book!$E:$E,B46)+SUMIFS(Cash_Book!$H:$H,Cash_Book!$C:$C,"BEPAARI",Cash_Book!$D:$D,"GAWALI",Cash_Book!$E:$E,B46)</f>
        <v/>
      </c>
      <c r="M46" s="11">
        <f>SUMIFS(Cash_Book!$G:$G,Cash_Book!$C:$C,"BEPAARI",Cash_Book!$D:$D,"CASH_ADV",Cash_Book!$E:$E,B46)+SUMIFS(Cash_Book!$H:$H,Cash_Book!$C:$C,"BEPAARI",Cash_Book!$D:$D,"CASH_ADV",Cash_Book!$E:$E,B46)</f>
        <v/>
      </c>
      <c r="N46" s="11">
        <f>SUMIFS(Cash_Book!$G:$G,Cash_Book!$C:$C,"BEPAARI",Cash_Book!$D:$D,"OTHER",Cash_Book!$E:$E,B46)+SUMIFS(Cash_Book!$H:$H,Cash_Book!$C:$C,"BEPAARI",Cash_Book!$D:$D,"OTHER",Cash_Book!$E:$E,B46)</f>
        <v/>
      </c>
      <c r="O46" s="9">
        <f>SUM(G46:N46)</f>
        <v/>
      </c>
      <c r="P46" s="9">
        <f>IF(B46="","",E46-O46+D46)</f>
        <v/>
      </c>
      <c r="Q46" s="11">
        <f>SUMIFS(Cash_Book!$G:$G,Cash_Book!$C:$C,"BEPAARI",Cash_Book!$D:$D,"PAYMENT",Cash_Book!$E:$E,B46)+SUMIFS(Cash_Book!$H:$H,Cash_Book!$C:$C,"BEPAARI",Cash_Book!$D:$D,"PAYMENT",Cash_Book!$E:$E,B46)</f>
        <v/>
      </c>
      <c r="R46" s="14">
        <f>IF(B46="","",P46-Q46)</f>
        <v/>
      </c>
    </row>
    <row r="47">
      <c r="A47" t="n">
        <v>43</v>
      </c>
      <c r="B47">
        <f>IF(Masters!$B$45="","",Masters!$B$45)</f>
        <v/>
      </c>
      <c r="C47">
        <f>IF(B47="","",Masters!$C$45)</f>
        <v/>
      </c>
      <c r="D47" s="11">
        <f>IF(B47="",0,Masters!$D$45)</f>
        <v/>
      </c>
      <c r="E47" s="11">
        <f>SUMIF(Daily_Sales!$C:$C,B47,Daily_Sales!$G:$G)</f>
        <v/>
      </c>
      <c r="F47" s="13">
        <f>SUMIF(Daily_Sales!$C:$C,B47,Daily_Sales!$E:$E)</f>
        <v/>
      </c>
      <c r="G47" s="11">
        <f>IF(B47="",0,E47*C47/100)</f>
        <v/>
      </c>
      <c r="H47" s="9">
        <f>IF(F47&gt;0,Masters!$X$3,0)</f>
        <v/>
      </c>
      <c r="I47" s="9">
        <f>F47*Masters!$X$4</f>
        <v/>
      </c>
      <c r="J47" s="11">
        <f>SUMIFS(Cash_Book!$G:$G,Cash_Book!$C:$C,"BEPAARI",Cash_Book!$D:$D,"MOTOR",Cash_Book!$E:$E,B47)+SUMIFS(Cash_Book!$H:$H,Cash_Book!$C:$C,"BEPAARI",Cash_Book!$D:$D,"MOTOR",Cash_Book!$E:$E,B47)</f>
        <v/>
      </c>
      <c r="K47" s="11">
        <f>SUMIFS(Cash_Book!$G:$G,Cash_Book!$C:$C,"BEPAARI",Cash_Book!$D:$D,"BHUSSA",Cash_Book!$E:$E,B47)+SUMIFS(Cash_Book!$H:$H,Cash_Book!$C:$C,"BEPAARI",Cash_Book!$D:$D,"BHUSSA",Cash_Book!$E:$E,B47)</f>
        <v/>
      </c>
      <c r="L47" s="11">
        <f>SUMIFS(Cash_Book!$G:$G,Cash_Book!$C:$C,"BEPAARI",Cash_Book!$D:$D,"GAWALI",Cash_Book!$E:$E,B47)+SUMIFS(Cash_Book!$H:$H,Cash_Book!$C:$C,"BEPAARI",Cash_Book!$D:$D,"GAWALI",Cash_Book!$E:$E,B47)</f>
        <v/>
      </c>
      <c r="M47" s="11">
        <f>SUMIFS(Cash_Book!$G:$G,Cash_Book!$C:$C,"BEPAARI",Cash_Book!$D:$D,"CASH_ADV",Cash_Book!$E:$E,B47)+SUMIFS(Cash_Book!$H:$H,Cash_Book!$C:$C,"BEPAARI",Cash_Book!$D:$D,"CASH_ADV",Cash_Book!$E:$E,B47)</f>
        <v/>
      </c>
      <c r="N47" s="11">
        <f>SUMIFS(Cash_Book!$G:$G,Cash_Book!$C:$C,"BEPAARI",Cash_Book!$D:$D,"OTHER",Cash_Book!$E:$E,B47)+SUMIFS(Cash_Book!$H:$H,Cash_Book!$C:$C,"BEPAARI",Cash_Book!$D:$D,"OTHER",Cash_Book!$E:$E,B47)</f>
        <v/>
      </c>
      <c r="O47" s="9">
        <f>SUM(G47:N47)</f>
        <v/>
      </c>
      <c r="P47" s="9">
        <f>IF(B47="","",E47-O47+D47)</f>
        <v/>
      </c>
      <c r="Q47" s="11">
        <f>SUMIFS(Cash_Book!$G:$G,Cash_Book!$C:$C,"BEPAARI",Cash_Book!$D:$D,"PAYMENT",Cash_Book!$E:$E,B47)+SUMIFS(Cash_Book!$H:$H,Cash_Book!$C:$C,"BEPAARI",Cash_Book!$D:$D,"PAYMENT",Cash_Book!$E:$E,B47)</f>
        <v/>
      </c>
      <c r="R47" s="14">
        <f>IF(B47="","",P47-Q47)</f>
        <v/>
      </c>
    </row>
    <row r="48">
      <c r="A48" t="n">
        <v>44</v>
      </c>
      <c r="B48">
        <f>IF(Masters!$B$46="","",Masters!$B$46)</f>
        <v/>
      </c>
      <c r="C48">
        <f>IF(B48="","",Masters!$C$46)</f>
        <v/>
      </c>
      <c r="D48" s="11">
        <f>IF(B48="",0,Masters!$D$46)</f>
        <v/>
      </c>
      <c r="E48" s="11">
        <f>SUMIF(Daily_Sales!$C:$C,B48,Daily_Sales!$G:$G)</f>
        <v/>
      </c>
      <c r="F48" s="13">
        <f>SUMIF(Daily_Sales!$C:$C,B48,Daily_Sales!$E:$E)</f>
        <v/>
      </c>
      <c r="G48" s="11">
        <f>IF(B48="",0,E48*C48/100)</f>
        <v/>
      </c>
      <c r="H48" s="9">
        <f>IF(F48&gt;0,Masters!$X$3,0)</f>
        <v/>
      </c>
      <c r="I48" s="9">
        <f>F48*Masters!$X$4</f>
        <v/>
      </c>
      <c r="J48" s="11">
        <f>SUMIFS(Cash_Book!$G:$G,Cash_Book!$C:$C,"BEPAARI",Cash_Book!$D:$D,"MOTOR",Cash_Book!$E:$E,B48)+SUMIFS(Cash_Book!$H:$H,Cash_Book!$C:$C,"BEPAARI",Cash_Book!$D:$D,"MOTOR",Cash_Book!$E:$E,B48)</f>
        <v/>
      </c>
      <c r="K48" s="11">
        <f>SUMIFS(Cash_Book!$G:$G,Cash_Book!$C:$C,"BEPAARI",Cash_Book!$D:$D,"BHUSSA",Cash_Book!$E:$E,B48)+SUMIFS(Cash_Book!$H:$H,Cash_Book!$C:$C,"BEPAARI",Cash_Book!$D:$D,"BHUSSA",Cash_Book!$E:$E,B48)</f>
        <v/>
      </c>
      <c r="L48" s="11">
        <f>SUMIFS(Cash_Book!$G:$G,Cash_Book!$C:$C,"BEPAARI",Cash_Book!$D:$D,"GAWALI",Cash_Book!$E:$E,B48)+SUMIFS(Cash_Book!$H:$H,Cash_Book!$C:$C,"BEPAARI",Cash_Book!$D:$D,"GAWALI",Cash_Book!$E:$E,B48)</f>
        <v/>
      </c>
      <c r="M48" s="11">
        <f>SUMIFS(Cash_Book!$G:$G,Cash_Book!$C:$C,"BEPAARI",Cash_Book!$D:$D,"CASH_ADV",Cash_Book!$E:$E,B48)+SUMIFS(Cash_Book!$H:$H,Cash_Book!$C:$C,"BEPAARI",Cash_Book!$D:$D,"CASH_ADV",Cash_Book!$E:$E,B48)</f>
        <v/>
      </c>
      <c r="N48" s="11">
        <f>SUMIFS(Cash_Book!$G:$G,Cash_Book!$C:$C,"BEPAARI",Cash_Book!$D:$D,"OTHER",Cash_Book!$E:$E,B48)+SUMIFS(Cash_Book!$H:$H,Cash_Book!$C:$C,"BEPAARI",Cash_Book!$D:$D,"OTHER",Cash_Book!$E:$E,B48)</f>
        <v/>
      </c>
      <c r="O48" s="9">
        <f>SUM(G48:N48)</f>
        <v/>
      </c>
      <c r="P48" s="9">
        <f>IF(B48="","",E48-O48+D48)</f>
        <v/>
      </c>
      <c r="Q48" s="11">
        <f>SUMIFS(Cash_Book!$G:$G,Cash_Book!$C:$C,"BEPAARI",Cash_Book!$D:$D,"PAYMENT",Cash_Book!$E:$E,B48)+SUMIFS(Cash_Book!$H:$H,Cash_Book!$C:$C,"BEPAARI",Cash_Book!$D:$D,"PAYMENT",Cash_Book!$E:$E,B48)</f>
        <v/>
      </c>
      <c r="R48" s="14">
        <f>IF(B48="","",P48-Q48)</f>
        <v/>
      </c>
    </row>
    <row r="49">
      <c r="A49" t="n">
        <v>45</v>
      </c>
      <c r="B49">
        <f>IF(Masters!$B$47="","",Masters!$B$47)</f>
        <v/>
      </c>
      <c r="C49">
        <f>IF(B49="","",Masters!$C$47)</f>
        <v/>
      </c>
      <c r="D49" s="11">
        <f>IF(B49="",0,Masters!$D$47)</f>
        <v/>
      </c>
      <c r="E49" s="11">
        <f>SUMIF(Daily_Sales!$C:$C,B49,Daily_Sales!$G:$G)</f>
        <v/>
      </c>
      <c r="F49" s="13">
        <f>SUMIF(Daily_Sales!$C:$C,B49,Daily_Sales!$E:$E)</f>
        <v/>
      </c>
      <c r="G49" s="11">
        <f>IF(B49="",0,E49*C49/100)</f>
        <v/>
      </c>
      <c r="H49" s="9">
        <f>IF(F49&gt;0,Masters!$X$3,0)</f>
        <v/>
      </c>
      <c r="I49" s="9">
        <f>F49*Masters!$X$4</f>
        <v/>
      </c>
      <c r="J49" s="11">
        <f>SUMIFS(Cash_Book!$G:$G,Cash_Book!$C:$C,"BEPAARI",Cash_Book!$D:$D,"MOTOR",Cash_Book!$E:$E,B49)+SUMIFS(Cash_Book!$H:$H,Cash_Book!$C:$C,"BEPAARI",Cash_Book!$D:$D,"MOTOR",Cash_Book!$E:$E,B49)</f>
        <v/>
      </c>
      <c r="K49" s="11">
        <f>SUMIFS(Cash_Book!$G:$G,Cash_Book!$C:$C,"BEPAARI",Cash_Book!$D:$D,"BHUSSA",Cash_Book!$E:$E,B49)+SUMIFS(Cash_Book!$H:$H,Cash_Book!$C:$C,"BEPAARI",Cash_Book!$D:$D,"BHUSSA",Cash_Book!$E:$E,B49)</f>
        <v/>
      </c>
      <c r="L49" s="11">
        <f>SUMIFS(Cash_Book!$G:$G,Cash_Book!$C:$C,"BEPAARI",Cash_Book!$D:$D,"GAWALI",Cash_Book!$E:$E,B49)+SUMIFS(Cash_Book!$H:$H,Cash_Book!$C:$C,"BEPAARI",Cash_Book!$D:$D,"GAWALI",Cash_Book!$E:$E,B49)</f>
        <v/>
      </c>
      <c r="M49" s="11">
        <f>SUMIFS(Cash_Book!$G:$G,Cash_Book!$C:$C,"BEPAARI",Cash_Book!$D:$D,"CASH_ADV",Cash_Book!$E:$E,B49)+SUMIFS(Cash_Book!$H:$H,Cash_Book!$C:$C,"BEPAARI",Cash_Book!$D:$D,"CASH_ADV",Cash_Book!$E:$E,B49)</f>
        <v/>
      </c>
      <c r="N49" s="11">
        <f>SUMIFS(Cash_Book!$G:$G,Cash_Book!$C:$C,"BEPAARI",Cash_Book!$D:$D,"OTHER",Cash_Book!$E:$E,B49)+SUMIFS(Cash_Book!$H:$H,Cash_Book!$C:$C,"BEPAARI",Cash_Book!$D:$D,"OTHER",Cash_Book!$E:$E,B49)</f>
        <v/>
      </c>
      <c r="O49" s="9">
        <f>SUM(G49:N49)</f>
        <v/>
      </c>
      <c r="P49" s="9">
        <f>IF(B49="","",E49-O49+D49)</f>
        <v/>
      </c>
      <c r="Q49" s="11">
        <f>SUMIFS(Cash_Book!$G:$G,Cash_Book!$C:$C,"BEPAARI",Cash_Book!$D:$D,"PAYMENT",Cash_Book!$E:$E,B49)+SUMIFS(Cash_Book!$H:$H,Cash_Book!$C:$C,"BEPAARI",Cash_Book!$D:$D,"PAYMENT",Cash_Book!$E:$E,B49)</f>
        <v/>
      </c>
      <c r="R49" s="14">
        <f>IF(B49="","",P49-Q49)</f>
        <v/>
      </c>
    </row>
    <row r="50">
      <c r="A50" t="n">
        <v>46</v>
      </c>
      <c r="B50">
        <f>IF(Masters!$B$48="","",Masters!$B$48)</f>
        <v/>
      </c>
      <c r="C50">
        <f>IF(B50="","",Masters!$C$48)</f>
        <v/>
      </c>
      <c r="D50" s="11">
        <f>IF(B50="",0,Masters!$D$48)</f>
        <v/>
      </c>
      <c r="E50" s="11">
        <f>SUMIF(Daily_Sales!$C:$C,B50,Daily_Sales!$G:$G)</f>
        <v/>
      </c>
      <c r="F50" s="13">
        <f>SUMIF(Daily_Sales!$C:$C,B50,Daily_Sales!$E:$E)</f>
        <v/>
      </c>
      <c r="G50" s="11">
        <f>IF(B50="",0,E50*C50/100)</f>
        <v/>
      </c>
      <c r="H50" s="9">
        <f>IF(F50&gt;0,Masters!$X$3,0)</f>
        <v/>
      </c>
      <c r="I50" s="9">
        <f>F50*Masters!$X$4</f>
        <v/>
      </c>
      <c r="J50" s="11">
        <f>SUMIFS(Cash_Book!$G:$G,Cash_Book!$C:$C,"BEPAARI",Cash_Book!$D:$D,"MOTOR",Cash_Book!$E:$E,B50)+SUMIFS(Cash_Book!$H:$H,Cash_Book!$C:$C,"BEPAARI",Cash_Book!$D:$D,"MOTOR",Cash_Book!$E:$E,B50)</f>
        <v/>
      </c>
      <c r="K50" s="11">
        <f>SUMIFS(Cash_Book!$G:$G,Cash_Book!$C:$C,"BEPAARI",Cash_Book!$D:$D,"BHUSSA",Cash_Book!$E:$E,B50)+SUMIFS(Cash_Book!$H:$H,Cash_Book!$C:$C,"BEPAARI",Cash_Book!$D:$D,"BHUSSA",Cash_Book!$E:$E,B50)</f>
        <v/>
      </c>
      <c r="L50" s="11">
        <f>SUMIFS(Cash_Book!$G:$G,Cash_Book!$C:$C,"BEPAARI",Cash_Book!$D:$D,"GAWALI",Cash_Book!$E:$E,B50)+SUMIFS(Cash_Book!$H:$H,Cash_Book!$C:$C,"BEPAARI",Cash_Book!$D:$D,"GAWALI",Cash_Book!$E:$E,B50)</f>
        <v/>
      </c>
      <c r="M50" s="11">
        <f>SUMIFS(Cash_Book!$G:$G,Cash_Book!$C:$C,"BEPAARI",Cash_Book!$D:$D,"CASH_ADV",Cash_Book!$E:$E,B50)+SUMIFS(Cash_Book!$H:$H,Cash_Book!$C:$C,"BEPAARI",Cash_Book!$D:$D,"CASH_ADV",Cash_Book!$E:$E,B50)</f>
        <v/>
      </c>
      <c r="N50" s="11">
        <f>SUMIFS(Cash_Book!$G:$G,Cash_Book!$C:$C,"BEPAARI",Cash_Book!$D:$D,"OTHER",Cash_Book!$E:$E,B50)+SUMIFS(Cash_Book!$H:$H,Cash_Book!$C:$C,"BEPAARI",Cash_Book!$D:$D,"OTHER",Cash_Book!$E:$E,B50)</f>
        <v/>
      </c>
      <c r="O50" s="9">
        <f>SUM(G50:N50)</f>
        <v/>
      </c>
      <c r="P50" s="9">
        <f>IF(B50="","",E50-O50+D50)</f>
        <v/>
      </c>
      <c r="Q50" s="11">
        <f>SUMIFS(Cash_Book!$G:$G,Cash_Book!$C:$C,"BEPAARI",Cash_Book!$D:$D,"PAYMENT",Cash_Book!$E:$E,B50)+SUMIFS(Cash_Book!$H:$H,Cash_Book!$C:$C,"BEPAARI",Cash_Book!$D:$D,"PAYMENT",Cash_Book!$E:$E,B50)</f>
        <v/>
      </c>
      <c r="R50" s="14">
        <f>IF(B50="","",P50-Q50)</f>
        <v/>
      </c>
    </row>
    <row r="51">
      <c r="A51" t="n">
        <v>47</v>
      </c>
      <c r="B51">
        <f>IF(Masters!$B$49="","",Masters!$B$49)</f>
        <v/>
      </c>
      <c r="C51">
        <f>IF(B51="","",Masters!$C$49)</f>
        <v/>
      </c>
      <c r="D51" s="11">
        <f>IF(B51="",0,Masters!$D$49)</f>
        <v/>
      </c>
      <c r="E51" s="11">
        <f>SUMIF(Daily_Sales!$C:$C,B51,Daily_Sales!$G:$G)</f>
        <v/>
      </c>
      <c r="F51" s="13">
        <f>SUMIF(Daily_Sales!$C:$C,B51,Daily_Sales!$E:$E)</f>
        <v/>
      </c>
      <c r="G51" s="11">
        <f>IF(B51="",0,E51*C51/100)</f>
        <v/>
      </c>
      <c r="H51" s="9">
        <f>IF(F51&gt;0,Masters!$X$3,0)</f>
        <v/>
      </c>
      <c r="I51" s="9">
        <f>F51*Masters!$X$4</f>
        <v/>
      </c>
      <c r="J51" s="11">
        <f>SUMIFS(Cash_Book!$G:$G,Cash_Book!$C:$C,"BEPAARI",Cash_Book!$D:$D,"MOTOR",Cash_Book!$E:$E,B51)+SUMIFS(Cash_Book!$H:$H,Cash_Book!$C:$C,"BEPAARI",Cash_Book!$D:$D,"MOTOR",Cash_Book!$E:$E,B51)</f>
        <v/>
      </c>
      <c r="K51" s="11">
        <f>SUMIFS(Cash_Book!$G:$G,Cash_Book!$C:$C,"BEPAARI",Cash_Book!$D:$D,"BHUSSA",Cash_Book!$E:$E,B51)+SUMIFS(Cash_Book!$H:$H,Cash_Book!$C:$C,"BEPAARI",Cash_Book!$D:$D,"BHUSSA",Cash_Book!$E:$E,B51)</f>
        <v/>
      </c>
      <c r="L51" s="11">
        <f>SUMIFS(Cash_Book!$G:$G,Cash_Book!$C:$C,"BEPAARI",Cash_Book!$D:$D,"GAWALI",Cash_Book!$E:$E,B51)+SUMIFS(Cash_Book!$H:$H,Cash_Book!$C:$C,"BEPAARI",Cash_Book!$D:$D,"GAWALI",Cash_Book!$E:$E,B51)</f>
        <v/>
      </c>
      <c r="M51" s="11">
        <f>SUMIFS(Cash_Book!$G:$G,Cash_Book!$C:$C,"BEPAARI",Cash_Book!$D:$D,"CASH_ADV",Cash_Book!$E:$E,B51)+SUMIFS(Cash_Book!$H:$H,Cash_Book!$C:$C,"BEPAARI",Cash_Book!$D:$D,"CASH_ADV",Cash_Book!$E:$E,B51)</f>
        <v/>
      </c>
      <c r="N51" s="11">
        <f>SUMIFS(Cash_Book!$G:$G,Cash_Book!$C:$C,"BEPAARI",Cash_Book!$D:$D,"OTHER",Cash_Book!$E:$E,B51)+SUMIFS(Cash_Book!$H:$H,Cash_Book!$C:$C,"BEPAARI",Cash_Book!$D:$D,"OTHER",Cash_Book!$E:$E,B51)</f>
        <v/>
      </c>
      <c r="O51" s="9">
        <f>SUM(G51:N51)</f>
        <v/>
      </c>
      <c r="P51" s="9">
        <f>IF(B51="","",E51-O51+D51)</f>
        <v/>
      </c>
      <c r="Q51" s="11">
        <f>SUMIFS(Cash_Book!$G:$G,Cash_Book!$C:$C,"BEPAARI",Cash_Book!$D:$D,"PAYMENT",Cash_Book!$E:$E,B51)+SUMIFS(Cash_Book!$H:$H,Cash_Book!$C:$C,"BEPAARI",Cash_Book!$D:$D,"PAYMENT",Cash_Book!$E:$E,B51)</f>
        <v/>
      </c>
      <c r="R51" s="14">
        <f>IF(B51="","",P51-Q51)</f>
        <v/>
      </c>
    </row>
    <row r="52">
      <c r="A52" t="n">
        <v>48</v>
      </c>
      <c r="B52">
        <f>IF(Masters!$B$50="","",Masters!$B$50)</f>
        <v/>
      </c>
      <c r="C52">
        <f>IF(B52="","",Masters!$C$50)</f>
        <v/>
      </c>
      <c r="D52" s="11">
        <f>IF(B52="",0,Masters!$D$50)</f>
        <v/>
      </c>
      <c r="E52" s="11">
        <f>SUMIF(Daily_Sales!$C:$C,B52,Daily_Sales!$G:$G)</f>
        <v/>
      </c>
      <c r="F52" s="13">
        <f>SUMIF(Daily_Sales!$C:$C,B52,Daily_Sales!$E:$E)</f>
        <v/>
      </c>
      <c r="G52" s="11">
        <f>IF(B52="",0,E52*C52/100)</f>
        <v/>
      </c>
      <c r="H52" s="9">
        <f>IF(F52&gt;0,Masters!$X$3,0)</f>
        <v/>
      </c>
      <c r="I52" s="9">
        <f>F52*Masters!$X$4</f>
        <v/>
      </c>
      <c r="J52" s="11">
        <f>SUMIFS(Cash_Book!$G:$G,Cash_Book!$C:$C,"BEPAARI",Cash_Book!$D:$D,"MOTOR",Cash_Book!$E:$E,B52)+SUMIFS(Cash_Book!$H:$H,Cash_Book!$C:$C,"BEPAARI",Cash_Book!$D:$D,"MOTOR",Cash_Book!$E:$E,B52)</f>
        <v/>
      </c>
      <c r="K52" s="11">
        <f>SUMIFS(Cash_Book!$G:$G,Cash_Book!$C:$C,"BEPAARI",Cash_Book!$D:$D,"BHUSSA",Cash_Book!$E:$E,B52)+SUMIFS(Cash_Book!$H:$H,Cash_Book!$C:$C,"BEPAARI",Cash_Book!$D:$D,"BHUSSA",Cash_Book!$E:$E,B52)</f>
        <v/>
      </c>
      <c r="L52" s="11">
        <f>SUMIFS(Cash_Book!$G:$G,Cash_Book!$C:$C,"BEPAARI",Cash_Book!$D:$D,"GAWALI",Cash_Book!$E:$E,B52)+SUMIFS(Cash_Book!$H:$H,Cash_Book!$C:$C,"BEPAARI",Cash_Book!$D:$D,"GAWALI",Cash_Book!$E:$E,B52)</f>
        <v/>
      </c>
      <c r="M52" s="11">
        <f>SUMIFS(Cash_Book!$G:$G,Cash_Book!$C:$C,"BEPAARI",Cash_Book!$D:$D,"CASH_ADV",Cash_Book!$E:$E,B52)+SUMIFS(Cash_Book!$H:$H,Cash_Book!$C:$C,"BEPAARI",Cash_Book!$D:$D,"CASH_ADV",Cash_Book!$E:$E,B52)</f>
        <v/>
      </c>
      <c r="N52" s="11">
        <f>SUMIFS(Cash_Book!$G:$G,Cash_Book!$C:$C,"BEPAARI",Cash_Book!$D:$D,"OTHER",Cash_Book!$E:$E,B52)+SUMIFS(Cash_Book!$H:$H,Cash_Book!$C:$C,"BEPAARI",Cash_Book!$D:$D,"OTHER",Cash_Book!$E:$E,B52)</f>
        <v/>
      </c>
      <c r="O52" s="9">
        <f>SUM(G52:N52)</f>
        <v/>
      </c>
      <c r="P52" s="9">
        <f>IF(B52="","",E52-O52+D52)</f>
        <v/>
      </c>
      <c r="Q52" s="11">
        <f>SUMIFS(Cash_Book!$G:$G,Cash_Book!$C:$C,"BEPAARI",Cash_Book!$D:$D,"PAYMENT",Cash_Book!$E:$E,B52)+SUMIFS(Cash_Book!$H:$H,Cash_Book!$C:$C,"BEPAARI",Cash_Book!$D:$D,"PAYMENT",Cash_Book!$E:$E,B52)</f>
        <v/>
      </c>
      <c r="R52" s="14">
        <f>IF(B52="","",P52-Q52)</f>
        <v/>
      </c>
    </row>
    <row r="53">
      <c r="A53" t="n">
        <v>49</v>
      </c>
      <c r="B53">
        <f>IF(Masters!$B$51="","",Masters!$B$51)</f>
        <v/>
      </c>
      <c r="C53">
        <f>IF(B53="","",Masters!$C$51)</f>
        <v/>
      </c>
      <c r="D53" s="11">
        <f>IF(B53="",0,Masters!$D$51)</f>
        <v/>
      </c>
      <c r="E53" s="11">
        <f>SUMIF(Daily_Sales!$C:$C,B53,Daily_Sales!$G:$G)</f>
        <v/>
      </c>
      <c r="F53" s="13">
        <f>SUMIF(Daily_Sales!$C:$C,B53,Daily_Sales!$E:$E)</f>
        <v/>
      </c>
      <c r="G53" s="11">
        <f>IF(B53="",0,E53*C53/100)</f>
        <v/>
      </c>
      <c r="H53" s="9">
        <f>IF(F53&gt;0,Masters!$X$3,0)</f>
        <v/>
      </c>
      <c r="I53" s="9">
        <f>F53*Masters!$X$4</f>
        <v/>
      </c>
      <c r="J53" s="11">
        <f>SUMIFS(Cash_Book!$G:$G,Cash_Book!$C:$C,"BEPAARI",Cash_Book!$D:$D,"MOTOR",Cash_Book!$E:$E,B53)+SUMIFS(Cash_Book!$H:$H,Cash_Book!$C:$C,"BEPAARI",Cash_Book!$D:$D,"MOTOR",Cash_Book!$E:$E,B53)</f>
        <v/>
      </c>
      <c r="K53" s="11">
        <f>SUMIFS(Cash_Book!$G:$G,Cash_Book!$C:$C,"BEPAARI",Cash_Book!$D:$D,"BHUSSA",Cash_Book!$E:$E,B53)+SUMIFS(Cash_Book!$H:$H,Cash_Book!$C:$C,"BEPAARI",Cash_Book!$D:$D,"BHUSSA",Cash_Book!$E:$E,B53)</f>
        <v/>
      </c>
      <c r="L53" s="11">
        <f>SUMIFS(Cash_Book!$G:$G,Cash_Book!$C:$C,"BEPAARI",Cash_Book!$D:$D,"GAWALI",Cash_Book!$E:$E,B53)+SUMIFS(Cash_Book!$H:$H,Cash_Book!$C:$C,"BEPAARI",Cash_Book!$D:$D,"GAWALI",Cash_Book!$E:$E,B53)</f>
        <v/>
      </c>
      <c r="M53" s="11">
        <f>SUMIFS(Cash_Book!$G:$G,Cash_Book!$C:$C,"BEPAARI",Cash_Book!$D:$D,"CASH_ADV",Cash_Book!$E:$E,B53)+SUMIFS(Cash_Book!$H:$H,Cash_Book!$C:$C,"BEPAARI",Cash_Book!$D:$D,"CASH_ADV",Cash_Book!$E:$E,B53)</f>
        <v/>
      </c>
      <c r="N53" s="11">
        <f>SUMIFS(Cash_Book!$G:$G,Cash_Book!$C:$C,"BEPAARI",Cash_Book!$D:$D,"OTHER",Cash_Book!$E:$E,B53)+SUMIFS(Cash_Book!$H:$H,Cash_Book!$C:$C,"BEPAARI",Cash_Book!$D:$D,"OTHER",Cash_Book!$E:$E,B53)</f>
        <v/>
      </c>
      <c r="O53" s="9">
        <f>SUM(G53:N53)</f>
        <v/>
      </c>
      <c r="P53" s="9">
        <f>IF(B53="","",E53-O53+D53)</f>
        <v/>
      </c>
      <c r="Q53" s="11">
        <f>SUMIFS(Cash_Book!$G:$G,Cash_Book!$C:$C,"BEPAARI",Cash_Book!$D:$D,"PAYMENT",Cash_Book!$E:$E,B53)+SUMIFS(Cash_Book!$H:$H,Cash_Book!$C:$C,"BEPAARI",Cash_Book!$D:$D,"PAYMENT",Cash_Book!$E:$E,B53)</f>
        <v/>
      </c>
      <c r="R53" s="14">
        <f>IF(B53="","",P53-Q53)</f>
        <v/>
      </c>
    </row>
    <row r="54">
      <c r="A54" t="n">
        <v>50</v>
      </c>
      <c r="B54">
        <f>IF(Masters!$B$52="","",Masters!$B$52)</f>
        <v/>
      </c>
      <c r="C54">
        <f>IF(B54="","",Masters!$C$52)</f>
        <v/>
      </c>
      <c r="D54" s="11">
        <f>IF(B54="",0,Masters!$D$52)</f>
        <v/>
      </c>
      <c r="E54" s="11">
        <f>SUMIF(Daily_Sales!$C:$C,B54,Daily_Sales!$G:$G)</f>
        <v/>
      </c>
      <c r="F54" s="13">
        <f>SUMIF(Daily_Sales!$C:$C,B54,Daily_Sales!$E:$E)</f>
        <v/>
      </c>
      <c r="G54" s="11">
        <f>IF(B54="",0,E54*C54/100)</f>
        <v/>
      </c>
      <c r="H54" s="9">
        <f>IF(F54&gt;0,Masters!$X$3,0)</f>
        <v/>
      </c>
      <c r="I54" s="9">
        <f>F54*Masters!$X$4</f>
        <v/>
      </c>
      <c r="J54" s="11">
        <f>SUMIFS(Cash_Book!$G:$G,Cash_Book!$C:$C,"BEPAARI",Cash_Book!$D:$D,"MOTOR",Cash_Book!$E:$E,B54)+SUMIFS(Cash_Book!$H:$H,Cash_Book!$C:$C,"BEPAARI",Cash_Book!$D:$D,"MOTOR",Cash_Book!$E:$E,B54)</f>
        <v/>
      </c>
      <c r="K54" s="11">
        <f>SUMIFS(Cash_Book!$G:$G,Cash_Book!$C:$C,"BEPAARI",Cash_Book!$D:$D,"BHUSSA",Cash_Book!$E:$E,B54)+SUMIFS(Cash_Book!$H:$H,Cash_Book!$C:$C,"BEPAARI",Cash_Book!$D:$D,"BHUSSA",Cash_Book!$E:$E,B54)</f>
        <v/>
      </c>
      <c r="L54" s="11">
        <f>SUMIFS(Cash_Book!$G:$G,Cash_Book!$C:$C,"BEPAARI",Cash_Book!$D:$D,"GAWALI",Cash_Book!$E:$E,B54)+SUMIFS(Cash_Book!$H:$H,Cash_Book!$C:$C,"BEPAARI",Cash_Book!$D:$D,"GAWALI",Cash_Book!$E:$E,B54)</f>
        <v/>
      </c>
      <c r="M54" s="11">
        <f>SUMIFS(Cash_Book!$G:$G,Cash_Book!$C:$C,"BEPAARI",Cash_Book!$D:$D,"CASH_ADV",Cash_Book!$E:$E,B54)+SUMIFS(Cash_Book!$H:$H,Cash_Book!$C:$C,"BEPAARI",Cash_Book!$D:$D,"CASH_ADV",Cash_Book!$E:$E,B54)</f>
        <v/>
      </c>
      <c r="N54" s="11">
        <f>SUMIFS(Cash_Book!$G:$G,Cash_Book!$C:$C,"BEPAARI",Cash_Book!$D:$D,"OTHER",Cash_Book!$E:$E,B54)+SUMIFS(Cash_Book!$H:$H,Cash_Book!$C:$C,"BEPAARI",Cash_Book!$D:$D,"OTHER",Cash_Book!$E:$E,B54)</f>
        <v/>
      </c>
      <c r="O54" s="9">
        <f>SUM(G54:N54)</f>
        <v/>
      </c>
      <c r="P54" s="9">
        <f>IF(B54="","",E54-O54+D54)</f>
        <v/>
      </c>
      <c r="Q54" s="11">
        <f>SUMIFS(Cash_Book!$G:$G,Cash_Book!$C:$C,"BEPAARI",Cash_Book!$D:$D,"PAYMENT",Cash_Book!$E:$E,B54)+SUMIFS(Cash_Book!$H:$H,Cash_Book!$C:$C,"BEPAARI",Cash_Book!$D:$D,"PAYMENT",Cash_Book!$E:$E,B54)</f>
        <v/>
      </c>
      <c r="R54" s="14">
        <f>IF(B54="","",P54-Q54)</f>
        <v/>
      </c>
    </row>
    <row r="55">
      <c r="A55" t="n">
        <v>51</v>
      </c>
      <c r="B55">
        <f>IF(Masters!$B$53="","",Masters!$B$53)</f>
        <v/>
      </c>
      <c r="C55">
        <f>IF(B55="","",Masters!$C$53)</f>
        <v/>
      </c>
      <c r="D55" s="11">
        <f>IF(B55="",0,Masters!$D$53)</f>
        <v/>
      </c>
      <c r="E55" s="11">
        <f>SUMIF(Daily_Sales!$C:$C,B55,Daily_Sales!$G:$G)</f>
        <v/>
      </c>
      <c r="F55" s="13">
        <f>SUMIF(Daily_Sales!$C:$C,B55,Daily_Sales!$E:$E)</f>
        <v/>
      </c>
      <c r="G55" s="11">
        <f>IF(B55="",0,E55*C55/100)</f>
        <v/>
      </c>
      <c r="H55" s="9">
        <f>IF(F55&gt;0,Masters!$X$3,0)</f>
        <v/>
      </c>
      <c r="I55" s="9">
        <f>F55*Masters!$X$4</f>
        <v/>
      </c>
      <c r="J55" s="11">
        <f>SUMIFS(Cash_Book!$G:$G,Cash_Book!$C:$C,"BEPAARI",Cash_Book!$D:$D,"MOTOR",Cash_Book!$E:$E,B55)+SUMIFS(Cash_Book!$H:$H,Cash_Book!$C:$C,"BEPAARI",Cash_Book!$D:$D,"MOTOR",Cash_Book!$E:$E,B55)</f>
        <v/>
      </c>
      <c r="K55" s="11">
        <f>SUMIFS(Cash_Book!$G:$G,Cash_Book!$C:$C,"BEPAARI",Cash_Book!$D:$D,"BHUSSA",Cash_Book!$E:$E,B55)+SUMIFS(Cash_Book!$H:$H,Cash_Book!$C:$C,"BEPAARI",Cash_Book!$D:$D,"BHUSSA",Cash_Book!$E:$E,B55)</f>
        <v/>
      </c>
      <c r="L55" s="11">
        <f>SUMIFS(Cash_Book!$G:$G,Cash_Book!$C:$C,"BEPAARI",Cash_Book!$D:$D,"GAWALI",Cash_Book!$E:$E,B55)+SUMIFS(Cash_Book!$H:$H,Cash_Book!$C:$C,"BEPAARI",Cash_Book!$D:$D,"GAWALI",Cash_Book!$E:$E,B55)</f>
        <v/>
      </c>
      <c r="M55" s="11">
        <f>SUMIFS(Cash_Book!$G:$G,Cash_Book!$C:$C,"BEPAARI",Cash_Book!$D:$D,"CASH_ADV",Cash_Book!$E:$E,B55)+SUMIFS(Cash_Book!$H:$H,Cash_Book!$C:$C,"BEPAARI",Cash_Book!$D:$D,"CASH_ADV",Cash_Book!$E:$E,B55)</f>
        <v/>
      </c>
      <c r="N55" s="11">
        <f>SUMIFS(Cash_Book!$G:$G,Cash_Book!$C:$C,"BEPAARI",Cash_Book!$D:$D,"OTHER",Cash_Book!$E:$E,B55)+SUMIFS(Cash_Book!$H:$H,Cash_Book!$C:$C,"BEPAARI",Cash_Book!$D:$D,"OTHER",Cash_Book!$E:$E,B55)</f>
        <v/>
      </c>
      <c r="O55" s="9">
        <f>SUM(G55:N55)</f>
        <v/>
      </c>
      <c r="P55" s="9">
        <f>IF(B55="","",E55-O55+D55)</f>
        <v/>
      </c>
      <c r="Q55" s="11">
        <f>SUMIFS(Cash_Book!$G:$G,Cash_Book!$C:$C,"BEPAARI",Cash_Book!$D:$D,"PAYMENT",Cash_Book!$E:$E,B55)+SUMIFS(Cash_Book!$H:$H,Cash_Book!$C:$C,"BEPAARI",Cash_Book!$D:$D,"PAYMENT",Cash_Book!$E:$E,B55)</f>
        <v/>
      </c>
      <c r="R55" s="14">
        <f>IF(B55="","",P55-Q55)</f>
        <v/>
      </c>
    </row>
    <row r="56">
      <c r="A56" t="n">
        <v>52</v>
      </c>
      <c r="B56">
        <f>IF(Masters!$B$54="","",Masters!$B$54)</f>
        <v/>
      </c>
      <c r="C56">
        <f>IF(B56="","",Masters!$C$54)</f>
        <v/>
      </c>
      <c r="D56" s="11">
        <f>IF(B56="",0,Masters!$D$54)</f>
        <v/>
      </c>
      <c r="E56" s="11">
        <f>SUMIF(Daily_Sales!$C:$C,B56,Daily_Sales!$G:$G)</f>
        <v/>
      </c>
      <c r="F56" s="13">
        <f>SUMIF(Daily_Sales!$C:$C,B56,Daily_Sales!$E:$E)</f>
        <v/>
      </c>
      <c r="G56" s="11">
        <f>IF(B56="",0,E56*C56/100)</f>
        <v/>
      </c>
      <c r="H56" s="9">
        <f>IF(F56&gt;0,Masters!$X$3,0)</f>
        <v/>
      </c>
      <c r="I56" s="9">
        <f>F56*Masters!$X$4</f>
        <v/>
      </c>
      <c r="J56" s="11">
        <f>SUMIFS(Cash_Book!$G:$G,Cash_Book!$C:$C,"BEPAARI",Cash_Book!$D:$D,"MOTOR",Cash_Book!$E:$E,B56)+SUMIFS(Cash_Book!$H:$H,Cash_Book!$C:$C,"BEPAARI",Cash_Book!$D:$D,"MOTOR",Cash_Book!$E:$E,B56)</f>
        <v/>
      </c>
      <c r="K56" s="11">
        <f>SUMIFS(Cash_Book!$G:$G,Cash_Book!$C:$C,"BEPAARI",Cash_Book!$D:$D,"BHUSSA",Cash_Book!$E:$E,B56)+SUMIFS(Cash_Book!$H:$H,Cash_Book!$C:$C,"BEPAARI",Cash_Book!$D:$D,"BHUSSA",Cash_Book!$E:$E,B56)</f>
        <v/>
      </c>
      <c r="L56" s="11">
        <f>SUMIFS(Cash_Book!$G:$G,Cash_Book!$C:$C,"BEPAARI",Cash_Book!$D:$D,"GAWALI",Cash_Book!$E:$E,B56)+SUMIFS(Cash_Book!$H:$H,Cash_Book!$C:$C,"BEPAARI",Cash_Book!$D:$D,"GAWALI",Cash_Book!$E:$E,B56)</f>
        <v/>
      </c>
      <c r="M56" s="11">
        <f>SUMIFS(Cash_Book!$G:$G,Cash_Book!$C:$C,"BEPAARI",Cash_Book!$D:$D,"CASH_ADV",Cash_Book!$E:$E,B56)+SUMIFS(Cash_Book!$H:$H,Cash_Book!$C:$C,"BEPAARI",Cash_Book!$D:$D,"CASH_ADV",Cash_Book!$E:$E,B56)</f>
        <v/>
      </c>
      <c r="N56" s="11">
        <f>SUMIFS(Cash_Book!$G:$G,Cash_Book!$C:$C,"BEPAARI",Cash_Book!$D:$D,"OTHER",Cash_Book!$E:$E,B56)+SUMIFS(Cash_Book!$H:$H,Cash_Book!$C:$C,"BEPAARI",Cash_Book!$D:$D,"OTHER",Cash_Book!$E:$E,B56)</f>
        <v/>
      </c>
      <c r="O56" s="9">
        <f>SUM(G56:N56)</f>
        <v/>
      </c>
      <c r="P56" s="9">
        <f>IF(B56="","",E56-O56+D56)</f>
        <v/>
      </c>
      <c r="Q56" s="11">
        <f>SUMIFS(Cash_Book!$G:$G,Cash_Book!$C:$C,"BEPAARI",Cash_Book!$D:$D,"PAYMENT",Cash_Book!$E:$E,B56)+SUMIFS(Cash_Book!$H:$H,Cash_Book!$C:$C,"BEPAARI",Cash_Book!$D:$D,"PAYMENT",Cash_Book!$E:$E,B56)</f>
        <v/>
      </c>
      <c r="R56" s="14">
        <f>IF(B56="","",P56-Q56)</f>
        <v/>
      </c>
    </row>
    <row r="57">
      <c r="A57" t="n">
        <v>53</v>
      </c>
      <c r="B57">
        <f>IF(Masters!$B$55="","",Masters!$B$55)</f>
        <v/>
      </c>
      <c r="C57">
        <f>IF(B57="","",Masters!$C$55)</f>
        <v/>
      </c>
      <c r="D57" s="11">
        <f>IF(B57="",0,Masters!$D$55)</f>
        <v/>
      </c>
      <c r="E57" s="11">
        <f>SUMIF(Daily_Sales!$C:$C,B57,Daily_Sales!$G:$G)</f>
        <v/>
      </c>
      <c r="F57" s="13">
        <f>SUMIF(Daily_Sales!$C:$C,B57,Daily_Sales!$E:$E)</f>
        <v/>
      </c>
      <c r="G57" s="11">
        <f>IF(B57="",0,E57*C57/100)</f>
        <v/>
      </c>
      <c r="H57" s="9">
        <f>IF(F57&gt;0,Masters!$X$3,0)</f>
        <v/>
      </c>
      <c r="I57" s="9">
        <f>F57*Masters!$X$4</f>
        <v/>
      </c>
      <c r="J57" s="11">
        <f>SUMIFS(Cash_Book!$G:$G,Cash_Book!$C:$C,"BEPAARI",Cash_Book!$D:$D,"MOTOR",Cash_Book!$E:$E,B57)+SUMIFS(Cash_Book!$H:$H,Cash_Book!$C:$C,"BEPAARI",Cash_Book!$D:$D,"MOTOR",Cash_Book!$E:$E,B57)</f>
        <v/>
      </c>
      <c r="K57" s="11">
        <f>SUMIFS(Cash_Book!$G:$G,Cash_Book!$C:$C,"BEPAARI",Cash_Book!$D:$D,"BHUSSA",Cash_Book!$E:$E,B57)+SUMIFS(Cash_Book!$H:$H,Cash_Book!$C:$C,"BEPAARI",Cash_Book!$D:$D,"BHUSSA",Cash_Book!$E:$E,B57)</f>
        <v/>
      </c>
      <c r="L57" s="11">
        <f>SUMIFS(Cash_Book!$G:$G,Cash_Book!$C:$C,"BEPAARI",Cash_Book!$D:$D,"GAWALI",Cash_Book!$E:$E,B57)+SUMIFS(Cash_Book!$H:$H,Cash_Book!$C:$C,"BEPAARI",Cash_Book!$D:$D,"GAWALI",Cash_Book!$E:$E,B57)</f>
        <v/>
      </c>
      <c r="M57" s="11">
        <f>SUMIFS(Cash_Book!$G:$G,Cash_Book!$C:$C,"BEPAARI",Cash_Book!$D:$D,"CASH_ADV",Cash_Book!$E:$E,B57)+SUMIFS(Cash_Book!$H:$H,Cash_Book!$C:$C,"BEPAARI",Cash_Book!$D:$D,"CASH_ADV",Cash_Book!$E:$E,B57)</f>
        <v/>
      </c>
      <c r="N57" s="11">
        <f>SUMIFS(Cash_Book!$G:$G,Cash_Book!$C:$C,"BEPAARI",Cash_Book!$D:$D,"OTHER",Cash_Book!$E:$E,B57)+SUMIFS(Cash_Book!$H:$H,Cash_Book!$C:$C,"BEPAARI",Cash_Book!$D:$D,"OTHER",Cash_Book!$E:$E,B57)</f>
        <v/>
      </c>
      <c r="O57" s="9">
        <f>SUM(G57:N57)</f>
        <v/>
      </c>
      <c r="P57" s="9">
        <f>IF(B57="","",E57-O57+D57)</f>
        <v/>
      </c>
      <c r="Q57" s="11">
        <f>SUMIFS(Cash_Book!$G:$G,Cash_Book!$C:$C,"BEPAARI",Cash_Book!$D:$D,"PAYMENT",Cash_Book!$E:$E,B57)+SUMIFS(Cash_Book!$H:$H,Cash_Book!$C:$C,"BEPAARI",Cash_Book!$D:$D,"PAYMENT",Cash_Book!$E:$E,B57)</f>
        <v/>
      </c>
      <c r="R57" s="14">
        <f>IF(B57="","",P57-Q57)</f>
        <v/>
      </c>
    </row>
    <row r="58">
      <c r="A58" t="n">
        <v>54</v>
      </c>
      <c r="B58">
        <f>IF(Masters!$B$56="","",Masters!$B$56)</f>
        <v/>
      </c>
      <c r="C58">
        <f>IF(B58="","",Masters!$C$56)</f>
        <v/>
      </c>
      <c r="D58" s="11">
        <f>IF(B58="",0,Masters!$D$56)</f>
        <v/>
      </c>
      <c r="E58" s="11">
        <f>SUMIF(Daily_Sales!$C:$C,B58,Daily_Sales!$G:$G)</f>
        <v/>
      </c>
      <c r="F58" s="13">
        <f>SUMIF(Daily_Sales!$C:$C,B58,Daily_Sales!$E:$E)</f>
        <v/>
      </c>
      <c r="G58" s="11">
        <f>IF(B58="",0,E58*C58/100)</f>
        <v/>
      </c>
      <c r="H58" s="9">
        <f>IF(F58&gt;0,Masters!$X$3,0)</f>
        <v/>
      </c>
      <c r="I58" s="9">
        <f>F58*Masters!$X$4</f>
        <v/>
      </c>
      <c r="J58" s="11">
        <f>SUMIFS(Cash_Book!$G:$G,Cash_Book!$C:$C,"BEPAARI",Cash_Book!$D:$D,"MOTOR",Cash_Book!$E:$E,B58)+SUMIFS(Cash_Book!$H:$H,Cash_Book!$C:$C,"BEPAARI",Cash_Book!$D:$D,"MOTOR",Cash_Book!$E:$E,B58)</f>
        <v/>
      </c>
      <c r="K58" s="11">
        <f>SUMIFS(Cash_Book!$G:$G,Cash_Book!$C:$C,"BEPAARI",Cash_Book!$D:$D,"BHUSSA",Cash_Book!$E:$E,B58)+SUMIFS(Cash_Book!$H:$H,Cash_Book!$C:$C,"BEPAARI",Cash_Book!$D:$D,"BHUSSA",Cash_Book!$E:$E,B58)</f>
        <v/>
      </c>
      <c r="L58" s="11">
        <f>SUMIFS(Cash_Book!$G:$G,Cash_Book!$C:$C,"BEPAARI",Cash_Book!$D:$D,"GAWALI",Cash_Book!$E:$E,B58)+SUMIFS(Cash_Book!$H:$H,Cash_Book!$C:$C,"BEPAARI",Cash_Book!$D:$D,"GAWALI",Cash_Book!$E:$E,B58)</f>
        <v/>
      </c>
      <c r="M58" s="11">
        <f>SUMIFS(Cash_Book!$G:$G,Cash_Book!$C:$C,"BEPAARI",Cash_Book!$D:$D,"CASH_ADV",Cash_Book!$E:$E,B58)+SUMIFS(Cash_Book!$H:$H,Cash_Book!$C:$C,"BEPAARI",Cash_Book!$D:$D,"CASH_ADV",Cash_Book!$E:$E,B58)</f>
        <v/>
      </c>
      <c r="N58" s="11">
        <f>SUMIFS(Cash_Book!$G:$G,Cash_Book!$C:$C,"BEPAARI",Cash_Book!$D:$D,"OTHER",Cash_Book!$E:$E,B58)+SUMIFS(Cash_Book!$H:$H,Cash_Book!$C:$C,"BEPAARI",Cash_Book!$D:$D,"OTHER",Cash_Book!$E:$E,B58)</f>
        <v/>
      </c>
      <c r="O58" s="9">
        <f>SUM(G58:N58)</f>
        <v/>
      </c>
      <c r="P58" s="9">
        <f>IF(B58="","",E58-O58+D58)</f>
        <v/>
      </c>
      <c r="Q58" s="11">
        <f>SUMIFS(Cash_Book!$G:$G,Cash_Book!$C:$C,"BEPAARI",Cash_Book!$D:$D,"PAYMENT",Cash_Book!$E:$E,B58)+SUMIFS(Cash_Book!$H:$H,Cash_Book!$C:$C,"BEPAARI",Cash_Book!$D:$D,"PAYMENT",Cash_Book!$E:$E,B58)</f>
        <v/>
      </c>
      <c r="R58" s="14">
        <f>IF(B58="","",P58-Q58)</f>
        <v/>
      </c>
    </row>
    <row r="59">
      <c r="A59" t="n">
        <v>55</v>
      </c>
      <c r="B59">
        <f>IF(Masters!$B$57="","",Masters!$B$57)</f>
        <v/>
      </c>
      <c r="C59">
        <f>IF(B59="","",Masters!$C$57)</f>
        <v/>
      </c>
      <c r="D59" s="11">
        <f>IF(B59="",0,Masters!$D$57)</f>
        <v/>
      </c>
      <c r="E59" s="11">
        <f>SUMIF(Daily_Sales!$C:$C,B59,Daily_Sales!$G:$G)</f>
        <v/>
      </c>
      <c r="F59" s="13">
        <f>SUMIF(Daily_Sales!$C:$C,B59,Daily_Sales!$E:$E)</f>
        <v/>
      </c>
      <c r="G59" s="11">
        <f>IF(B59="",0,E59*C59/100)</f>
        <v/>
      </c>
      <c r="H59" s="9">
        <f>IF(F59&gt;0,Masters!$X$3,0)</f>
        <v/>
      </c>
      <c r="I59" s="9">
        <f>F59*Masters!$X$4</f>
        <v/>
      </c>
      <c r="J59" s="11">
        <f>SUMIFS(Cash_Book!$G:$G,Cash_Book!$C:$C,"BEPAARI",Cash_Book!$D:$D,"MOTOR",Cash_Book!$E:$E,B59)+SUMIFS(Cash_Book!$H:$H,Cash_Book!$C:$C,"BEPAARI",Cash_Book!$D:$D,"MOTOR",Cash_Book!$E:$E,B59)</f>
        <v/>
      </c>
      <c r="K59" s="11">
        <f>SUMIFS(Cash_Book!$G:$G,Cash_Book!$C:$C,"BEPAARI",Cash_Book!$D:$D,"BHUSSA",Cash_Book!$E:$E,B59)+SUMIFS(Cash_Book!$H:$H,Cash_Book!$C:$C,"BEPAARI",Cash_Book!$D:$D,"BHUSSA",Cash_Book!$E:$E,B59)</f>
        <v/>
      </c>
      <c r="L59" s="11">
        <f>SUMIFS(Cash_Book!$G:$G,Cash_Book!$C:$C,"BEPAARI",Cash_Book!$D:$D,"GAWALI",Cash_Book!$E:$E,B59)+SUMIFS(Cash_Book!$H:$H,Cash_Book!$C:$C,"BEPAARI",Cash_Book!$D:$D,"GAWALI",Cash_Book!$E:$E,B59)</f>
        <v/>
      </c>
      <c r="M59" s="11">
        <f>SUMIFS(Cash_Book!$G:$G,Cash_Book!$C:$C,"BEPAARI",Cash_Book!$D:$D,"CASH_ADV",Cash_Book!$E:$E,B59)+SUMIFS(Cash_Book!$H:$H,Cash_Book!$C:$C,"BEPAARI",Cash_Book!$D:$D,"CASH_ADV",Cash_Book!$E:$E,B59)</f>
        <v/>
      </c>
      <c r="N59" s="11">
        <f>SUMIFS(Cash_Book!$G:$G,Cash_Book!$C:$C,"BEPAARI",Cash_Book!$D:$D,"OTHER",Cash_Book!$E:$E,B59)+SUMIFS(Cash_Book!$H:$H,Cash_Book!$C:$C,"BEPAARI",Cash_Book!$D:$D,"OTHER",Cash_Book!$E:$E,B59)</f>
        <v/>
      </c>
      <c r="O59" s="9">
        <f>SUM(G59:N59)</f>
        <v/>
      </c>
      <c r="P59" s="9">
        <f>IF(B59="","",E59-O59+D59)</f>
        <v/>
      </c>
      <c r="Q59" s="11">
        <f>SUMIFS(Cash_Book!$G:$G,Cash_Book!$C:$C,"BEPAARI",Cash_Book!$D:$D,"PAYMENT",Cash_Book!$E:$E,B59)+SUMIFS(Cash_Book!$H:$H,Cash_Book!$C:$C,"BEPAARI",Cash_Book!$D:$D,"PAYMENT",Cash_Book!$E:$E,B59)</f>
        <v/>
      </c>
      <c r="R59" s="14">
        <f>IF(B59="","",P59-Q59)</f>
        <v/>
      </c>
    </row>
    <row r="60">
      <c r="A60" t="n">
        <v>56</v>
      </c>
      <c r="B60">
        <f>IF(Masters!$B$58="","",Masters!$B$58)</f>
        <v/>
      </c>
      <c r="C60">
        <f>IF(B60="","",Masters!$C$58)</f>
        <v/>
      </c>
      <c r="D60" s="11">
        <f>IF(B60="",0,Masters!$D$58)</f>
        <v/>
      </c>
      <c r="E60" s="11">
        <f>SUMIF(Daily_Sales!$C:$C,B60,Daily_Sales!$G:$G)</f>
        <v/>
      </c>
      <c r="F60" s="13">
        <f>SUMIF(Daily_Sales!$C:$C,B60,Daily_Sales!$E:$E)</f>
        <v/>
      </c>
      <c r="G60" s="11">
        <f>IF(B60="",0,E60*C60/100)</f>
        <v/>
      </c>
      <c r="H60" s="9">
        <f>IF(F60&gt;0,Masters!$X$3,0)</f>
        <v/>
      </c>
      <c r="I60" s="9">
        <f>F60*Masters!$X$4</f>
        <v/>
      </c>
      <c r="J60" s="11">
        <f>SUMIFS(Cash_Book!$G:$G,Cash_Book!$C:$C,"BEPAARI",Cash_Book!$D:$D,"MOTOR",Cash_Book!$E:$E,B60)+SUMIFS(Cash_Book!$H:$H,Cash_Book!$C:$C,"BEPAARI",Cash_Book!$D:$D,"MOTOR",Cash_Book!$E:$E,B60)</f>
        <v/>
      </c>
      <c r="K60" s="11">
        <f>SUMIFS(Cash_Book!$G:$G,Cash_Book!$C:$C,"BEPAARI",Cash_Book!$D:$D,"BHUSSA",Cash_Book!$E:$E,B60)+SUMIFS(Cash_Book!$H:$H,Cash_Book!$C:$C,"BEPAARI",Cash_Book!$D:$D,"BHUSSA",Cash_Book!$E:$E,B60)</f>
        <v/>
      </c>
      <c r="L60" s="11">
        <f>SUMIFS(Cash_Book!$G:$G,Cash_Book!$C:$C,"BEPAARI",Cash_Book!$D:$D,"GAWALI",Cash_Book!$E:$E,B60)+SUMIFS(Cash_Book!$H:$H,Cash_Book!$C:$C,"BEPAARI",Cash_Book!$D:$D,"GAWALI",Cash_Book!$E:$E,B60)</f>
        <v/>
      </c>
      <c r="M60" s="11">
        <f>SUMIFS(Cash_Book!$G:$G,Cash_Book!$C:$C,"BEPAARI",Cash_Book!$D:$D,"CASH_ADV",Cash_Book!$E:$E,B60)+SUMIFS(Cash_Book!$H:$H,Cash_Book!$C:$C,"BEPAARI",Cash_Book!$D:$D,"CASH_ADV",Cash_Book!$E:$E,B60)</f>
        <v/>
      </c>
      <c r="N60" s="11">
        <f>SUMIFS(Cash_Book!$G:$G,Cash_Book!$C:$C,"BEPAARI",Cash_Book!$D:$D,"OTHER",Cash_Book!$E:$E,B60)+SUMIFS(Cash_Book!$H:$H,Cash_Book!$C:$C,"BEPAARI",Cash_Book!$D:$D,"OTHER",Cash_Book!$E:$E,B60)</f>
        <v/>
      </c>
      <c r="O60" s="9">
        <f>SUM(G60:N60)</f>
        <v/>
      </c>
      <c r="P60" s="9">
        <f>IF(B60="","",E60-O60+D60)</f>
        <v/>
      </c>
      <c r="Q60" s="11">
        <f>SUMIFS(Cash_Book!$G:$G,Cash_Book!$C:$C,"BEPAARI",Cash_Book!$D:$D,"PAYMENT",Cash_Book!$E:$E,B60)+SUMIFS(Cash_Book!$H:$H,Cash_Book!$C:$C,"BEPAARI",Cash_Book!$D:$D,"PAYMENT",Cash_Book!$E:$E,B60)</f>
        <v/>
      </c>
      <c r="R60" s="14">
        <f>IF(B60="","",P60-Q60)</f>
        <v/>
      </c>
    </row>
    <row r="61">
      <c r="A61" t="n">
        <v>57</v>
      </c>
      <c r="B61">
        <f>IF(Masters!$B$59="","",Masters!$B$59)</f>
        <v/>
      </c>
      <c r="C61">
        <f>IF(B61="","",Masters!$C$59)</f>
        <v/>
      </c>
      <c r="D61" s="11">
        <f>IF(B61="",0,Masters!$D$59)</f>
        <v/>
      </c>
      <c r="E61" s="11">
        <f>SUMIF(Daily_Sales!$C:$C,B61,Daily_Sales!$G:$G)</f>
        <v/>
      </c>
      <c r="F61" s="13">
        <f>SUMIF(Daily_Sales!$C:$C,B61,Daily_Sales!$E:$E)</f>
        <v/>
      </c>
      <c r="G61" s="11">
        <f>IF(B61="",0,E61*C61/100)</f>
        <v/>
      </c>
      <c r="H61" s="9">
        <f>IF(F61&gt;0,Masters!$X$3,0)</f>
        <v/>
      </c>
      <c r="I61" s="9">
        <f>F61*Masters!$X$4</f>
        <v/>
      </c>
      <c r="J61" s="11">
        <f>SUMIFS(Cash_Book!$G:$G,Cash_Book!$C:$C,"BEPAARI",Cash_Book!$D:$D,"MOTOR",Cash_Book!$E:$E,B61)+SUMIFS(Cash_Book!$H:$H,Cash_Book!$C:$C,"BEPAARI",Cash_Book!$D:$D,"MOTOR",Cash_Book!$E:$E,B61)</f>
        <v/>
      </c>
      <c r="K61" s="11">
        <f>SUMIFS(Cash_Book!$G:$G,Cash_Book!$C:$C,"BEPAARI",Cash_Book!$D:$D,"BHUSSA",Cash_Book!$E:$E,B61)+SUMIFS(Cash_Book!$H:$H,Cash_Book!$C:$C,"BEPAARI",Cash_Book!$D:$D,"BHUSSA",Cash_Book!$E:$E,B61)</f>
        <v/>
      </c>
      <c r="L61" s="11">
        <f>SUMIFS(Cash_Book!$G:$G,Cash_Book!$C:$C,"BEPAARI",Cash_Book!$D:$D,"GAWALI",Cash_Book!$E:$E,B61)+SUMIFS(Cash_Book!$H:$H,Cash_Book!$C:$C,"BEPAARI",Cash_Book!$D:$D,"GAWALI",Cash_Book!$E:$E,B61)</f>
        <v/>
      </c>
      <c r="M61" s="11">
        <f>SUMIFS(Cash_Book!$G:$G,Cash_Book!$C:$C,"BEPAARI",Cash_Book!$D:$D,"CASH_ADV",Cash_Book!$E:$E,B61)+SUMIFS(Cash_Book!$H:$H,Cash_Book!$C:$C,"BEPAARI",Cash_Book!$D:$D,"CASH_ADV",Cash_Book!$E:$E,B61)</f>
        <v/>
      </c>
      <c r="N61" s="11">
        <f>SUMIFS(Cash_Book!$G:$G,Cash_Book!$C:$C,"BEPAARI",Cash_Book!$D:$D,"OTHER",Cash_Book!$E:$E,B61)+SUMIFS(Cash_Book!$H:$H,Cash_Book!$C:$C,"BEPAARI",Cash_Book!$D:$D,"OTHER",Cash_Book!$E:$E,B61)</f>
        <v/>
      </c>
      <c r="O61" s="9">
        <f>SUM(G61:N61)</f>
        <v/>
      </c>
      <c r="P61" s="9">
        <f>IF(B61="","",E61-O61+D61)</f>
        <v/>
      </c>
      <c r="Q61" s="11">
        <f>SUMIFS(Cash_Book!$G:$G,Cash_Book!$C:$C,"BEPAARI",Cash_Book!$D:$D,"PAYMENT",Cash_Book!$E:$E,B61)+SUMIFS(Cash_Book!$H:$H,Cash_Book!$C:$C,"BEPAARI",Cash_Book!$D:$D,"PAYMENT",Cash_Book!$E:$E,B61)</f>
        <v/>
      </c>
      <c r="R61" s="14">
        <f>IF(B61="","",P61-Q61)</f>
        <v/>
      </c>
    </row>
    <row r="62">
      <c r="A62" t="n">
        <v>58</v>
      </c>
      <c r="B62">
        <f>IF(Masters!$B$60="","",Masters!$B$60)</f>
        <v/>
      </c>
      <c r="C62">
        <f>IF(B62="","",Masters!$C$60)</f>
        <v/>
      </c>
      <c r="D62" s="11">
        <f>IF(B62="",0,Masters!$D$60)</f>
        <v/>
      </c>
      <c r="E62" s="11">
        <f>SUMIF(Daily_Sales!$C:$C,B62,Daily_Sales!$G:$G)</f>
        <v/>
      </c>
      <c r="F62" s="13">
        <f>SUMIF(Daily_Sales!$C:$C,B62,Daily_Sales!$E:$E)</f>
        <v/>
      </c>
      <c r="G62" s="11">
        <f>IF(B62="",0,E62*C62/100)</f>
        <v/>
      </c>
      <c r="H62" s="9">
        <f>IF(F62&gt;0,Masters!$X$3,0)</f>
        <v/>
      </c>
      <c r="I62" s="9">
        <f>F62*Masters!$X$4</f>
        <v/>
      </c>
      <c r="J62" s="11">
        <f>SUMIFS(Cash_Book!$G:$G,Cash_Book!$C:$C,"BEPAARI",Cash_Book!$D:$D,"MOTOR",Cash_Book!$E:$E,B62)+SUMIFS(Cash_Book!$H:$H,Cash_Book!$C:$C,"BEPAARI",Cash_Book!$D:$D,"MOTOR",Cash_Book!$E:$E,B62)</f>
        <v/>
      </c>
      <c r="K62" s="11">
        <f>SUMIFS(Cash_Book!$G:$G,Cash_Book!$C:$C,"BEPAARI",Cash_Book!$D:$D,"BHUSSA",Cash_Book!$E:$E,B62)+SUMIFS(Cash_Book!$H:$H,Cash_Book!$C:$C,"BEPAARI",Cash_Book!$D:$D,"BHUSSA",Cash_Book!$E:$E,B62)</f>
        <v/>
      </c>
      <c r="L62" s="11">
        <f>SUMIFS(Cash_Book!$G:$G,Cash_Book!$C:$C,"BEPAARI",Cash_Book!$D:$D,"GAWALI",Cash_Book!$E:$E,B62)+SUMIFS(Cash_Book!$H:$H,Cash_Book!$C:$C,"BEPAARI",Cash_Book!$D:$D,"GAWALI",Cash_Book!$E:$E,B62)</f>
        <v/>
      </c>
      <c r="M62" s="11">
        <f>SUMIFS(Cash_Book!$G:$G,Cash_Book!$C:$C,"BEPAARI",Cash_Book!$D:$D,"CASH_ADV",Cash_Book!$E:$E,B62)+SUMIFS(Cash_Book!$H:$H,Cash_Book!$C:$C,"BEPAARI",Cash_Book!$D:$D,"CASH_ADV",Cash_Book!$E:$E,B62)</f>
        <v/>
      </c>
      <c r="N62" s="11">
        <f>SUMIFS(Cash_Book!$G:$G,Cash_Book!$C:$C,"BEPAARI",Cash_Book!$D:$D,"OTHER",Cash_Book!$E:$E,B62)+SUMIFS(Cash_Book!$H:$H,Cash_Book!$C:$C,"BEPAARI",Cash_Book!$D:$D,"OTHER",Cash_Book!$E:$E,B62)</f>
        <v/>
      </c>
      <c r="O62" s="9">
        <f>SUM(G62:N62)</f>
        <v/>
      </c>
      <c r="P62" s="9">
        <f>IF(B62="","",E62-O62+D62)</f>
        <v/>
      </c>
      <c r="Q62" s="11">
        <f>SUMIFS(Cash_Book!$G:$G,Cash_Book!$C:$C,"BEPAARI",Cash_Book!$D:$D,"PAYMENT",Cash_Book!$E:$E,B62)+SUMIFS(Cash_Book!$H:$H,Cash_Book!$C:$C,"BEPAARI",Cash_Book!$D:$D,"PAYMENT",Cash_Book!$E:$E,B62)</f>
        <v/>
      </c>
      <c r="R62" s="14">
        <f>IF(B62="","",P62-Q62)</f>
        <v/>
      </c>
    </row>
    <row r="63">
      <c r="A63" t="n">
        <v>59</v>
      </c>
      <c r="B63">
        <f>IF(Masters!$B$61="","",Masters!$B$61)</f>
        <v/>
      </c>
      <c r="C63">
        <f>IF(B63="","",Masters!$C$61)</f>
        <v/>
      </c>
      <c r="D63" s="11">
        <f>IF(B63="",0,Masters!$D$61)</f>
        <v/>
      </c>
      <c r="E63" s="11">
        <f>SUMIF(Daily_Sales!$C:$C,B63,Daily_Sales!$G:$G)</f>
        <v/>
      </c>
      <c r="F63" s="13">
        <f>SUMIF(Daily_Sales!$C:$C,B63,Daily_Sales!$E:$E)</f>
        <v/>
      </c>
      <c r="G63" s="11">
        <f>IF(B63="",0,E63*C63/100)</f>
        <v/>
      </c>
      <c r="H63" s="9">
        <f>IF(F63&gt;0,Masters!$X$3,0)</f>
        <v/>
      </c>
      <c r="I63" s="9">
        <f>F63*Masters!$X$4</f>
        <v/>
      </c>
      <c r="J63" s="11">
        <f>SUMIFS(Cash_Book!$G:$G,Cash_Book!$C:$C,"BEPAARI",Cash_Book!$D:$D,"MOTOR",Cash_Book!$E:$E,B63)+SUMIFS(Cash_Book!$H:$H,Cash_Book!$C:$C,"BEPAARI",Cash_Book!$D:$D,"MOTOR",Cash_Book!$E:$E,B63)</f>
        <v/>
      </c>
      <c r="K63" s="11">
        <f>SUMIFS(Cash_Book!$G:$G,Cash_Book!$C:$C,"BEPAARI",Cash_Book!$D:$D,"BHUSSA",Cash_Book!$E:$E,B63)+SUMIFS(Cash_Book!$H:$H,Cash_Book!$C:$C,"BEPAARI",Cash_Book!$D:$D,"BHUSSA",Cash_Book!$E:$E,B63)</f>
        <v/>
      </c>
      <c r="L63" s="11">
        <f>SUMIFS(Cash_Book!$G:$G,Cash_Book!$C:$C,"BEPAARI",Cash_Book!$D:$D,"GAWALI",Cash_Book!$E:$E,B63)+SUMIFS(Cash_Book!$H:$H,Cash_Book!$C:$C,"BEPAARI",Cash_Book!$D:$D,"GAWALI",Cash_Book!$E:$E,B63)</f>
        <v/>
      </c>
      <c r="M63" s="11">
        <f>SUMIFS(Cash_Book!$G:$G,Cash_Book!$C:$C,"BEPAARI",Cash_Book!$D:$D,"CASH_ADV",Cash_Book!$E:$E,B63)+SUMIFS(Cash_Book!$H:$H,Cash_Book!$C:$C,"BEPAARI",Cash_Book!$D:$D,"CASH_ADV",Cash_Book!$E:$E,B63)</f>
        <v/>
      </c>
      <c r="N63" s="11">
        <f>SUMIFS(Cash_Book!$G:$G,Cash_Book!$C:$C,"BEPAARI",Cash_Book!$D:$D,"OTHER",Cash_Book!$E:$E,B63)+SUMIFS(Cash_Book!$H:$H,Cash_Book!$C:$C,"BEPAARI",Cash_Book!$D:$D,"OTHER",Cash_Book!$E:$E,B63)</f>
        <v/>
      </c>
      <c r="O63" s="9">
        <f>SUM(G63:N63)</f>
        <v/>
      </c>
      <c r="P63" s="9">
        <f>IF(B63="","",E63-O63+D63)</f>
        <v/>
      </c>
      <c r="Q63" s="11">
        <f>SUMIFS(Cash_Book!$G:$G,Cash_Book!$C:$C,"BEPAARI",Cash_Book!$D:$D,"PAYMENT",Cash_Book!$E:$E,B63)+SUMIFS(Cash_Book!$H:$H,Cash_Book!$C:$C,"BEPAARI",Cash_Book!$D:$D,"PAYMENT",Cash_Book!$E:$E,B63)</f>
        <v/>
      </c>
      <c r="R63" s="14">
        <f>IF(B63="","",P63-Q63)</f>
        <v/>
      </c>
    </row>
    <row r="64">
      <c r="A64" t="n">
        <v>60</v>
      </c>
      <c r="B64">
        <f>IF(Masters!$B$62="","",Masters!$B$62)</f>
        <v/>
      </c>
      <c r="C64">
        <f>IF(B64="","",Masters!$C$62)</f>
        <v/>
      </c>
      <c r="D64" s="11">
        <f>IF(B64="",0,Masters!$D$62)</f>
        <v/>
      </c>
      <c r="E64" s="11">
        <f>SUMIF(Daily_Sales!$C:$C,B64,Daily_Sales!$G:$G)</f>
        <v/>
      </c>
      <c r="F64" s="13">
        <f>SUMIF(Daily_Sales!$C:$C,B64,Daily_Sales!$E:$E)</f>
        <v/>
      </c>
      <c r="G64" s="11">
        <f>IF(B64="",0,E64*C64/100)</f>
        <v/>
      </c>
      <c r="H64" s="9">
        <f>IF(F64&gt;0,Masters!$X$3,0)</f>
        <v/>
      </c>
      <c r="I64" s="9">
        <f>F64*Masters!$X$4</f>
        <v/>
      </c>
      <c r="J64" s="11">
        <f>SUMIFS(Cash_Book!$G:$G,Cash_Book!$C:$C,"BEPAARI",Cash_Book!$D:$D,"MOTOR",Cash_Book!$E:$E,B64)+SUMIFS(Cash_Book!$H:$H,Cash_Book!$C:$C,"BEPAARI",Cash_Book!$D:$D,"MOTOR",Cash_Book!$E:$E,B64)</f>
        <v/>
      </c>
      <c r="K64" s="11">
        <f>SUMIFS(Cash_Book!$G:$G,Cash_Book!$C:$C,"BEPAARI",Cash_Book!$D:$D,"BHUSSA",Cash_Book!$E:$E,B64)+SUMIFS(Cash_Book!$H:$H,Cash_Book!$C:$C,"BEPAARI",Cash_Book!$D:$D,"BHUSSA",Cash_Book!$E:$E,B64)</f>
        <v/>
      </c>
      <c r="L64" s="11">
        <f>SUMIFS(Cash_Book!$G:$G,Cash_Book!$C:$C,"BEPAARI",Cash_Book!$D:$D,"GAWALI",Cash_Book!$E:$E,B64)+SUMIFS(Cash_Book!$H:$H,Cash_Book!$C:$C,"BEPAARI",Cash_Book!$D:$D,"GAWALI",Cash_Book!$E:$E,B64)</f>
        <v/>
      </c>
      <c r="M64" s="11">
        <f>SUMIFS(Cash_Book!$G:$G,Cash_Book!$C:$C,"BEPAARI",Cash_Book!$D:$D,"CASH_ADV",Cash_Book!$E:$E,B64)+SUMIFS(Cash_Book!$H:$H,Cash_Book!$C:$C,"BEPAARI",Cash_Book!$D:$D,"CASH_ADV",Cash_Book!$E:$E,B64)</f>
        <v/>
      </c>
      <c r="N64" s="11">
        <f>SUMIFS(Cash_Book!$G:$G,Cash_Book!$C:$C,"BEPAARI",Cash_Book!$D:$D,"OTHER",Cash_Book!$E:$E,B64)+SUMIFS(Cash_Book!$H:$H,Cash_Book!$C:$C,"BEPAARI",Cash_Book!$D:$D,"OTHER",Cash_Book!$E:$E,B64)</f>
        <v/>
      </c>
      <c r="O64" s="9">
        <f>SUM(G64:N64)</f>
        <v/>
      </c>
      <c r="P64" s="9">
        <f>IF(B64="","",E64-O64+D64)</f>
        <v/>
      </c>
      <c r="Q64" s="11">
        <f>SUMIFS(Cash_Book!$G:$G,Cash_Book!$C:$C,"BEPAARI",Cash_Book!$D:$D,"PAYMENT",Cash_Book!$E:$E,B64)+SUMIFS(Cash_Book!$H:$H,Cash_Book!$C:$C,"BEPAARI",Cash_Book!$D:$D,"PAYMENT",Cash_Book!$E:$E,B64)</f>
        <v/>
      </c>
      <c r="R64" s="14">
        <f>IF(B64="","",P64-Q64)</f>
        <v/>
      </c>
    </row>
    <row r="65">
      <c r="A65" t="n">
        <v>61</v>
      </c>
      <c r="B65">
        <f>IF(Masters!$B$63="","",Masters!$B$63)</f>
        <v/>
      </c>
      <c r="C65">
        <f>IF(B65="","",Masters!$C$63)</f>
        <v/>
      </c>
      <c r="D65" s="11">
        <f>IF(B65="",0,Masters!$D$63)</f>
        <v/>
      </c>
      <c r="E65" s="11">
        <f>SUMIF(Daily_Sales!$C:$C,B65,Daily_Sales!$G:$G)</f>
        <v/>
      </c>
      <c r="F65" s="13">
        <f>SUMIF(Daily_Sales!$C:$C,B65,Daily_Sales!$E:$E)</f>
        <v/>
      </c>
      <c r="G65" s="11">
        <f>IF(B65="",0,E65*C65/100)</f>
        <v/>
      </c>
      <c r="H65" s="9">
        <f>IF(F65&gt;0,Masters!$X$3,0)</f>
        <v/>
      </c>
      <c r="I65" s="9">
        <f>F65*Masters!$X$4</f>
        <v/>
      </c>
      <c r="J65" s="11">
        <f>SUMIFS(Cash_Book!$G:$G,Cash_Book!$C:$C,"BEPAARI",Cash_Book!$D:$D,"MOTOR",Cash_Book!$E:$E,B65)+SUMIFS(Cash_Book!$H:$H,Cash_Book!$C:$C,"BEPAARI",Cash_Book!$D:$D,"MOTOR",Cash_Book!$E:$E,B65)</f>
        <v/>
      </c>
      <c r="K65" s="11">
        <f>SUMIFS(Cash_Book!$G:$G,Cash_Book!$C:$C,"BEPAARI",Cash_Book!$D:$D,"BHUSSA",Cash_Book!$E:$E,B65)+SUMIFS(Cash_Book!$H:$H,Cash_Book!$C:$C,"BEPAARI",Cash_Book!$D:$D,"BHUSSA",Cash_Book!$E:$E,B65)</f>
        <v/>
      </c>
      <c r="L65" s="11">
        <f>SUMIFS(Cash_Book!$G:$G,Cash_Book!$C:$C,"BEPAARI",Cash_Book!$D:$D,"GAWALI",Cash_Book!$E:$E,B65)+SUMIFS(Cash_Book!$H:$H,Cash_Book!$C:$C,"BEPAARI",Cash_Book!$D:$D,"GAWALI",Cash_Book!$E:$E,B65)</f>
        <v/>
      </c>
      <c r="M65" s="11">
        <f>SUMIFS(Cash_Book!$G:$G,Cash_Book!$C:$C,"BEPAARI",Cash_Book!$D:$D,"CASH_ADV",Cash_Book!$E:$E,B65)+SUMIFS(Cash_Book!$H:$H,Cash_Book!$C:$C,"BEPAARI",Cash_Book!$D:$D,"CASH_ADV",Cash_Book!$E:$E,B65)</f>
        <v/>
      </c>
      <c r="N65" s="11">
        <f>SUMIFS(Cash_Book!$G:$G,Cash_Book!$C:$C,"BEPAARI",Cash_Book!$D:$D,"OTHER",Cash_Book!$E:$E,B65)+SUMIFS(Cash_Book!$H:$H,Cash_Book!$C:$C,"BEPAARI",Cash_Book!$D:$D,"OTHER",Cash_Book!$E:$E,B65)</f>
        <v/>
      </c>
      <c r="O65" s="9">
        <f>SUM(G65:N65)</f>
        <v/>
      </c>
      <c r="P65" s="9">
        <f>IF(B65="","",E65-O65+D65)</f>
        <v/>
      </c>
      <c r="Q65" s="11">
        <f>SUMIFS(Cash_Book!$G:$G,Cash_Book!$C:$C,"BEPAARI",Cash_Book!$D:$D,"PAYMENT",Cash_Book!$E:$E,B65)+SUMIFS(Cash_Book!$H:$H,Cash_Book!$C:$C,"BEPAARI",Cash_Book!$D:$D,"PAYMENT",Cash_Book!$E:$E,B65)</f>
        <v/>
      </c>
      <c r="R65" s="14">
        <f>IF(B65="","",P65-Q65)</f>
        <v/>
      </c>
    </row>
    <row r="66">
      <c r="A66" t="n">
        <v>62</v>
      </c>
      <c r="B66">
        <f>IF(Masters!$B$64="","",Masters!$B$64)</f>
        <v/>
      </c>
      <c r="C66">
        <f>IF(B66="","",Masters!$C$64)</f>
        <v/>
      </c>
      <c r="D66" s="11">
        <f>IF(B66="",0,Masters!$D$64)</f>
        <v/>
      </c>
      <c r="E66" s="11">
        <f>SUMIF(Daily_Sales!$C:$C,B66,Daily_Sales!$G:$G)</f>
        <v/>
      </c>
      <c r="F66" s="13">
        <f>SUMIF(Daily_Sales!$C:$C,B66,Daily_Sales!$E:$E)</f>
        <v/>
      </c>
      <c r="G66" s="11">
        <f>IF(B66="",0,E66*C66/100)</f>
        <v/>
      </c>
      <c r="H66" s="9">
        <f>IF(F66&gt;0,Masters!$X$3,0)</f>
        <v/>
      </c>
      <c r="I66" s="9">
        <f>F66*Masters!$X$4</f>
        <v/>
      </c>
      <c r="J66" s="11">
        <f>SUMIFS(Cash_Book!$G:$G,Cash_Book!$C:$C,"BEPAARI",Cash_Book!$D:$D,"MOTOR",Cash_Book!$E:$E,B66)+SUMIFS(Cash_Book!$H:$H,Cash_Book!$C:$C,"BEPAARI",Cash_Book!$D:$D,"MOTOR",Cash_Book!$E:$E,B66)</f>
        <v/>
      </c>
      <c r="K66" s="11">
        <f>SUMIFS(Cash_Book!$G:$G,Cash_Book!$C:$C,"BEPAARI",Cash_Book!$D:$D,"BHUSSA",Cash_Book!$E:$E,B66)+SUMIFS(Cash_Book!$H:$H,Cash_Book!$C:$C,"BEPAARI",Cash_Book!$D:$D,"BHUSSA",Cash_Book!$E:$E,B66)</f>
        <v/>
      </c>
      <c r="L66" s="11">
        <f>SUMIFS(Cash_Book!$G:$G,Cash_Book!$C:$C,"BEPAARI",Cash_Book!$D:$D,"GAWALI",Cash_Book!$E:$E,B66)+SUMIFS(Cash_Book!$H:$H,Cash_Book!$C:$C,"BEPAARI",Cash_Book!$D:$D,"GAWALI",Cash_Book!$E:$E,B66)</f>
        <v/>
      </c>
      <c r="M66" s="11">
        <f>SUMIFS(Cash_Book!$G:$G,Cash_Book!$C:$C,"BEPAARI",Cash_Book!$D:$D,"CASH_ADV",Cash_Book!$E:$E,B66)+SUMIFS(Cash_Book!$H:$H,Cash_Book!$C:$C,"BEPAARI",Cash_Book!$D:$D,"CASH_ADV",Cash_Book!$E:$E,B66)</f>
        <v/>
      </c>
      <c r="N66" s="11">
        <f>SUMIFS(Cash_Book!$G:$G,Cash_Book!$C:$C,"BEPAARI",Cash_Book!$D:$D,"OTHER",Cash_Book!$E:$E,B66)+SUMIFS(Cash_Book!$H:$H,Cash_Book!$C:$C,"BEPAARI",Cash_Book!$D:$D,"OTHER",Cash_Book!$E:$E,B66)</f>
        <v/>
      </c>
      <c r="O66" s="9">
        <f>SUM(G66:N66)</f>
        <v/>
      </c>
      <c r="P66" s="9">
        <f>IF(B66="","",E66-O66+D66)</f>
        <v/>
      </c>
      <c r="Q66" s="11">
        <f>SUMIFS(Cash_Book!$G:$G,Cash_Book!$C:$C,"BEPAARI",Cash_Book!$D:$D,"PAYMENT",Cash_Book!$E:$E,B66)+SUMIFS(Cash_Book!$H:$H,Cash_Book!$C:$C,"BEPAARI",Cash_Book!$D:$D,"PAYMENT",Cash_Book!$E:$E,B66)</f>
        <v/>
      </c>
      <c r="R66" s="14">
        <f>IF(B66="","",P66-Q66)</f>
        <v/>
      </c>
    </row>
    <row r="67">
      <c r="A67" t="n">
        <v>63</v>
      </c>
      <c r="B67">
        <f>IF(Masters!$B$65="","",Masters!$B$65)</f>
        <v/>
      </c>
      <c r="C67">
        <f>IF(B67="","",Masters!$C$65)</f>
        <v/>
      </c>
      <c r="D67" s="11">
        <f>IF(B67="",0,Masters!$D$65)</f>
        <v/>
      </c>
      <c r="E67" s="11">
        <f>SUMIF(Daily_Sales!$C:$C,B67,Daily_Sales!$G:$G)</f>
        <v/>
      </c>
      <c r="F67" s="13">
        <f>SUMIF(Daily_Sales!$C:$C,B67,Daily_Sales!$E:$E)</f>
        <v/>
      </c>
      <c r="G67" s="11">
        <f>IF(B67="",0,E67*C67/100)</f>
        <v/>
      </c>
      <c r="H67" s="9">
        <f>IF(F67&gt;0,Masters!$X$3,0)</f>
        <v/>
      </c>
      <c r="I67" s="9">
        <f>F67*Masters!$X$4</f>
        <v/>
      </c>
      <c r="J67" s="11">
        <f>SUMIFS(Cash_Book!$G:$G,Cash_Book!$C:$C,"BEPAARI",Cash_Book!$D:$D,"MOTOR",Cash_Book!$E:$E,B67)+SUMIFS(Cash_Book!$H:$H,Cash_Book!$C:$C,"BEPAARI",Cash_Book!$D:$D,"MOTOR",Cash_Book!$E:$E,B67)</f>
        <v/>
      </c>
      <c r="K67" s="11">
        <f>SUMIFS(Cash_Book!$G:$G,Cash_Book!$C:$C,"BEPAARI",Cash_Book!$D:$D,"BHUSSA",Cash_Book!$E:$E,B67)+SUMIFS(Cash_Book!$H:$H,Cash_Book!$C:$C,"BEPAARI",Cash_Book!$D:$D,"BHUSSA",Cash_Book!$E:$E,B67)</f>
        <v/>
      </c>
      <c r="L67" s="11">
        <f>SUMIFS(Cash_Book!$G:$G,Cash_Book!$C:$C,"BEPAARI",Cash_Book!$D:$D,"GAWALI",Cash_Book!$E:$E,B67)+SUMIFS(Cash_Book!$H:$H,Cash_Book!$C:$C,"BEPAARI",Cash_Book!$D:$D,"GAWALI",Cash_Book!$E:$E,B67)</f>
        <v/>
      </c>
      <c r="M67" s="11">
        <f>SUMIFS(Cash_Book!$G:$G,Cash_Book!$C:$C,"BEPAARI",Cash_Book!$D:$D,"CASH_ADV",Cash_Book!$E:$E,B67)+SUMIFS(Cash_Book!$H:$H,Cash_Book!$C:$C,"BEPAARI",Cash_Book!$D:$D,"CASH_ADV",Cash_Book!$E:$E,B67)</f>
        <v/>
      </c>
      <c r="N67" s="11">
        <f>SUMIFS(Cash_Book!$G:$G,Cash_Book!$C:$C,"BEPAARI",Cash_Book!$D:$D,"OTHER",Cash_Book!$E:$E,B67)+SUMIFS(Cash_Book!$H:$H,Cash_Book!$C:$C,"BEPAARI",Cash_Book!$D:$D,"OTHER",Cash_Book!$E:$E,B67)</f>
        <v/>
      </c>
      <c r="O67" s="9">
        <f>SUM(G67:N67)</f>
        <v/>
      </c>
      <c r="P67" s="9">
        <f>IF(B67="","",E67-O67+D67)</f>
        <v/>
      </c>
      <c r="Q67" s="11">
        <f>SUMIFS(Cash_Book!$G:$G,Cash_Book!$C:$C,"BEPAARI",Cash_Book!$D:$D,"PAYMENT",Cash_Book!$E:$E,B67)+SUMIFS(Cash_Book!$H:$H,Cash_Book!$C:$C,"BEPAARI",Cash_Book!$D:$D,"PAYMENT",Cash_Book!$E:$E,B67)</f>
        <v/>
      </c>
      <c r="R67" s="14">
        <f>IF(B67="","",P67-Q67)</f>
        <v/>
      </c>
    </row>
    <row r="68">
      <c r="A68" t="n">
        <v>64</v>
      </c>
      <c r="B68">
        <f>IF(Masters!$B$66="","",Masters!$B$66)</f>
        <v/>
      </c>
      <c r="C68">
        <f>IF(B68="","",Masters!$C$66)</f>
        <v/>
      </c>
      <c r="D68" s="11">
        <f>IF(B68="",0,Masters!$D$66)</f>
        <v/>
      </c>
      <c r="E68" s="11">
        <f>SUMIF(Daily_Sales!$C:$C,B68,Daily_Sales!$G:$G)</f>
        <v/>
      </c>
      <c r="F68" s="13">
        <f>SUMIF(Daily_Sales!$C:$C,B68,Daily_Sales!$E:$E)</f>
        <v/>
      </c>
      <c r="G68" s="11">
        <f>IF(B68="",0,E68*C68/100)</f>
        <v/>
      </c>
      <c r="H68" s="9">
        <f>IF(F68&gt;0,Masters!$X$3,0)</f>
        <v/>
      </c>
      <c r="I68" s="9">
        <f>F68*Masters!$X$4</f>
        <v/>
      </c>
      <c r="J68" s="11">
        <f>SUMIFS(Cash_Book!$G:$G,Cash_Book!$C:$C,"BEPAARI",Cash_Book!$D:$D,"MOTOR",Cash_Book!$E:$E,B68)+SUMIFS(Cash_Book!$H:$H,Cash_Book!$C:$C,"BEPAARI",Cash_Book!$D:$D,"MOTOR",Cash_Book!$E:$E,B68)</f>
        <v/>
      </c>
      <c r="K68" s="11">
        <f>SUMIFS(Cash_Book!$G:$G,Cash_Book!$C:$C,"BEPAARI",Cash_Book!$D:$D,"BHUSSA",Cash_Book!$E:$E,B68)+SUMIFS(Cash_Book!$H:$H,Cash_Book!$C:$C,"BEPAARI",Cash_Book!$D:$D,"BHUSSA",Cash_Book!$E:$E,B68)</f>
        <v/>
      </c>
      <c r="L68" s="11">
        <f>SUMIFS(Cash_Book!$G:$G,Cash_Book!$C:$C,"BEPAARI",Cash_Book!$D:$D,"GAWALI",Cash_Book!$E:$E,B68)+SUMIFS(Cash_Book!$H:$H,Cash_Book!$C:$C,"BEPAARI",Cash_Book!$D:$D,"GAWALI",Cash_Book!$E:$E,B68)</f>
        <v/>
      </c>
      <c r="M68" s="11">
        <f>SUMIFS(Cash_Book!$G:$G,Cash_Book!$C:$C,"BEPAARI",Cash_Book!$D:$D,"CASH_ADV",Cash_Book!$E:$E,B68)+SUMIFS(Cash_Book!$H:$H,Cash_Book!$C:$C,"BEPAARI",Cash_Book!$D:$D,"CASH_ADV",Cash_Book!$E:$E,B68)</f>
        <v/>
      </c>
      <c r="N68" s="11">
        <f>SUMIFS(Cash_Book!$G:$G,Cash_Book!$C:$C,"BEPAARI",Cash_Book!$D:$D,"OTHER",Cash_Book!$E:$E,B68)+SUMIFS(Cash_Book!$H:$H,Cash_Book!$C:$C,"BEPAARI",Cash_Book!$D:$D,"OTHER",Cash_Book!$E:$E,B68)</f>
        <v/>
      </c>
      <c r="O68" s="9">
        <f>SUM(G68:N68)</f>
        <v/>
      </c>
      <c r="P68" s="9">
        <f>IF(B68="","",E68-O68+D68)</f>
        <v/>
      </c>
      <c r="Q68" s="11">
        <f>SUMIFS(Cash_Book!$G:$G,Cash_Book!$C:$C,"BEPAARI",Cash_Book!$D:$D,"PAYMENT",Cash_Book!$E:$E,B68)+SUMIFS(Cash_Book!$H:$H,Cash_Book!$C:$C,"BEPAARI",Cash_Book!$D:$D,"PAYMENT",Cash_Book!$E:$E,B68)</f>
        <v/>
      </c>
      <c r="R68" s="14">
        <f>IF(B68="","",P68-Q68)</f>
        <v/>
      </c>
    </row>
    <row r="69">
      <c r="A69" t="n">
        <v>65</v>
      </c>
      <c r="B69">
        <f>IF(Masters!$B$67="","",Masters!$B$67)</f>
        <v/>
      </c>
      <c r="C69">
        <f>IF(B69="","",Masters!$C$67)</f>
        <v/>
      </c>
      <c r="D69" s="11">
        <f>IF(B69="",0,Masters!$D$67)</f>
        <v/>
      </c>
      <c r="E69" s="11">
        <f>SUMIF(Daily_Sales!$C:$C,B69,Daily_Sales!$G:$G)</f>
        <v/>
      </c>
      <c r="F69" s="13">
        <f>SUMIF(Daily_Sales!$C:$C,B69,Daily_Sales!$E:$E)</f>
        <v/>
      </c>
      <c r="G69" s="11">
        <f>IF(B69="",0,E69*C69/100)</f>
        <v/>
      </c>
      <c r="H69" s="9">
        <f>IF(F69&gt;0,Masters!$X$3,0)</f>
        <v/>
      </c>
      <c r="I69" s="9">
        <f>F69*Masters!$X$4</f>
        <v/>
      </c>
      <c r="J69" s="11">
        <f>SUMIFS(Cash_Book!$G:$G,Cash_Book!$C:$C,"BEPAARI",Cash_Book!$D:$D,"MOTOR",Cash_Book!$E:$E,B69)+SUMIFS(Cash_Book!$H:$H,Cash_Book!$C:$C,"BEPAARI",Cash_Book!$D:$D,"MOTOR",Cash_Book!$E:$E,B69)</f>
        <v/>
      </c>
      <c r="K69" s="11">
        <f>SUMIFS(Cash_Book!$G:$G,Cash_Book!$C:$C,"BEPAARI",Cash_Book!$D:$D,"BHUSSA",Cash_Book!$E:$E,B69)+SUMIFS(Cash_Book!$H:$H,Cash_Book!$C:$C,"BEPAARI",Cash_Book!$D:$D,"BHUSSA",Cash_Book!$E:$E,B69)</f>
        <v/>
      </c>
      <c r="L69" s="11">
        <f>SUMIFS(Cash_Book!$G:$G,Cash_Book!$C:$C,"BEPAARI",Cash_Book!$D:$D,"GAWALI",Cash_Book!$E:$E,B69)+SUMIFS(Cash_Book!$H:$H,Cash_Book!$C:$C,"BEPAARI",Cash_Book!$D:$D,"GAWALI",Cash_Book!$E:$E,B69)</f>
        <v/>
      </c>
      <c r="M69" s="11">
        <f>SUMIFS(Cash_Book!$G:$G,Cash_Book!$C:$C,"BEPAARI",Cash_Book!$D:$D,"CASH_ADV",Cash_Book!$E:$E,B69)+SUMIFS(Cash_Book!$H:$H,Cash_Book!$C:$C,"BEPAARI",Cash_Book!$D:$D,"CASH_ADV",Cash_Book!$E:$E,B69)</f>
        <v/>
      </c>
      <c r="N69" s="11">
        <f>SUMIFS(Cash_Book!$G:$G,Cash_Book!$C:$C,"BEPAARI",Cash_Book!$D:$D,"OTHER",Cash_Book!$E:$E,B69)+SUMIFS(Cash_Book!$H:$H,Cash_Book!$C:$C,"BEPAARI",Cash_Book!$D:$D,"OTHER",Cash_Book!$E:$E,B69)</f>
        <v/>
      </c>
      <c r="O69" s="9">
        <f>SUM(G69:N69)</f>
        <v/>
      </c>
      <c r="P69" s="9">
        <f>IF(B69="","",E69-O69+D69)</f>
        <v/>
      </c>
      <c r="Q69" s="11">
        <f>SUMIFS(Cash_Book!$G:$G,Cash_Book!$C:$C,"BEPAARI",Cash_Book!$D:$D,"PAYMENT",Cash_Book!$E:$E,B69)+SUMIFS(Cash_Book!$H:$H,Cash_Book!$C:$C,"BEPAARI",Cash_Book!$D:$D,"PAYMENT",Cash_Book!$E:$E,B69)</f>
        <v/>
      </c>
      <c r="R69" s="14">
        <f>IF(B69="","",P69-Q69)</f>
        <v/>
      </c>
    </row>
    <row r="70">
      <c r="A70" t="n">
        <v>66</v>
      </c>
      <c r="B70">
        <f>IF(Masters!$B$68="","",Masters!$B$68)</f>
        <v/>
      </c>
      <c r="C70">
        <f>IF(B70="","",Masters!$C$68)</f>
        <v/>
      </c>
      <c r="D70" s="11">
        <f>IF(B70="",0,Masters!$D$68)</f>
        <v/>
      </c>
      <c r="E70" s="11">
        <f>SUMIF(Daily_Sales!$C:$C,B70,Daily_Sales!$G:$G)</f>
        <v/>
      </c>
      <c r="F70" s="13">
        <f>SUMIF(Daily_Sales!$C:$C,B70,Daily_Sales!$E:$E)</f>
        <v/>
      </c>
      <c r="G70" s="11">
        <f>IF(B70="",0,E70*C70/100)</f>
        <v/>
      </c>
      <c r="H70" s="9">
        <f>IF(F70&gt;0,Masters!$X$3,0)</f>
        <v/>
      </c>
      <c r="I70" s="9">
        <f>F70*Masters!$X$4</f>
        <v/>
      </c>
      <c r="J70" s="11">
        <f>SUMIFS(Cash_Book!$G:$G,Cash_Book!$C:$C,"BEPAARI",Cash_Book!$D:$D,"MOTOR",Cash_Book!$E:$E,B70)+SUMIFS(Cash_Book!$H:$H,Cash_Book!$C:$C,"BEPAARI",Cash_Book!$D:$D,"MOTOR",Cash_Book!$E:$E,B70)</f>
        <v/>
      </c>
      <c r="K70" s="11">
        <f>SUMIFS(Cash_Book!$G:$G,Cash_Book!$C:$C,"BEPAARI",Cash_Book!$D:$D,"BHUSSA",Cash_Book!$E:$E,B70)+SUMIFS(Cash_Book!$H:$H,Cash_Book!$C:$C,"BEPAARI",Cash_Book!$D:$D,"BHUSSA",Cash_Book!$E:$E,B70)</f>
        <v/>
      </c>
      <c r="L70" s="11">
        <f>SUMIFS(Cash_Book!$G:$G,Cash_Book!$C:$C,"BEPAARI",Cash_Book!$D:$D,"GAWALI",Cash_Book!$E:$E,B70)+SUMIFS(Cash_Book!$H:$H,Cash_Book!$C:$C,"BEPAARI",Cash_Book!$D:$D,"GAWALI",Cash_Book!$E:$E,B70)</f>
        <v/>
      </c>
      <c r="M70" s="11">
        <f>SUMIFS(Cash_Book!$G:$G,Cash_Book!$C:$C,"BEPAARI",Cash_Book!$D:$D,"CASH_ADV",Cash_Book!$E:$E,B70)+SUMIFS(Cash_Book!$H:$H,Cash_Book!$C:$C,"BEPAARI",Cash_Book!$D:$D,"CASH_ADV",Cash_Book!$E:$E,B70)</f>
        <v/>
      </c>
      <c r="N70" s="11">
        <f>SUMIFS(Cash_Book!$G:$G,Cash_Book!$C:$C,"BEPAARI",Cash_Book!$D:$D,"OTHER",Cash_Book!$E:$E,B70)+SUMIFS(Cash_Book!$H:$H,Cash_Book!$C:$C,"BEPAARI",Cash_Book!$D:$D,"OTHER",Cash_Book!$E:$E,B70)</f>
        <v/>
      </c>
      <c r="O70" s="9">
        <f>SUM(G70:N70)</f>
        <v/>
      </c>
      <c r="P70" s="9">
        <f>IF(B70="","",E70-O70+D70)</f>
        <v/>
      </c>
      <c r="Q70" s="11">
        <f>SUMIFS(Cash_Book!$G:$G,Cash_Book!$C:$C,"BEPAARI",Cash_Book!$D:$D,"PAYMENT",Cash_Book!$E:$E,B70)+SUMIFS(Cash_Book!$H:$H,Cash_Book!$C:$C,"BEPAARI",Cash_Book!$D:$D,"PAYMENT",Cash_Book!$E:$E,B70)</f>
        <v/>
      </c>
      <c r="R70" s="14">
        <f>IF(B70="","",P70-Q70)</f>
        <v/>
      </c>
    </row>
    <row r="71">
      <c r="A71" t="n">
        <v>67</v>
      </c>
      <c r="B71">
        <f>IF(Masters!$B$69="","",Masters!$B$69)</f>
        <v/>
      </c>
      <c r="C71">
        <f>IF(B71="","",Masters!$C$69)</f>
        <v/>
      </c>
      <c r="D71" s="11">
        <f>IF(B71="",0,Masters!$D$69)</f>
        <v/>
      </c>
      <c r="E71" s="11">
        <f>SUMIF(Daily_Sales!$C:$C,B71,Daily_Sales!$G:$G)</f>
        <v/>
      </c>
      <c r="F71" s="13">
        <f>SUMIF(Daily_Sales!$C:$C,B71,Daily_Sales!$E:$E)</f>
        <v/>
      </c>
      <c r="G71" s="11">
        <f>IF(B71="",0,E71*C71/100)</f>
        <v/>
      </c>
      <c r="H71" s="9">
        <f>IF(F71&gt;0,Masters!$X$3,0)</f>
        <v/>
      </c>
      <c r="I71" s="9">
        <f>F71*Masters!$X$4</f>
        <v/>
      </c>
      <c r="J71" s="11">
        <f>SUMIFS(Cash_Book!$G:$G,Cash_Book!$C:$C,"BEPAARI",Cash_Book!$D:$D,"MOTOR",Cash_Book!$E:$E,B71)+SUMIFS(Cash_Book!$H:$H,Cash_Book!$C:$C,"BEPAARI",Cash_Book!$D:$D,"MOTOR",Cash_Book!$E:$E,B71)</f>
        <v/>
      </c>
      <c r="K71" s="11">
        <f>SUMIFS(Cash_Book!$G:$G,Cash_Book!$C:$C,"BEPAARI",Cash_Book!$D:$D,"BHUSSA",Cash_Book!$E:$E,B71)+SUMIFS(Cash_Book!$H:$H,Cash_Book!$C:$C,"BEPAARI",Cash_Book!$D:$D,"BHUSSA",Cash_Book!$E:$E,B71)</f>
        <v/>
      </c>
      <c r="L71" s="11">
        <f>SUMIFS(Cash_Book!$G:$G,Cash_Book!$C:$C,"BEPAARI",Cash_Book!$D:$D,"GAWALI",Cash_Book!$E:$E,B71)+SUMIFS(Cash_Book!$H:$H,Cash_Book!$C:$C,"BEPAARI",Cash_Book!$D:$D,"GAWALI",Cash_Book!$E:$E,B71)</f>
        <v/>
      </c>
      <c r="M71" s="11">
        <f>SUMIFS(Cash_Book!$G:$G,Cash_Book!$C:$C,"BEPAARI",Cash_Book!$D:$D,"CASH_ADV",Cash_Book!$E:$E,B71)+SUMIFS(Cash_Book!$H:$H,Cash_Book!$C:$C,"BEPAARI",Cash_Book!$D:$D,"CASH_ADV",Cash_Book!$E:$E,B71)</f>
        <v/>
      </c>
      <c r="N71" s="11">
        <f>SUMIFS(Cash_Book!$G:$G,Cash_Book!$C:$C,"BEPAARI",Cash_Book!$D:$D,"OTHER",Cash_Book!$E:$E,B71)+SUMIFS(Cash_Book!$H:$H,Cash_Book!$C:$C,"BEPAARI",Cash_Book!$D:$D,"OTHER",Cash_Book!$E:$E,B71)</f>
        <v/>
      </c>
      <c r="O71" s="9">
        <f>SUM(G71:N71)</f>
        <v/>
      </c>
      <c r="P71" s="9">
        <f>IF(B71="","",E71-O71+D71)</f>
        <v/>
      </c>
      <c r="Q71" s="11">
        <f>SUMIFS(Cash_Book!$G:$G,Cash_Book!$C:$C,"BEPAARI",Cash_Book!$D:$D,"PAYMENT",Cash_Book!$E:$E,B71)+SUMIFS(Cash_Book!$H:$H,Cash_Book!$C:$C,"BEPAARI",Cash_Book!$D:$D,"PAYMENT",Cash_Book!$E:$E,B71)</f>
        <v/>
      </c>
      <c r="R71" s="14">
        <f>IF(B71="","",P71-Q71)</f>
        <v/>
      </c>
    </row>
    <row r="72">
      <c r="A72" t="n">
        <v>68</v>
      </c>
      <c r="B72">
        <f>IF(Masters!$B$70="","",Masters!$B$70)</f>
        <v/>
      </c>
      <c r="C72">
        <f>IF(B72="","",Masters!$C$70)</f>
        <v/>
      </c>
      <c r="D72" s="11">
        <f>IF(B72="",0,Masters!$D$70)</f>
        <v/>
      </c>
      <c r="E72" s="11">
        <f>SUMIF(Daily_Sales!$C:$C,B72,Daily_Sales!$G:$G)</f>
        <v/>
      </c>
      <c r="F72" s="13">
        <f>SUMIF(Daily_Sales!$C:$C,B72,Daily_Sales!$E:$E)</f>
        <v/>
      </c>
      <c r="G72" s="11">
        <f>IF(B72="",0,E72*C72/100)</f>
        <v/>
      </c>
      <c r="H72" s="9">
        <f>IF(F72&gt;0,Masters!$X$3,0)</f>
        <v/>
      </c>
      <c r="I72" s="9">
        <f>F72*Masters!$X$4</f>
        <v/>
      </c>
      <c r="J72" s="11">
        <f>SUMIFS(Cash_Book!$G:$G,Cash_Book!$C:$C,"BEPAARI",Cash_Book!$D:$D,"MOTOR",Cash_Book!$E:$E,B72)+SUMIFS(Cash_Book!$H:$H,Cash_Book!$C:$C,"BEPAARI",Cash_Book!$D:$D,"MOTOR",Cash_Book!$E:$E,B72)</f>
        <v/>
      </c>
      <c r="K72" s="11">
        <f>SUMIFS(Cash_Book!$G:$G,Cash_Book!$C:$C,"BEPAARI",Cash_Book!$D:$D,"BHUSSA",Cash_Book!$E:$E,B72)+SUMIFS(Cash_Book!$H:$H,Cash_Book!$C:$C,"BEPAARI",Cash_Book!$D:$D,"BHUSSA",Cash_Book!$E:$E,B72)</f>
        <v/>
      </c>
      <c r="L72" s="11">
        <f>SUMIFS(Cash_Book!$G:$G,Cash_Book!$C:$C,"BEPAARI",Cash_Book!$D:$D,"GAWALI",Cash_Book!$E:$E,B72)+SUMIFS(Cash_Book!$H:$H,Cash_Book!$C:$C,"BEPAARI",Cash_Book!$D:$D,"GAWALI",Cash_Book!$E:$E,B72)</f>
        <v/>
      </c>
      <c r="M72" s="11">
        <f>SUMIFS(Cash_Book!$G:$G,Cash_Book!$C:$C,"BEPAARI",Cash_Book!$D:$D,"CASH_ADV",Cash_Book!$E:$E,B72)+SUMIFS(Cash_Book!$H:$H,Cash_Book!$C:$C,"BEPAARI",Cash_Book!$D:$D,"CASH_ADV",Cash_Book!$E:$E,B72)</f>
        <v/>
      </c>
      <c r="N72" s="11">
        <f>SUMIFS(Cash_Book!$G:$G,Cash_Book!$C:$C,"BEPAARI",Cash_Book!$D:$D,"OTHER",Cash_Book!$E:$E,B72)+SUMIFS(Cash_Book!$H:$H,Cash_Book!$C:$C,"BEPAARI",Cash_Book!$D:$D,"OTHER",Cash_Book!$E:$E,B72)</f>
        <v/>
      </c>
      <c r="O72" s="9">
        <f>SUM(G72:N72)</f>
        <v/>
      </c>
      <c r="P72" s="9">
        <f>IF(B72="","",E72-O72+D72)</f>
        <v/>
      </c>
      <c r="Q72" s="11">
        <f>SUMIFS(Cash_Book!$G:$G,Cash_Book!$C:$C,"BEPAARI",Cash_Book!$D:$D,"PAYMENT",Cash_Book!$E:$E,B72)+SUMIFS(Cash_Book!$H:$H,Cash_Book!$C:$C,"BEPAARI",Cash_Book!$D:$D,"PAYMENT",Cash_Book!$E:$E,B72)</f>
        <v/>
      </c>
      <c r="R72" s="14">
        <f>IF(B72="","",P72-Q72)</f>
        <v/>
      </c>
    </row>
    <row r="73">
      <c r="A73" t="n">
        <v>69</v>
      </c>
      <c r="B73">
        <f>IF(Masters!$B$71="","",Masters!$B$71)</f>
        <v/>
      </c>
      <c r="C73">
        <f>IF(B73="","",Masters!$C$71)</f>
        <v/>
      </c>
      <c r="D73" s="11">
        <f>IF(B73="",0,Masters!$D$71)</f>
        <v/>
      </c>
      <c r="E73" s="11">
        <f>SUMIF(Daily_Sales!$C:$C,B73,Daily_Sales!$G:$G)</f>
        <v/>
      </c>
      <c r="F73" s="13">
        <f>SUMIF(Daily_Sales!$C:$C,B73,Daily_Sales!$E:$E)</f>
        <v/>
      </c>
      <c r="G73" s="11">
        <f>IF(B73="",0,E73*C73/100)</f>
        <v/>
      </c>
      <c r="H73" s="9">
        <f>IF(F73&gt;0,Masters!$X$3,0)</f>
        <v/>
      </c>
      <c r="I73" s="9">
        <f>F73*Masters!$X$4</f>
        <v/>
      </c>
      <c r="J73" s="11">
        <f>SUMIFS(Cash_Book!$G:$G,Cash_Book!$C:$C,"BEPAARI",Cash_Book!$D:$D,"MOTOR",Cash_Book!$E:$E,B73)+SUMIFS(Cash_Book!$H:$H,Cash_Book!$C:$C,"BEPAARI",Cash_Book!$D:$D,"MOTOR",Cash_Book!$E:$E,B73)</f>
        <v/>
      </c>
      <c r="K73" s="11">
        <f>SUMIFS(Cash_Book!$G:$G,Cash_Book!$C:$C,"BEPAARI",Cash_Book!$D:$D,"BHUSSA",Cash_Book!$E:$E,B73)+SUMIFS(Cash_Book!$H:$H,Cash_Book!$C:$C,"BEPAARI",Cash_Book!$D:$D,"BHUSSA",Cash_Book!$E:$E,B73)</f>
        <v/>
      </c>
      <c r="L73" s="11">
        <f>SUMIFS(Cash_Book!$G:$G,Cash_Book!$C:$C,"BEPAARI",Cash_Book!$D:$D,"GAWALI",Cash_Book!$E:$E,B73)+SUMIFS(Cash_Book!$H:$H,Cash_Book!$C:$C,"BEPAARI",Cash_Book!$D:$D,"GAWALI",Cash_Book!$E:$E,B73)</f>
        <v/>
      </c>
      <c r="M73" s="11">
        <f>SUMIFS(Cash_Book!$G:$G,Cash_Book!$C:$C,"BEPAARI",Cash_Book!$D:$D,"CASH_ADV",Cash_Book!$E:$E,B73)+SUMIFS(Cash_Book!$H:$H,Cash_Book!$C:$C,"BEPAARI",Cash_Book!$D:$D,"CASH_ADV",Cash_Book!$E:$E,B73)</f>
        <v/>
      </c>
      <c r="N73" s="11">
        <f>SUMIFS(Cash_Book!$G:$G,Cash_Book!$C:$C,"BEPAARI",Cash_Book!$D:$D,"OTHER",Cash_Book!$E:$E,B73)+SUMIFS(Cash_Book!$H:$H,Cash_Book!$C:$C,"BEPAARI",Cash_Book!$D:$D,"OTHER",Cash_Book!$E:$E,B73)</f>
        <v/>
      </c>
      <c r="O73" s="9">
        <f>SUM(G73:N73)</f>
        <v/>
      </c>
      <c r="P73" s="9">
        <f>IF(B73="","",E73-O73+D73)</f>
        <v/>
      </c>
      <c r="Q73" s="11">
        <f>SUMIFS(Cash_Book!$G:$G,Cash_Book!$C:$C,"BEPAARI",Cash_Book!$D:$D,"PAYMENT",Cash_Book!$E:$E,B73)+SUMIFS(Cash_Book!$H:$H,Cash_Book!$C:$C,"BEPAARI",Cash_Book!$D:$D,"PAYMENT",Cash_Book!$E:$E,B73)</f>
        <v/>
      </c>
      <c r="R73" s="14">
        <f>IF(B73="","",P73-Q73)</f>
        <v/>
      </c>
    </row>
    <row r="74">
      <c r="A74" t="n">
        <v>70</v>
      </c>
      <c r="B74">
        <f>IF(Masters!$B$72="","",Masters!$B$72)</f>
        <v/>
      </c>
      <c r="C74">
        <f>IF(B74="","",Masters!$C$72)</f>
        <v/>
      </c>
      <c r="D74" s="11">
        <f>IF(B74="",0,Masters!$D$72)</f>
        <v/>
      </c>
      <c r="E74" s="11">
        <f>SUMIF(Daily_Sales!$C:$C,B74,Daily_Sales!$G:$G)</f>
        <v/>
      </c>
      <c r="F74" s="13">
        <f>SUMIF(Daily_Sales!$C:$C,B74,Daily_Sales!$E:$E)</f>
        <v/>
      </c>
      <c r="G74" s="11">
        <f>IF(B74="",0,E74*C74/100)</f>
        <v/>
      </c>
      <c r="H74" s="9">
        <f>IF(F74&gt;0,Masters!$X$3,0)</f>
        <v/>
      </c>
      <c r="I74" s="9">
        <f>F74*Masters!$X$4</f>
        <v/>
      </c>
      <c r="J74" s="11">
        <f>SUMIFS(Cash_Book!$G:$G,Cash_Book!$C:$C,"BEPAARI",Cash_Book!$D:$D,"MOTOR",Cash_Book!$E:$E,B74)+SUMIFS(Cash_Book!$H:$H,Cash_Book!$C:$C,"BEPAARI",Cash_Book!$D:$D,"MOTOR",Cash_Book!$E:$E,B74)</f>
        <v/>
      </c>
      <c r="K74" s="11">
        <f>SUMIFS(Cash_Book!$G:$G,Cash_Book!$C:$C,"BEPAARI",Cash_Book!$D:$D,"BHUSSA",Cash_Book!$E:$E,B74)+SUMIFS(Cash_Book!$H:$H,Cash_Book!$C:$C,"BEPAARI",Cash_Book!$D:$D,"BHUSSA",Cash_Book!$E:$E,B74)</f>
        <v/>
      </c>
      <c r="L74" s="11">
        <f>SUMIFS(Cash_Book!$G:$G,Cash_Book!$C:$C,"BEPAARI",Cash_Book!$D:$D,"GAWALI",Cash_Book!$E:$E,B74)+SUMIFS(Cash_Book!$H:$H,Cash_Book!$C:$C,"BEPAARI",Cash_Book!$D:$D,"GAWALI",Cash_Book!$E:$E,B74)</f>
        <v/>
      </c>
      <c r="M74" s="11">
        <f>SUMIFS(Cash_Book!$G:$G,Cash_Book!$C:$C,"BEPAARI",Cash_Book!$D:$D,"CASH_ADV",Cash_Book!$E:$E,B74)+SUMIFS(Cash_Book!$H:$H,Cash_Book!$C:$C,"BEPAARI",Cash_Book!$D:$D,"CASH_ADV",Cash_Book!$E:$E,B74)</f>
        <v/>
      </c>
      <c r="N74" s="11">
        <f>SUMIFS(Cash_Book!$G:$G,Cash_Book!$C:$C,"BEPAARI",Cash_Book!$D:$D,"OTHER",Cash_Book!$E:$E,B74)+SUMIFS(Cash_Book!$H:$H,Cash_Book!$C:$C,"BEPAARI",Cash_Book!$D:$D,"OTHER",Cash_Book!$E:$E,B74)</f>
        <v/>
      </c>
      <c r="O74" s="9">
        <f>SUM(G74:N74)</f>
        <v/>
      </c>
      <c r="P74" s="9">
        <f>IF(B74="","",E74-O74+D74)</f>
        <v/>
      </c>
      <c r="Q74" s="11">
        <f>SUMIFS(Cash_Book!$G:$G,Cash_Book!$C:$C,"BEPAARI",Cash_Book!$D:$D,"PAYMENT",Cash_Book!$E:$E,B74)+SUMIFS(Cash_Book!$H:$H,Cash_Book!$C:$C,"BEPAARI",Cash_Book!$D:$D,"PAYMENT",Cash_Book!$E:$E,B74)</f>
        <v/>
      </c>
      <c r="R74" s="14">
        <f>IF(B74="","",P74-Q74)</f>
        <v/>
      </c>
    </row>
    <row r="75">
      <c r="A75" t="n">
        <v>71</v>
      </c>
      <c r="B75">
        <f>IF(Masters!$B$73="","",Masters!$B$73)</f>
        <v/>
      </c>
      <c r="C75">
        <f>IF(B75="","",Masters!$C$73)</f>
        <v/>
      </c>
      <c r="D75" s="11">
        <f>IF(B75="",0,Masters!$D$73)</f>
        <v/>
      </c>
      <c r="E75" s="11">
        <f>SUMIF(Daily_Sales!$C:$C,B75,Daily_Sales!$G:$G)</f>
        <v/>
      </c>
      <c r="F75" s="13">
        <f>SUMIF(Daily_Sales!$C:$C,B75,Daily_Sales!$E:$E)</f>
        <v/>
      </c>
      <c r="G75" s="11">
        <f>IF(B75="",0,E75*C75/100)</f>
        <v/>
      </c>
      <c r="H75" s="9">
        <f>IF(F75&gt;0,Masters!$X$3,0)</f>
        <v/>
      </c>
      <c r="I75" s="9">
        <f>F75*Masters!$X$4</f>
        <v/>
      </c>
      <c r="J75" s="11">
        <f>SUMIFS(Cash_Book!$G:$G,Cash_Book!$C:$C,"BEPAARI",Cash_Book!$D:$D,"MOTOR",Cash_Book!$E:$E,B75)+SUMIFS(Cash_Book!$H:$H,Cash_Book!$C:$C,"BEPAARI",Cash_Book!$D:$D,"MOTOR",Cash_Book!$E:$E,B75)</f>
        <v/>
      </c>
      <c r="K75" s="11">
        <f>SUMIFS(Cash_Book!$G:$G,Cash_Book!$C:$C,"BEPAARI",Cash_Book!$D:$D,"BHUSSA",Cash_Book!$E:$E,B75)+SUMIFS(Cash_Book!$H:$H,Cash_Book!$C:$C,"BEPAARI",Cash_Book!$D:$D,"BHUSSA",Cash_Book!$E:$E,B75)</f>
        <v/>
      </c>
      <c r="L75" s="11">
        <f>SUMIFS(Cash_Book!$G:$G,Cash_Book!$C:$C,"BEPAARI",Cash_Book!$D:$D,"GAWALI",Cash_Book!$E:$E,B75)+SUMIFS(Cash_Book!$H:$H,Cash_Book!$C:$C,"BEPAARI",Cash_Book!$D:$D,"GAWALI",Cash_Book!$E:$E,B75)</f>
        <v/>
      </c>
      <c r="M75" s="11">
        <f>SUMIFS(Cash_Book!$G:$G,Cash_Book!$C:$C,"BEPAARI",Cash_Book!$D:$D,"CASH_ADV",Cash_Book!$E:$E,B75)+SUMIFS(Cash_Book!$H:$H,Cash_Book!$C:$C,"BEPAARI",Cash_Book!$D:$D,"CASH_ADV",Cash_Book!$E:$E,B75)</f>
        <v/>
      </c>
      <c r="N75" s="11">
        <f>SUMIFS(Cash_Book!$G:$G,Cash_Book!$C:$C,"BEPAARI",Cash_Book!$D:$D,"OTHER",Cash_Book!$E:$E,B75)+SUMIFS(Cash_Book!$H:$H,Cash_Book!$C:$C,"BEPAARI",Cash_Book!$D:$D,"OTHER",Cash_Book!$E:$E,B75)</f>
        <v/>
      </c>
      <c r="O75" s="9">
        <f>SUM(G75:N75)</f>
        <v/>
      </c>
      <c r="P75" s="9">
        <f>IF(B75="","",E75-O75+D75)</f>
        <v/>
      </c>
      <c r="Q75" s="11">
        <f>SUMIFS(Cash_Book!$G:$G,Cash_Book!$C:$C,"BEPAARI",Cash_Book!$D:$D,"PAYMENT",Cash_Book!$E:$E,B75)+SUMIFS(Cash_Book!$H:$H,Cash_Book!$C:$C,"BEPAARI",Cash_Book!$D:$D,"PAYMENT",Cash_Book!$E:$E,B75)</f>
        <v/>
      </c>
      <c r="R75" s="14">
        <f>IF(B75="","",P75-Q75)</f>
        <v/>
      </c>
    </row>
    <row r="76">
      <c r="A76" t="n">
        <v>72</v>
      </c>
      <c r="B76">
        <f>IF(Masters!$B$74="","",Masters!$B$74)</f>
        <v/>
      </c>
      <c r="C76">
        <f>IF(B76="","",Masters!$C$74)</f>
        <v/>
      </c>
      <c r="D76" s="11">
        <f>IF(B76="",0,Masters!$D$74)</f>
        <v/>
      </c>
      <c r="E76" s="11">
        <f>SUMIF(Daily_Sales!$C:$C,B76,Daily_Sales!$G:$G)</f>
        <v/>
      </c>
      <c r="F76" s="13">
        <f>SUMIF(Daily_Sales!$C:$C,B76,Daily_Sales!$E:$E)</f>
        <v/>
      </c>
      <c r="G76" s="11">
        <f>IF(B76="",0,E76*C76/100)</f>
        <v/>
      </c>
      <c r="H76" s="9">
        <f>IF(F76&gt;0,Masters!$X$3,0)</f>
        <v/>
      </c>
      <c r="I76" s="9">
        <f>F76*Masters!$X$4</f>
        <v/>
      </c>
      <c r="J76" s="11">
        <f>SUMIFS(Cash_Book!$G:$G,Cash_Book!$C:$C,"BEPAARI",Cash_Book!$D:$D,"MOTOR",Cash_Book!$E:$E,B76)+SUMIFS(Cash_Book!$H:$H,Cash_Book!$C:$C,"BEPAARI",Cash_Book!$D:$D,"MOTOR",Cash_Book!$E:$E,B76)</f>
        <v/>
      </c>
      <c r="K76" s="11">
        <f>SUMIFS(Cash_Book!$G:$G,Cash_Book!$C:$C,"BEPAARI",Cash_Book!$D:$D,"BHUSSA",Cash_Book!$E:$E,B76)+SUMIFS(Cash_Book!$H:$H,Cash_Book!$C:$C,"BEPAARI",Cash_Book!$D:$D,"BHUSSA",Cash_Book!$E:$E,B76)</f>
        <v/>
      </c>
      <c r="L76" s="11">
        <f>SUMIFS(Cash_Book!$G:$G,Cash_Book!$C:$C,"BEPAARI",Cash_Book!$D:$D,"GAWALI",Cash_Book!$E:$E,B76)+SUMIFS(Cash_Book!$H:$H,Cash_Book!$C:$C,"BEPAARI",Cash_Book!$D:$D,"GAWALI",Cash_Book!$E:$E,B76)</f>
        <v/>
      </c>
      <c r="M76" s="11">
        <f>SUMIFS(Cash_Book!$G:$G,Cash_Book!$C:$C,"BEPAARI",Cash_Book!$D:$D,"CASH_ADV",Cash_Book!$E:$E,B76)+SUMIFS(Cash_Book!$H:$H,Cash_Book!$C:$C,"BEPAARI",Cash_Book!$D:$D,"CASH_ADV",Cash_Book!$E:$E,B76)</f>
        <v/>
      </c>
      <c r="N76" s="11">
        <f>SUMIFS(Cash_Book!$G:$G,Cash_Book!$C:$C,"BEPAARI",Cash_Book!$D:$D,"OTHER",Cash_Book!$E:$E,B76)+SUMIFS(Cash_Book!$H:$H,Cash_Book!$C:$C,"BEPAARI",Cash_Book!$D:$D,"OTHER",Cash_Book!$E:$E,B76)</f>
        <v/>
      </c>
      <c r="O76" s="9">
        <f>SUM(G76:N76)</f>
        <v/>
      </c>
      <c r="P76" s="9">
        <f>IF(B76="","",E76-O76+D76)</f>
        <v/>
      </c>
      <c r="Q76" s="11">
        <f>SUMIFS(Cash_Book!$G:$G,Cash_Book!$C:$C,"BEPAARI",Cash_Book!$D:$D,"PAYMENT",Cash_Book!$E:$E,B76)+SUMIFS(Cash_Book!$H:$H,Cash_Book!$C:$C,"BEPAARI",Cash_Book!$D:$D,"PAYMENT",Cash_Book!$E:$E,B76)</f>
        <v/>
      </c>
      <c r="R76" s="14">
        <f>IF(B76="","",P76-Q76)</f>
        <v/>
      </c>
    </row>
    <row r="77">
      <c r="A77" t="n">
        <v>73</v>
      </c>
      <c r="B77">
        <f>IF(Masters!$B$75="","",Masters!$B$75)</f>
        <v/>
      </c>
      <c r="C77">
        <f>IF(B77="","",Masters!$C$75)</f>
        <v/>
      </c>
      <c r="D77" s="11">
        <f>IF(B77="",0,Masters!$D$75)</f>
        <v/>
      </c>
      <c r="E77" s="11">
        <f>SUMIF(Daily_Sales!$C:$C,B77,Daily_Sales!$G:$G)</f>
        <v/>
      </c>
      <c r="F77" s="13">
        <f>SUMIF(Daily_Sales!$C:$C,B77,Daily_Sales!$E:$E)</f>
        <v/>
      </c>
      <c r="G77" s="11">
        <f>IF(B77="",0,E77*C77/100)</f>
        <v/>
      </c>
      <c r="H77" s="9">
        <f>IF(F77&gt;0,Masters!$X$3,0)</f>
        <v/>
      </c>
      <c r="I77" s="9">
        <f>F77*Masters!$X$4</f>
        <v/>
      </c>
      <c r="J77" s="11">
        <f>SUMIFS(Cash_Book!$G:$G,Cash_Book!$C:$C,"BEPAARI",Cash_Book!$D:$D,"MOTOR",Cash_Book!$E:$E,B77)+SUMIFS(Cash_Book!$H:$H,Cash_Book!$C:$C,"BEPAARI",Cash_Book!$D:$D,"MOTOR",Cash_Book!$E:$E,B77)</f>
        <v/>
      </c>
      <c r="K77" s="11">
        <f>SUMIFS(Cash_Book!$G:$G,Cash_Book!$C:$C,"BEPAARI",Cash_Book!$D:$D,"BHUSSA",Cash_Book!$E:$E,B77)+SUMIFS(Cash_Book!$H:$H,Cash_Book!$C:$C,"BEPAARI",Cash_Book!$D:$D,"BHUSSA",Cash_Book!$E:$E,B77)</f>
        <v/>
      </c>
      <c r="L77" s="11">
        <f>SUMIFS(Cash_Book!$G:$G,Cash_Book!$C:$C,"BEPAARI",Cash_Book!$D:$D,"GAWALI",Cash_Book!$E:$E,B77)+SUMIFS(Cash_Book!$H:$H,Cash_Book!$C:$C,"BEPAARI",Cash_Book!$D:$D,"GAWALI",Cash_Book!$E:$E,B77)</f>
        <v/>
      </c>
      <c r="M77" s="11">
        <f>SUMIFS(Cash_Book!$G:$G,Cash_Book!$C:$C,"BEPAARI",Cash_Book!$D:$D,"CASH_ADV",Cash_Book!$E:$E,B77)+SUMIFS(Cash_Book!$H:$H,Cash_Book!$C:$C,"BEPAARI",Cash_Book!$D:$D,"CASH_ADV",Cash_Book!$E:$E,B77)</f>
        <v/>
      </c>
      <c r="N77" s="11">
        <f>SUMIFS(Cash_Book!$G:$G,Cash_Book!$C:$C,"BEPAARI",Cash_Book!$D:$D,"OTHER",Cash_Book!$E:$E,B77)+SUMIFS(Cash_Book!$H:$H,Cash_Book!$C:$C,"BEPAARI",Cash_Book!$D:$D,"OTHER",Cash_Book!$E:$E,B77)</f>
        <v/>
      </c>
      <c r="O77" s="9">
        <f>SUM(G77:N77)</f>
        <v/>
      </c>
      <c r="P77" s="9">
        <f>IF(B77="","",E77-O77+D77)</f>
        <v/>
      </c>
      <c r="Q77" s="11">
        <f>SUMIFS(Cash_Book!$G:$G,Cash_Book!$C:$C,"BEPAARI",Cash_Book!$D:$D,"PAYMENT",Cash_Book!$E:$E,B77)+SUMIFS(Cash_Book!$H:$H,Cash_Book!$C:$C,"BEPAARI",Cash_Book!$D:$D,"PAYMENT",Cash_Book!$E:$E,B77)</f>
        <v/>
      </c>
      <c r="R77" s="14">
        <f>IF(B77="","",P77-Q77)</f>
        <v/>
      </c>
    </row>
    <row r="78">
      <c r="A78" t="n">
        <v>74</v>
      </c>
      <c r="B78">
        <f>IF(Masters!$B$76="","",Masters!$B$76)</f>
        <v/>
      </c>
      <c r="C78">
        <f>IF(B78="","",Masters!$C$76)</f>
        <v/>
      </c>
      <c r="D78" s="11">
        <f>IF(B78="",0,Masters!$D$76)</f>
        <v/>
      </c>
      <c r="E78" s="11">
        <f>SUMIF(Daily_Sales!$C:$C,B78,Daily_Sales!$G:$G)</f>
        <v/>
      </c>
      <c r="F78" s="13">
        <f>SUMIF(Daily_Sales!$C:$C,B78,Daily_Sales!$E:$E)</f>
        <v/>
      </c>
      <c r="G78" s="11">
        <f>IF(B78="",0,E78*C78/100)</f>
        <v/>
      </c>
      <c r="H78" s="9">
        <f>IF(F78&gt;0,Masters!$X$3,0)</f>
        <v/>
      </c>
      <c r="I78" s="9">
        <f>F78*Masters!$X$4</f>
        <v/>
      </c>
      <c r="J78" s="11">
        <f>SUMIFS(Cash_Book!$G:$G,Cash_Book!$C:$C,"BEPAARI",Cash_Book!$D:$D,"MOTOR",Cash_Book!$E:$E,B78)+SUMIFS(Cash_Book!$H:$H,Cash_Book!$C:$C,"BEPAARI",Cash_Book!$D:$D,"MOTOR",Cash_Book!$E:$E,B78)</f>
        <v/>
      </c>
      <c r="K78" s="11">
        <f>SUMIFS(Cash_Book!$G:$G,Cash_Book!$C:$C,"BEPAARI",Cash_Book!$D:$D,"BHUSSA",Cash_Book!$E:$E,B78)+SUMIFS(Cash_Book!$H:$H,Cash_Book!$C:$C,"BEPAARI",Cash_Book!$D:$D,"BHUSSA",Cash_Book!$E:$E,B78)</f>
        <v/>
      </c>
      <c r="L78" s="11">
        <f>SUMIFS(Cash_Book!$G:$G,Cash_Book!$C:$C,"BEPAARI",Cash_Book!$D:$D,"GAWALI",Cash_Book!$E:$E,B78)+SUMIFS(Cash_Book!$H:$H,Cash_Book!$C:$C,"BEPAARI",Cash_Book!$D:$D,"GAWALI",Cash_Book!$E:$E,B78)</f>
        <v/>
      </c>
      <c r="M78" s="11">
        <f>SUMIFS(Cash_Book!$G:$G,Cash_Book!$C:$C,"BEPAARI",Cash_Book!$D:$D,"CASH_ADV",Cash_Book!$E:$E,B78)+SUMIFS(Cash_Book!$H:$H,Cash_Book!$C:$C,"BEPAARI",Cash_Book!$D:$D,"CASH_ADV",Cash_Book!$E:$E,B78)</f>
        <v/>
      </c>
      <c r="N78" s="11">
        <f>SUMIFS(Cash_Book!$G:$G,Cash_Book!$C:$C,"BEPAARI",Cash_Book!$D:$D,"OTHER",Cash_Book!$E:$E,B78)+SUMIFS(Cash_Book!$H:$H,Cash_Book!$C:$C,"BEPAARI",Cash_Book!$D:$D,"OTHER",Cash_Book!$E:$E,B78)</f>
        <v/>
      </c>
      <c r="O78" s="9">
        <f>SUM(G78:N78)</f>
        <v/>
      </c>
      <c r="P78" s="9">
        <f>IF(B78="","",E78-O78+D78)</f>
        <v/>
      </c>
      <c r="Q78" s="11">
        <f>SUMIFS(Cash_Book!$G:$G,Cash_Book!$C:$C,"BEPAARI",Cash_Book!$D:$D,"PAYMENT",Cash_Book!$E:$E,B78)+SUMIFS(Cash_Book!$H:$H,Cash_Book!$C:$C,"BEPAARI",Cash_Book!$D:$D,"PAYMENT",Cash_Book!$E:$E,B78)</f>
        <v/>
      </c>
      <c r="R78" s="14">
        <f>IF(B78="","",P78-Q78)</f>
        <v/>
      </c>
    </row>
    <row r="79">
      <c r="A79" t="n">
        <v>75</v>
      </c>
      <c r="B79">
        <f>IF(Masters!$B$77="","",Masters!$B$77)</f>
        <v/>
      </c>
      <c r="C79">
        <f>IF(B79="","",Masters!$C$77)</f>
        <v/>
      </c>
      <c r="D79" s="11">
        <f>IF(B79="",0,Masters!$D$77)</f>
        <v/>
      </c>
      <c r="E79" s="11">
        <f>SUMIF(Daily_Sales!$C:$C,B79,Daily_Sales!$G:$G)</f>
        <v/>
      </c>
      <c r="F79" s="13">
        <f>SUMIF(Daily_Sales!$C:$C,B79,Daily_Sales!$E:$E)</f>
        <v/>
      </c>
      <c r="G79" s="11">
        <f>IF(B79="",0,E79*C79/100)</f>
        <v/>
      </c>
      <c r="H79" s="9">
        <f>IF(F79&gt;0,Masters!$X$3,0)</f>
        <v/>
      </c>
      <c r="I79" s="9">
        <f>F79*Masters!$X$4</f>
        <v/>
      </c>
      <c r="J79" s="11">
        <f>SUMIFS(Cash_Book!$G:$G,Cash_Book!$C:$C,"BEPAARI",Cash_Book!$D:$D,"MOTOR",Cash_Book!$E:$E,B79)+SUMIFS(Cash_Book!$H:$H,Cash_Book!$C:$C,"BEPAARI",Cash_Book!$D:$D,"MOTOR",Cash_Book!$E:$E,B79)</f>
        <v/>
      </c>
      <c r="K79" s="11">
        <f>SUMIFS(Cash_Book!$G:$G,Cash_Book!$C:$C,"BEPAARI",Cash_Book!$D:$D,"BHUSSA",Cash_Book!$E:$E,B79)+SUMIFS(Cash_Book!$H:$H,Cash_Book!$C:$C,"BEPAARI",Cash_Book!$D:$D,"BHUSSA",Cash_Book!$E:$E,B79)</f>
        <v/>
      </c>
      <c r="L79" s="11">
        <f>SUMIFS(Cash_Book!$G:$G,Cash_Book!$C:$C,"BEPAARI",Cash_Book!$D:$D,"GAWALI",Cash_Book!$E:$E,B79)+SUMIFS(Cash_Book!$H:$H,Cash_Book!$C:$C,"BEPAARI",Cash_Book!$D:$D,"GAWALI",Cash_Book!$E:$E,B79)</f>
        <v/>
      </c>
      <c r="M79" s="11">
        <f>SUMIFS(Cash_Book!$G:$G,Cash_Book!$C:$C,"BEPAARI",Cash_Book!$D:$D,"CASH_ADV",Cash_Book!$E:$E,B79)+SUMIFS(Cash_Book!$H:$H,Cash_Book!$C:$C,"BEPAARI",Cash_Book!$D:$D,"CASH_ADV",Cash_Book!$E:$E,B79)</f>
        <v/>
      </c>
      <c r="N79" s="11">
        <f>SUMIFS(Cash_Book!$G:$G,Cash_Book!$C:$C,"BEPAARI",Cash_Book!$D:$D,"OTHER",Cash_Book!$E:$E,B79)+SUMIFS(Cash_Book!$H:$H,Cash_Book!$C:$C,"BEPAARI",Cash_Book!$D:$D,"OTHER",Cash_Book!$E:$E,B79)</f>
        <v/>
      </c>
      <c r="O79" s="9">
        <f>SUM(G79:N79)</f>
        <v/>
      </c>
      <c r="P79" s="9">
        <f>IF(B79="","",E79-O79+D79)</f>
        <v/>
      </c>
      <c r="Q79" s="11">
        <f>SUMIFS(Cash_Book!$G:$G,Cash_Book!$C:$C,"BEPAARI",Cash_Book!$D:$D,"PAYMENT",Cash_Book!$E:$E,B79)+SUMIFS(Cash_Book!$H:$H,Cash_Book!$C:$C,"BEPAARI",Cash_Book!$D:$D,"PAYMENT",Cash_Book!$E:$E,B79)</f>
        <v/>
      </c>
      <c r="R79" s="14">
        <f>IF(B79="","",P79-Q79)</f>
        <v/>
      </c>
    </row>
    <row r="80">
      <c r="A80" t="n">
        <v>76</v>
      </c>
      <c r="B80">
        <f>IF(Masters!$B$78="","",Masters!$B$78)</f>
        <v/>
      </c>
      <c r="C80">
        <f>IF(B80="","",Masters!$C$78)</f>
        <v/>
      </c>
      <c r="D80" s="11">
        <f>IF(B80="",0,Masters!$D$78)</f>
        <v/>
      </c>
      <c r="E80" s="11">
        <f>SUMIF(Daily_Sales!$C:$C,B80,Daily_Sales!$G:$G)</f>
        <v/>
      </c>
      <c r="F80" s="13">
        <f>SUMIF(Daily_Sales!$C:$C,B80,Daily_Sales!$E:$E)</f>
        <v/>
      </c>
      <c r="G80" s="11">
        <f>IF(B80="",0,E80*C80/100)</f>
        <v/>
      </c>
      <c r="H80" s="9">
        <f>IF(F80&gt;0,Masters!$X$3,0)</f>
        <v/>
      </c>
      <c r="I80" s="9">
        <f>F80*Masters!$X$4</f>
        <v/>
      </c>
      <c r="J80" s="11">
        <f>SUMIFS(Cash_Book!$G:$G,Cash_Book!$C:$C,"BEPAARI",Cash_Book!$D:$D,"MOTOR",Cash_Book!$E:$E,B80)+SUMIFS(Cash_Book!$H:$H,Cash_Book!$C:$C,"BEPAARI",Cash_Book!$D:$D,"MOTOR",Cash_Book!$E:$E,B80)</f>
        <v/>
      </c>
      <c r="K80" s="11">
        <f>SUMIFS(Cash_Book!$G:$G,Cash_Book!$C:$C,"BEPAARI",Cash_Book!$D:$D,"BHUSSA",Cash_Book!$E:$E,B80)+SUMIFS(Cash_Book!$H:$H,Cash_Book!$C:$C,"BEPAARI",Cash_Book!$D:$D,"BHUSSA",Cash_Book!$E:$E,B80)</f>
        <v/>
      </c>
      <c r="L80" s="11">
        <f>SUMIFS(Cash_Book!$G:$G,Cash_Book!$C:$C,"BEPAARI",Cash_Book!$D:$D,"GAWALI",Cash_Book!$E:$E,B80)+SUMIFS(Cash_Book!$H:$H,Cash_Book!$C:$C,"BEPAARI",Cash_Book!$D:$D,"GAWALI",Cash_Book!$E:$E,B80)</f>
        <v/>
      </c>
      <c r="M80" s="11">
        <f>SUMIFS(Cash_Book!$G:$G,Cash_Book!$C:$C,"BEPAARI",Cash_Book!$D:$D,"CASH_ADV",Cash_Book!$E:$E,B80)+SUMIFS(Cash_Book!$H:$H,Cash_Book!$C:$C,"BEPAARI",Cash_Book!$D:$D,"CASH_ADV",Cash_Book!$E:$E,B80)</f>
        <v/>
      </c>
      <c r="N80" s="11">
        <f>SUMIFS(Cash_Book!$G:$G,Cash_Book!$C:$C,"BEPAARI",Cash_Book!$D:$D,"OTHER",Cash_Book!$E:$E,B80)+SUMIFS(Cash_Book!$H:$H,Cash_Book!$C:$C,"BEPAARI",Cash_Book!$D:$D,"OTHER",Cash_Book!$E:$E,B80)</f>
        <v/>
      </c>
      <c r="O80" s="9">
        <f>SUM(G80:N80)</f>
        <v/>
      </c>
      <c r="P80" s="9">
        <f>IF(B80="","",E80-O80+D80)</f>
        <v/>
      </c>
      <c r="Q80" s="11">
        <f>SUMIFS(Cash_Book!$G:$G,Cash_Book!$C:$C,"BEPAARI",Cash_Book!$D:$D,"PAYMENT",Cash_Book!$E:$E,B80)+SUMIFS(Cash_Book!$H:$H,Cash_Book!$C:$C,"BEPAARI",Cash_Book!$D:$D,"PAYMENT",Cash_Book!$E:$E,B80)</f>
        <v/>
      </c>
      <c r="R80" s="14">
        <f>IF(B80="","",P80-Q80)</f>
        <v/>
      </c>
    </row>
    <row r="81">
      <c r="A81" t="n">
        <v>77</v>
      </c>
      <c r="B81">
        <f>IF(Masters!$B$79="","",Masters!$B$79)</f>
        <v/>
      </c>
      <c r="C81">
        <f>IF(B81="","",Masters!$C$79)</f>
        <v/>
      </c>
      <c r="D81" s="11">
        <f>IF(B81="",0,Masters!$D$79)</f>
        <v/>
      </c>
      <c r="E81" s="11">
        <f>SUMIF(Daily_Sales!$C:$C,B81,Daily_Sales!$G:$G)</f>
        <v/>
      </c>
      <c r="F81" s="13">
        <f>SUMIF(Daily_Sales!$C:$C,B81,Daily_Sales!$E:$E)</f>
        <v/>
      </c>
      <c r="G81" s="11">
        <f>IF(B81="",0,E81*C81/100)</f>
        <v/>
      </c>
      <c r="H81" s="9">
        <f>IF(F81&gt;0,Masters!$X$3,0)</f>
        <v/>
      </c>
      <c r="I81" s="9">
        <f>F81*Masters!$X$4</f>
        <v/>
      </c>
      <c r="J81" s="11">
        <f>SUMIFS(Cash_Book!$G:$G,Cash_Book!$C:$C,"BEPAARI",Cash_Book!$D:$D,"MOTOR",Cash_Book!$E:$E,B81)+SUMIFS(Cash_Book!$H:$H,Cash_Book!$C:$C,"BEPAARI",Cash_Book!$D:$D,"MOTOR",Cash_Book!$E:$E,B81)</f>
        <v/>
      </c>
      <c r="K81" s="11">
        <f>SUMIFS(Cash_Book!$G:$G,Cash_Book!$C:$C,"BEPAARI",Cash_Book!$D:$D,"BHUSSA",Cash_Book!$E:$E,B81)+SUMIFS(Cash_Book!$H:$H,Cash_Book!$C:$C,"BEPAARI",Cash_Book!$D:$D,"BHUSSA",Cash_Book!$E:$E,B81)</f>
        <v/>
      </c>
      <c r="L81" s="11">
        <f>SUMIFS(Cash_Book!$G:$G,Cash_Book!$C:$C,"BEPAARI",Cash_Book!$D:$D,"GAWALI",Cash_Book!$E:$E,B81)+SUMIFS(Cash_Book!$H:$H,Cash_Book!$C:$C,"BEPAARI",Cash_Book!$D:$D,"GAWALI",Cash_Book!$E:$E,B81)</f>
        <v/>
      </c>
      <c r="M81" s="11">
        <f>SUMIFS(Cash_Book!$G:$G,Cash_Book!$C:$C,"BEPAARI",Cash_Book!$D:$D,"CASH_ADV",Cash_Book!$E:$E,B81)+SUMIFS(Cash_Book!$H:$H,Cash_Book!$C:$C,"BEPAARI",Cash_Book!$D:$D,"CASH_ADV",Cash_Book!$E:$E,B81)</f>
        <v/>
      </c>
      <c r="N81" s="11">
        <f>SUMIFS(Cash_Book!$G:$G,Cash_Book!$C:$C,"BEPAARI",Cash_Book!$D:$D,"OTHER",Cash_Book!$E:$E,B81)+SUMIFS(Cash_Book!$H:$H,Cash_Book!$C:$C,"BEPAARI",Cash_Book!$D:$D,"OTHER",Cash_Book!$E:$E,B81)</f>
        <v/>
      </c>
      <c r="O81" s="9">
        <f>SUM(G81:N81)</f>
        <v/>
      </c>
      <c r="P81" s="9">
        <f>IF(B81="","",E81-O81+D81)</f>
        <v/>
      </c>
      <c r="Q81" s="11">
        <f>SUMIFS(Cash_Book!$G:$G,Cash_Book!$C:$C,"BEPAARI",Cash_Book!$D:$D,"PAYMENT",Cash_Book!$E:$E,B81)+SUMIFS(Cash_Book!$H:$H,Cash_Book!$C:$C,"BEPAARI",Cash_Book!$D:$D,"PAYMENT",Cash_Book!$E:$E,B81)</f>
        <v/>
      </c>
      <c r="R81" s="14">
        <f>IF(B81="","",P81-Q81)</f>
        <v/>
      </c>
    </row>
    <row r="82">
      <c r="A82" s="3" t="inlineStr">
        <is>
          <t>TOTAL</t>
        </is>
      </c>
      <c r="D82" s="14">
        <f>SUM(D5:D81)</f>
        <v/>
      </c>
      <c r="E82" s="14">
        <f>SUM(E5:E81)</f>
        <v/>
      </c>
      <c r="F82" s="14">
        <f>SUM(F5:F81)</f>
        <v/>
      </c>
      <c r="G82" s="14">
        <f>SUM(G5:G81)</f>
        <v/>
      </c>
      <c r="H82" s="14">
        <f>SUM(H5:H81)</f>
        <v/>
      </c>
      <c r="I82" s="14">
        <f>SUM(I5:I81)</f>
        <v/>
      </c>
      <c r="J82" s="14">
        <f>SUM(J5:J81)</f>
        <v/>
      </c>
      <c r="K82" s="14">
        <f>SUM(K5:K81)</f>
        <v/>
      </c>
      <c r="L82" s="14">
        <f>SUM(L5:L81)</f>
        <v/>
      </c>
      <c r="M82" s="14">
        <f>SUM(M5:M81)</f>
        <v/>
      </c>
      <c r="N82" s="14">
        <f>SUM(N5:N81)</f>
        <v/>
      </c>
      <c r="O82" s="14">
        <f>SUM(O5:O81)</f>
        <v/>
      </c>
      <c r="P82" s="14">
        <f>SUM(P5:P81)</f>
        <v/>
      </c>
      <c r="Q82" s="14">
        <f>SUM(Q5:Q81)</f>
        <v/>
      </c>
      <c r="R82" s="14">
        <f>SUM(R5:R81)</f>
        <v/>
      </c>
    </row>
  </sheetData>
  <pageMargins left="0.75" right="0.75" top="1" bottom="1" header="0.5" footer="0.5"/>
</worksheet>
</file>

<file path=xl/worksheets/sheet5.xml><?xml version="1.0" encoding="utf-8"?>
<worksheet xmlns="http://schemas.openxmlformats.org/spreadsheetml/2006/main">
  <sheetPr>
    <tabColor rgb="00E91E63"/>
    <outlinePr summaryBelow="1" summaryRight="1"/>
    <pageSetUpPr/>
  </sheetPr>
  <dimension ref="A1:H81"/>
  <sheetViews>
    <sheetView workbookViewId="0">
      <selection activeCell="A1" sqref="A1"/>
    </sheetView>
  </sheetViews>
  <sheetFormatPr baseColWidth="8" defaultRowHeight="15"/>
  <cols>
    <col width="4" customWidth="1" min="1" max="1"/>
    <col width="20" customWidth="1" min="2" max="2"/>
    <col width="12" customWidth="1" min="3" max="3"/>
    <col width="14" customWidth="1" min="4" max="4"/>
    <col width="12" customWidth="1" min="5" max="5"/>
    <col width="14" customWidth="1" min="6" max="6"/>
    <col width="12" customWidth="1" min="7" max="7"/>
    <col width="14" customWidth="1" min="8" max="8"/>
  </cols>
  <sheetData>
    <row r="1">
      <c r="A1" s="1" t="inlineStr">
        <is>
          <t>DUKANDAR LEDGER (Auto-calculated)</t>
        </is>
      </c>
    </row>
    <row r="2">
      <c r="A2" s="7" t="inlineStr">
        <is>
          <t>From: Daily_Sales + Cash_Book (Type=DUKANDAR)</t>
        </is>
      </c>
    </row>
    <row r="3">
      <c r="A3" s="2" t="inlineStr">
        <is>
          <t>Sr</t>
        </is>
      </c>
      <c r="B3" s="2" t="inlineStr">
        <is>
          <t>Dukandar</t>
        </is>
      </c>
      <c r="C3" s="2" t="inlineStr">
        <is>
          <t>Opening</t>
        </is>
      </c>
      <c r="D3" s="2" t="inlineStr">
        <is>
          <t>Purchases</t>
        </is>
      </c>
      <c r="E3" s="2" t="inlineStr">
        <is>
          <t>Discounts</t>
        </is>
      </c>
      <c r="F3" s="2" t="inlineStr">
        <is>
          <t>Net Receivable</t>
        </is>
      </c>
      <c r="G3" s="2" t="inlineStr">
        <is>
          <t>Receipts</t>
        </is>
      </c>
      <c r="H3" s="2" t="inlineStr">
        <is>
          <t>BALANCE</t>
        </is>
      </c>
    </row>
    <row r="4">
      <c r="A4" t="n">
        <v>1</v>
      </c>
      <c r="B4">
        <f>IF(Masters!$I$3="","",Masters!$I$3)</f>
        <v/>
      </c>
      <c r="C4" s="11">
        <f>IF(B4="",0,Masters!$J$3)</f>
        <v/>
      </c>
      <c r="D4" s="11">
        <f>SUMIF(Daily_Sales!$D:$D,B4,Daily_Sales!$G:$G)</f>
        <v/>
      </c>
      <c r="E4" s="11">
        <f>SUMIF(Daily_Sales!$D:$D,B4,Daily_Sales!$H:$H)</f>
        <v/>
      </c>
      <c r="F4" s="9">
        <f>IF(B4="","",D4-E4+C4)</f>
        <v/>
      </c>
      <c r="G4" s="11">
        <f>SUMIFS(Cash_Book!$I:$I,Cash_Book!$C:$C,"DUKANDAR",Cash_Book!$D:$D,"RECEIPT",Cash_Book!$E:$E,B4)+SUMIFS(Cash_Book!$J:$J,Cash_Book!$C:$C,"DUKANDAR",Cash_Book!$D:$D,"RECEIPT",Cash_Book!$E:$E,B4)</f>
        <v/>
      </c>
      <c r="H4" s="14">
        <f>IF(B4="","",F4-G4)</f>
        <v/>
      </c>
    </row>
    <row r="5">
      <c r="A5" t="n">
        <v>2</v>
      </c>
      <c r="B5">
        <f>IF(Masters!$I$4="","",Masters!$I$4)</f>
        <v/>
      </c>
      <c r="C5" s="11">
        <f>IF(B5="",0,Masters!$J$4)</f>
        <v/>
      </c>
      <c r="D5" s="11">
        <f>SUMIF(Daily_Sales!$D:$D,B5,Daily_Sales!$G:$G)</f>
        <v/>
      </c>
      <c r="E5" s="11">
        <f>SUMIF(Daily_Sales!$D:$D,B5,Daily_Sales!$H:$H)</f>
        <v/>
      </c>
      <c r="F5" s="9">
        <f>IF(B5="","",D5-E5+C5)</f>
        <v/>
      </c>
      <c r="G5" s="11">
        <f>SUMIFS(Cash_Book!$I:$I,Cash_Book!$C:$C,"DUKANDAR",Cash_Book!$D:$D,"RECEIPT",Cash_Book!$E:$E,B5)+SUMIFS(Cash_Book!$J:$J,Cash_Book!$C:$C,"DUKANDAR",Cash_Book!$D:$D,"RECEIPT",Cash_Book!$E:$E,B5)</f>
        <v/>
      </c>
      <c r="H5" s="14">
        <f>IF(B5="","",F5-G5)</f>
        <v/>
      </c>
    </row>
    <row r="6">
      <c r="A6" t="n">
        <v>3</v>
      </c>
      <c r="B6">
        <f>IF(Masters!$I$5="","",Masters!$I$5)</f>
        <v/>
      </c>
      <c r="C6" s="11">
        <f>IF(B6="",0,Masters!$J$5)</f>
        <v/>
      </c>
      <c r="D6" s="11">
        <f>SUMIF(Daily_Sales!$D:$D,B6,Daily_Sales!$G:$G)</f>
        <v/>
      </c>
      <c r="E6" s="11">
        <f>SUMIF(Daily_Sales!$D:$D,B6,Daily_Sales!$H:$H)</f>
        <v/>
      </c>
      <c r="F6" s="9">
        <f>IF(B6="","",D6-E6+C6)</f>
        <v/>
      </c>
      <c r="G6" s="11">
        <f>SUMIFS(Cash_Book!$I:$I,Cash_Book!$C:$C,"DUKANDAR",Cash_Book!$D:$D,"RECEIPT",Cash_Book!$E:$E,B6)+SUMIFS(Cash_Book!$J:$J,Cash_Book!$C:$C,"DUKANDAR",Cash_Book!$D:$D,"RECEIPT",Cash_Book!$E:$E,B6)</f>
        <v/>
      </c>
      <c r="H6" s="14">
        <f>IF(B6="","",F6-G6)</f>
        <v/>
      </c>
    </row>
    <row r="7">
      <c r="A7" t="n">
        <v>4</v>
      </c>
      <c r="B7">
        <f>IF(Masters!$I$6="","",Masters!$I$6)</f>
        <v/>
      </c>
      <c r="C7" s="11">
        <f>IF(B7="",0,Masters!$J$6)</f>
        <v/>
      </c>
      <c r="D7" s="11">
        <f>SUMIF(Daily_Sales!$D:$D,B7,Daily_Sales!$G:$G)</f>
        <v/>
      </c>
      <c r="E7" s="11">
        <f>SUMIF(Daily_Sales!$D:$D,B7,Daily_Sales!$H:$H)</f>
        <v/>
      </c>
      <c r="F7" s="9">
        <f>IF(B7="","",D7-E7+C7)</f>
        <v/>
      </c>
      <c r="G7" s="11">
        <f>SUMIFS(Cash_Book!$I:$I,Cash_Book!$C:$C,"DUKANDAR",Cash_Book!$D:$D,"RECEIPT",Cash_Book!$E:$E,B7)+SUMIFS(Cash_Book!$J:$J,Cash_Book!$C:$C,"DUKANDAR",Cash_Book!$D:$D,"RECEIPT",Cash_Book!$E:$E,B7)</f>
        <v/>
      </c>
      <c r="H7" s="14">
        <f>IF(B7="","",F7-G7)</f>
        <v/>
      </c>
    </row>
    <row r="8">
      <c r="A8" t="n">
        <v>5</v>
      </c>
      <c r="B8">
        <f>IF(Masters!$I$7="","",Masters!$I$7)</f>
        <v/>
      </c>
      <c r="C8" s="11">
        <f>IF(B8="",0,Masters!$J$7)</f>
        <v/>
      </c>
      <c r="D8" s="11">
        <f>SUMIF(Daily_Sales!$D:$D,B8,Daily_Sales!$G:$G)</f>
        <v/>
      </c>
      <c r="E8" s="11">
        <f>SUMIF(Daily_Sales!$D:$D,B8,Daily_Sales!$H:$H)</f>
        <v/>
      </c>
      <c r="F8" s="9">
        <f>IF(B8="","",D8-E8+C8)</f>
        <v/>
      </c>
      <c r="G8" s="11">
        <f>SUMIFS(Cash_Book!$I:$I,Cash_Book!$C:$C,"DUKANDAR",Cash_Book!$D:$D,"RECEIPT",Cash_Book!$E:$E,B8)+SUMIFS(Cash_Book!$J:$J,Cash_Book!$C:$C,"DUKANDAR",Cash_Book!$D:$D,"RECEIPT",Cash_Book!$E:$E,B8)</f>
        <v/>
      </c>
      <c r="H8" s="14">
        <f>IF(B8="","",F8-G8)</f>
        <v/>
      </c>
    </row>
    <row r="9">
      <c r="A9" t="n">
        <v>6</v>
      </c>
      <c r="B9">
        <f>IF(Masters!$I$8="","",Masters!$I$8)</f>
        <v/>
      </c>
      <c r="C9" s="11">
        <f>IF(B9="",0,Masters!$J$8)</f>
        <v/>
      </c>
      <c r="D9" s="11">
        <f>SUMIF(Daily_Sales!$D:$D,B9,Daily_Sales!$G:$G)</f>
        <v/>
      </c>
      <c r="E9" s="11">
        <f>SUMIF(Daily_Sales!$D:$D,B9,Daily_Sales!$H:$H)</f>
        <v/>
      </c>
      <c r="F9" s="9">
        <f>IF(B9="","",D9-E9+C9)</f>
        <v/>
      </c>
      <c r="G9" s="11">
        <f>SUMIFS(Cash_Book!$I:$I,Cash_Book!$C:$C,"DUKANDAR",Cash_Book!$D:$D,"RECEIPT",Cash_Book!$E:$E,B9)+SUMIFS(Cash_Book!$J:$J,Cash_Book!$C:$C,"DUKANDAR",Cash_Book!$D:$D,"RECEIPT",Cash_Book!$E:$E,B9)</f>
        <v/>
      </c>
      <c r="H9" s="14">
        <f>IF(B9="","",F9-G9)</f>
        <v/>
      </c>
    </row>
    <row r="10">
      <c r="A10" t="n">
        <v>7</v>
      </c>
      <c r="B10">
        <f>IF(Masters!$I$9="","",Masters!$I$9)</f>
        <v/>
      </c>
      <c r="C10" s="11">
        <f>IF(B10="",0,Masters!$J$9)</f>
        <v/>
      </c>
      <c r="D10" s="11">
        <f>SUMIF(Daily_Sales!$D:$D,B10,Daily_Sales!$G:$G)</f>
        <v/>
      </c>
      <c r="E10" s="11">
        <f>SUMIF(Daily_Sales!$D:$D,B10,Daily_Sales!$H:$H)</f>
        <v/>
      </c>
      <c r="F10" s="9">
        <f>IF(B10="","",D10-E10+C10)</f>
        <v/>
      </c>
      <c r="G10" s="11">
        <f>SUMIFS(Cash_Book!$I:$I,Cash_Book!$C:$C,"DUKANDAR",Cash_Book!$D:$D,"RECEIPT",Cash_Book!$E:$E,B10)+SUMIFS(Cash_Book!$J:$J,Cash_Book!$C:$C,"DUKANDAR",Cash_Book!$D:$D,"RECEIPT",Cash_Book!$E:$E,B10)</f>
        <v/>
      </c>
      <c r="H10" s="14">
        <f>IF(B10="","",F10-G10)</f>
        <v/>
      </c>
    </row>
    <row r="11">
      <c r="A11" t="n">
        <v>8</v>
      </c>
      <c r="B11">
        <f>IF(Masters!$I$10="","",Masters!$I$10)</f>
        <v/>
      </c>
      <c r="C11" s="11">
        <f>IF(B11="",0,Masters!$J$10)</f>
        <v/>
      </c>
      <c r="D11" s="11">
        <f>SUMIF(Daily_Sales!$D:$D,B11,Daily_Sales!$G:$G)</f>
        <v/>
      </c>
      <c r="E11" s="11">
        <f>SUMIF(Daily_Sales!$D:$D,B11,Daily_Sales!$H:$H)</f>
        <v/>
      </c>
      <c r="F11" s="9">
        <f>IF(B11="","",D11-E11+C11)</f>
        <v/>
      </c>
      <c r="G11" s="11">
        <f>SUMIFS(Cash_Book!$I:$I,Cash_Book!$C:$C,"DUKANDAR",Cash_Book!$D:$D,"RECEIPT",Cash_Book!$E:$E,B11)+SUMIFS(Cash_Book!$J:$J,Cash_Book!$C:$C,"DUKANDAR",Cash_Book!$D:$D,"RECEIPT",Cash_Book!$E:$E,B11)</f>
        <v/>
      </c>
      <c r="H11" s="14">
        <f>IF(B11="","",F11-G11)</f>
        <v/>
      </c>
    </row>
    <row r="12">
      <c r="A12" t="n">
        <v>9</v>
      </c>
      <c r="B12">
        <f>IF(Masters!$I$11="","",Masters!$I$11)</f>
        <v/>
      </c>
      <c r="C12" s="11">
        <f>IF(B12="",0,Masters!$J$11)</f>
        <v/>
      </c>
      <c r="D12" s="11">
        <f>SUMIF(Daily_Sales!$D:$D,B12,Daily_Sales!$G:$G)</f>
        <v/>
      </c>
      <c r="E12" s="11">
        <f>SUMIF(Daily_Sales!$D:$D,B12,Daily_Sales!$H:$H)</f>
        <v/>
      </c>
      <c r="F12" s="9">
        <f>IF(B12="","",D12-E12+C12)</f>
        <v/>
      </c>
      <c r="G12" s="11">
        <f>SUMIFS(Cash_Book!$I:$I,Cash_Book!$C:$C,"DUKANDAR",Cash_Book!$D:$D,"RECEIPT",Cash_Book!$E:$E,B12)+SUMIFS(Cash_Book!$J:$J,Cash_Book!$C:$C,"DUKANDAR",Cash_Book!$D:$D,"RECEIPT",Cash_Book!$E:$E,B12)</f>
        <v/>
      </c>
      <c r="H12" s="14">
        <f>IF(B12="","",F12-G12)</f>
        <v/>
      </c>
    </row>
    <row r="13">
      <c r="A13" t="n">
        <v>10</v>
      </c>
      <c r="B13">
        <f>IF(Masters!$I$12="","",Masters!$I$12)</f>
        <v/>
      </c>
      <c r="C13" s="11">
        <f>IF(B13="",0,Masters!$J$12)</f>
        <v/>
      </c>
      <c r="D13" s="11">
        <f>SUMIF(Daily_Sales!$D:$D,B13,Daily_Sales!$G:$G)</f>
        <v/>
      </c>
      <c r="E13" s="11">
        <f>SUMIF(Daily_Sales!$D:$D,B13,Daily_Sales!$H:$H)</f>
        <v/>
      </c>
      <c r="F13" s="9">
        <f>IF(B13="","",D13-E13+C13)</f>
        <v/>
      </c>
      <c r="G13" s="11">
        <f>SUMIFS(Cash_Book!$I:$I,Cash_Book!$C:$C,"DUKANDAR",Cash_Book!$D:$D,"RECEIPT",Cash_Book!$E:$E,B13)+SUMIFS(Cash_Book!$J:$J,Cash_Book!$C:$C,"DUKANDAR",Cash_Book!$D:$D,"RECEIPT",Cash_Book!$E:$E,B13)</f>
        <v/>
      </c>
      <c r="H13" s="14">
        <f>IF(B13="","",F13-G13)</f>
        <v/>
      </c>
    </row>
    <row r="14">
      <c r="A14" t="n">
        <v>11</v>
      </c>
      <c r="B14">
        <f>IF(Masters!$I$13="","",Masters!$I$13)</f>
        <v/>
      </c>
      <c r="C14" s="11">
        <f>IF(B14="",0,Masters!$J$13)</f>
        <v/>
      </c>
      <c r="D14" s="11">
        <f>SUMIF(Daily_Sales!$D:$D,B14,Daily_Sales!$G:$G)</f>
        <v/>
      </c>
      <c r="E14" s="11">
        <f>SUMIF(Daily_Sales!$D:$D,B14,Daily_Sales!$H:$H)</f>
        <v/>
      </c>
      <c r="F14" s="9">
        <f>IF(B14="","",D14-E14+C14)</f>
        <v/>
      </c>
      <c r="G14" s="11">
        <f>SUMIFS(Cash_Book!$I:$I,Cash_Book!$C:$C,"DUKANDAR",Cash_Book!$D:$D,"RECEIPT",Cash_Book!$E:$E,B14)+SUMIFS(Cash_Book!$J:$J,Cash_Book!$C:$C,"DUKANDAR",Cash_Book!$D:$D,"RECEIPT",Cash_Book!$E:$E,B14)</f>
        <v/>
      </c>
      <c r="H14" s="14">
        <f>IF(B14="","",F14-G14)</f>
        <v/>
      </c>
    </row>
    <row r="15">
      <c r="A15" t="n">
        <v>12</v>
      </c>
      <c r="B15">
        <f>IF(Masters!$I$14="","",Masters!$I$14)</f>
        <v/>
      </c>
      <c r="C15" s="11">
        <f>IF(B15="",0,Masters!$J$14)</f>
        <v/>
      </c>
      <c r="D15" s="11">
        <f>SUMIF(Daily_Sales!$D:$D,B15,Daily_Sales!$G:$G)</f>
        <v/>
      </c>
      <c r="E15" s="11">
        <f>SUMIF(Daily_Sales!$D:$D,B15,Daily_Sales!$H:$H)</f>
        <v/>
      </c>
      <c r="F15" s="9">
        <f>IF(B15="","",D15-E15+C15)</f>
        <v/>
      </c>
      <c r="G15" s="11">
        <f>SUMIFS(Cash_Book!$I:$I,Cash_Book!$C:$C,"DUKANDAR",Cash_Book!$D:$D,"RECEIPT",Cash_Book!$E:$E,B15)+SUMIFS(Cash_Book!$J:$J,Cash_Book!$C:$C,"DUKANDAR",Cash_Book!$D:$D,"RECEIPT",Cash_Book!$E:$E,B15)</f>
        <v/>
      </c>
      <c r="H15" s="14">
        <f>IF(B15="","",F15-G15)</f>
        <v/>
      </c>
    </row>
    <row r="16">
      <c r="A16" t="n">
        <v>13</v>
      </c>
      <c r="B16">
        <f>IF(Masters!$I$15="","",Masters!$I$15)</f>
        <v/>
      </c>
      <c r="C16" s="11">
        <f>IF(B16="",0,Masters!$J$15)</f>
        <v/>
      </c>
      <c r="D16" s="11">
        <f>SUMIF(Daily_Sales!$D:$D,B16,Daily_Sales!$G:$G)</f>
        <v/>
      </c>
      <c r="E16" s="11">
        <f>SUMIF(Daily_Sales!$D:$D,B16,Daily_Sales!$H:$H)</f>
        <v/>
      </c>
      <c r="F16" s="9">
        <f>IF(B16="","",D16-E16+C16)</f>
        <v/>
      </c>
      <c r="G16" s="11">
        <f>SUMIFS(Cash_Book!$I:$I,Cash_Book!$C:$C,"DUKANDAR",Cash_Book!$D:$D,"RECEIPT",Cash_Book!$E:$E,B16)+SUMIFS(Cash_Book!$J:$J,Cash_Book!$C:$C,"DUKANDAR",Cash_Book!$D:$D,"RECEIPT",Cash_Book!$E:$E,B16)</f>
        <v/>
      </c>
      <c r="H16" s="14">
        <f>IF(B16="","",F16-G16)</f>
        <v/>
      </c>
    </row>
    <row r="17">
      <c r="A17" t="n">
        <v>14</v>
      </c>
      <c r="B17">
        <f>IF(Masters!$I$16="","",Masters!$I$16)</f>
        <v/>
      </c>
      <c r="C17" s="11">
        <f>IF(B17="",0,Masters!$J$16)</f>
        <v/>
      </c>
      <c r="D17" s="11">
        <f>SUMIF(Daily_Sales!$D:$D,B17,Daily_Sales!$G:$G)</f>
        <v/>
      </c>
      <c r="E17" s="11">
        <f>SUMIF(Daily_Sales!$D:$D,B17,Daily_Sales!$H:$H)</f>
        <v/>
      </c>
      <c r="F17" s="9">
        <f>IF(B17="","",D17-E17+C17)</f>
        <v/>
      </c>
      <c r="G17" s="11">
        <f>SUMIFS(Cash_Book!$I:$I,Cash_Book!$C:$C,"DUKANDAR",Cash_Book!$D:$D,"RECEIPT",Cash_Book!$E:$E,B17)+SUMIFS(Cash_Book!$J:$J,Cash_Book!$C:$C,"DUKANDAR",Cash_Book!$D:$D,"RECEIPT",Cash_Book!$E:$E,B17)</f>
        <v/>
      </c>
      <c r="H17" s="14">
        <f>IF(B17="","",F17-G17)</f>
        <v/>
      </c>
    </row>
    <row r="18">
      <c r="A18" t="n">
        <v>15</v>
      </c>
      <c r="B18">
        <f>IF(Masters!$I$17="","",Masters!$I$17)</f>
        <v/>
      </c>
      <c r="C18" s="11">
        <f>IF(B18="",0,Masters!$J$17)</f>
        <v/>
      </c>
      <c r="D18" s="11">
        <f>SUMIF(Daily_Sales!$D:$D,B18,Daily_Sales!$G:$G)</f>
        <v/>
      </c>
      <c r="E18" s="11">
        <f>SUMIF(Daily_Sales!$D:$D,B18,Daily_Sales!$H:$H)</f>
        <v/>
      </c>
      <c r="F18" s="9">
        <f>IF(B18="","",D18-E18+C18)</f>
        <v/>
      </c>
      <c r="G18" s="11">
        <f>SUMIFS(Cash_Book!$I:$I,Cash_Book!$C:$C,"DUKANDAR",Cash_Book!$D:$D,"RECEIPT",Cash_Book!$E:$E,B18)+SUMIFS(Cash_Book!$J:$J,Cash_Book!$C:$C,"DUKANDAR",Cash_Book!$D:$D,"RECEIPT",Cash_Book!$E:$E,B18)</f>
        <v/>
      </c>
      <c r="H18" s="14">
        <f>IF(B18="","",F18-G18)</f>
        <v/>
      </c>
    </row>
    <row r="19">
      <c r="A19" t="n">
        <v>16</v>
      </c>
      <c r="B19">
        <f>IF(Masters!$I$18="","",Masters!$I$18)</f>
        <v/>
      </c>
      <c r="C19" s="11">
        <f>IF(B19="",0,Masters!$J$18)</f>
        <v/>
      </c>
      <c r="D19" s="11">
        <f>SUMIF(Daily_Sales!$D:$D,B19,Daily_Sales!$G:$G)</f>
        <v/>
      </c>
      <c r="E19" s="11">
        <f>SUMIF(Daily_Sales!$D:$D,B19,Daily_Sales!$H:$H)</f>
        <v/>
      </c>
      <c r="F19" s="9">
        <f>IF(B19="","",D19-E19+C19)</f>
        <v/>
      </c>
      <c r="G19" s="11">
        <f>SUMIFS(Cash_Book!$I:$I,Cash_Book!$C:$C,"DUKANDAR",Cash_Book!$D:$D,"RECEIPT",Cash_Book!$E:$E,B19)+SUMIFS(Cash_Book!$J:$J,Cash_Book!$C:$C,"DUKANDAR",Cash_Book!$D:$D,"RECEIPT",Cash_Book!$E:$E,B19)</f>
        <v/>
      </c>
      <c r="H19" s="14">
        <f>IF(B19="","",F19-G19)</f>
        <v/>
      </c>
    </row>
    <row r="20">
      <c r="A20" t="n">
        <v>17</v>
      </c>
      <c r="B20">
        <f>IF(Masters!$I$19="","",Masters!$I$19)</f>
        <v/>
      </c>
      <c r="C20" s="11">
        <f>IF(B20="",0,Masters!$J$19)</f>
        <v/>
      </c>
      <c r="D20" s="11">
        <f>SUMIF(Daily_Sales!$D:$D,B20,Daily_Sales!$G:$G)</f>
        <v/>
      </c>
      <c r="E20" s="11">
        <f>SUMIF(Daily_Sales!$D:$D,B20,Daily_Sales!$H:$H)</f>
        <v/>
      </c>
      <c r="F20" s="9">
        <f>IF(B20="","",D20-E20+C20)</f>
        <v/>
      </c>
      <c r="G20" s="11">
        <f>SUMIFS(Cash_Book!$I:$I,Cash_Book!$C:$C,"DUKANDAR",Cash_Book!$D:$D,"RECEIPT",Cash_Book!$E:$E,B20)+SUMIFS(Cash_Book!$J:$J,Cash_Book!$C:$C,"DUKANDAR",Cash_Book!$D:$D,"RECEIPT",Cash_Book!$E:$E,B20)</f>
        <v/>
      </c>
      <c r="H20" s="14">
        <f>IF(B20="","",F20-G20)</f>
        <v/>
      </c>
    </row>
    <row r="21">
      <c r="A21" t="n">
        <v>18</v>
      </c>
      <c r="B21">
        <f>IF(Masters!$I$20="","",Masters!$I$20)</f>
        <v/>
      </c>
      <c r="C21" s="11">
        <f>IF(B21="",0,Masters!$J$20)</f>
        <v/>
      </c>
      <c r="D21" s="11">
        <f>SUMIF(Daily_Sales!$D:$D,B21,Daily_Sales!$G:$G)</f>
        <v/>
      </c>
      <c r="E21" s="11">
        <f>SUMIF(Daily_Sales!$D:$D,B21,Daily_Sales!$H:$H)</f>
        <v/>
      </c>
      <c r="F21" s="9">
        <f>IF(B21="","",D21-E21+C21)</f>
        <v/>
      </c>
      <c r="G21" s="11">
        <f>SUMIFS(Cash_Book!$I:$I,Cash_Book!$C:$C,"DUKANDAR",Cash_Book!$D:$D,"RECEIPT",Cash_Book!$E:$E,B21)+SUMIFS(Cash_Book!$J:$J,Cash_Book!$C:$C,"DUKANDAR",Cash_Book!$D:$D,"RECEIPT",Cash_Book!$E:$E,B21)</f>
        <v/>
      </c>
      <c r="H21" s="14">
        <f>IF(B21="","",F21-G21)</f>
        <v/>
      </c>
    </row>
    <row r="22">
      <c r="A22" t="n">
        <v>19</v>
      </c>
      <c r="B22">
        <f>IF(Masters!$I$21="","",Masters!$I$21)</f>
        <v/>
      </c>
      <c r="C22" s="11">
        <f>IF(B22="",0,Masters!$J$21)</f>
        <v/>
      </c>
      <c r="D22" s="11">
        <f>SUMIF(Daily_Sales!$D:$D,B22,Daily_Sales!$G:$G)</f>
        <v/>
      </c>
      <c r="E22" s="11">
        <f>SUMIF(Daily_Sales!$D:$D,B22,Daily_Sales!$H:$H)</f>
        <v/>
      </c>
      <c r="F22" s="9">
        <f>IF(B22="","",D22-E22+C22)</f>
        <v/>
      </c>
      <c r="G22" s="11">
        <f>SUMIFS(Cash_Book!$I:$I,Cash_Book!$C:$C,"DUKANDAR",Cash_Book!$D:$D,"RECEIPT",Cash_Book!$E:$E,B22)+SUMIFS(Cash_Book!$J:$J,Cash_Book!$C:$C,"DUKANDAR",Cash_Book!$D:$D,"RECEIPT",Cash_Book!$E:$E,B22)</f>
        <v/>
      </c>
      <c r="H22" s="14">
        <f>IF(B22="","",F22-G22)</f>
        <v/>
      </c>
    </row>
    <row r="23">
      <c r="A23" t="n">
        <v>20</v>
      </c>
      <c r="B23">
        <f>IF(Masters!$I$22="","",Masters!$I$22)</f>
        <v/>
      </c>
      <c r="C23" s="11">
        <f>IF(B23="",0,Masters!$J$22)</f>
        <v/>
      </c>
      <c r="D23" s="11">
        <f>SUMIF(Daily_Sales!$D:$D,B23,Daily_Sales!$G:$G)</f>
        <v/>
      </c>
      <c r="E23" s="11">
        <f>SUMIF(Daily_Sales!$D:$D,B23,Daily_Sales!$H:$H)</f>
        <v/>
      </c>
      <c r="F23" s="9">
        <f>IF(B23="","",D23-E23+C23)</f>
        <v/>
      </c>
      <c r="G23" s="11">
        <f>SUMIFS(Cash_Book!$I:$I,Cash_Book!$C:$C,"DUKANDAR",Cash_Book!$D:$D,"RECEIPT",Cash_Book!$E:$E,B23)+SUMIFS(Cash_Book!$J:$J,Cash_Book!$C:$C,"DUKANDAR",Cash_Book!$D:$D,"RECEIPT",Cash_Book!$E:$E,B23)</f>
        <v/>
      </c>
      <c r="H23" s="14">
        <f>IF(B23="","",F23-G23)</f>
        <v/>
      </c>
    </row>
    <row r="24">
      <c r="A24" t="n">
        <v>21</v>
      </c>
      <c r="B24">
        <f>IF(Masters!$I$23="","",Masters!$I$23)</f>
        <v/>
      </c>
      <c r="C24" s="11">
        <f>IF(B24="",0,Masters!$J$23)</f>
        <v/>
      </c>
      <c r="D24" s="11">
        <f>SUMIF(Daily_Sales!$D:$D,B24,Daily_Sales!$G:$G)</f>
        <v/>
      </c>
      <c r="E24" s="11">
        <f>SUMIF(Daily_Sales!$D:$D,B24,Daily_Sales!$H:$H)</f>
        <v/>
      </c>
      <c r="F24" s="9">
        <f>IF(B24="","",D24-E24+C24)</f>
        <v/>
      </c>
      <c r="G24" s="11">
        <f>SUMIFS(Cash_Book!$I:$I,Cash_Book!$C:$C,"DUKANDAR",Cash_Book!$D:$D,"RECEIPT",Cash_Book!$E:$E,B24)+SUMIFS(Cash_Book!$J:$J,Cash_Book!$C:$C,"DUKANDAR",Cash_Book!$D:$D,"RECEIPT",Cash_Book!$E:$E,B24)</f>
        <v/>
      </c>
      <c r="H24" s="14">
        <f>IF(B24="","",F24-G24)</f>
        <v/>
      </c>
    </row>
    <row r="25">
      <c r="A25" t="n">
        <v>22</v>
      </c>
      <c r="B25">
        <f>IF(Masters!$I$24="","",Masters!$I$24)</f>
        <v/>
      </c>
      <c r="C25" s="11">
        <f>IF(B25="",0,Masters!$J$24)</f>
        <v/>
      </c>
      <c r="D25" s="11">
        <f>SUMIF(Daily_Sales!$D:$D,B25,Daily_Sales!$G:$G)</f>
        <v/>
      </c>
      <c r="E25" s="11">
        <f>SUMIF(Daily_Sales!$D:$D,B25,Daily_Sales!$H:$H)</f>
        <v/>
      </c>
      <c r="F25" s="9">
        <f>IF(B25="","",D25-E25+C25)</f>
        <v/>
      </c>
      <c r="G25" s="11">
        <f>SUMIFS(Cash_Book!$I:$I,Cash_Book!$C:$C,"DUKANDAR",Cash_Book!$D:$D,"RECEIPT",Cash_Book!$E:$E,B25)+SUMIFS(Cash_Book!$J:$J,Cash_Book!$C:$C,"DUKANDAR",Cash_Book!$D:$D,"RECEIPT",Cash_Book!$E:$E,B25)</f>
        <v/>
      </c>
      <c r="H25" s="14">
        <f>IF(B25="","",F25-G25)</f>
        <v/>
      </c>
    </row>
    <row r="26">
      <c r="A26" t="n">
        <v>23</v>
      </c>
      <c r="B26">
        <f>IF(Masters!$I$25="","",Masters!$I$25)</f>
        <v/>
      </c>
      <c r="C26" s="11">
        <f>IF(B26="",0,Masters!$J$25)</f>
        <v/>
      </c>
      <c r="D26" s="11">
        <f>SUMIF(Daily_Sales!$D:$D,B26,Daily_Sales!$G:$G)</f>
        <v/>
      </c>
      <c r="E26" s="11">
        <f>SUMIF(Daily_Sales!$D:$D,B26,Daily_Sales!$H:$H)</f>
        <v/>
      </c>
      <c r="F26" s="9">
        <f>IF(B26="","",D26-E26+C26)</f>
        <v/>
      </c>
      <c r="G26" s="11">
        <f>SUMIFS(Cash_Book!$I:$I,Cash_Book!$C:$C,"DUKANDAR",Cash_Book!$D:$D,"RECEIPT",Cash_Book!$E:$E,B26)+SUMIFS(Cash_Book!$J:$J,Cash_Book!$C:$C,"DUKANDAR",Cash_Book!$D:$D,"RECEIPT",Cash_Book!$E:$E,B26)</f>
        <v/>
      </c>
      <c r="H26" s="14">
        <f>IF(B26="","",F26-G26)</f>
        <v/>
      </c>
    </row>
    <row r="27">
      <c r="A27" t="n">
        <v>24</v>
      </c>
      <c r="B27">
        <f>IF(Masters!$I$26="","",Masters!$I$26)</f>
        <v/>
      </c>
      <c r="C27" s="11">
        <f>IF(B27="",0,Masters!$J$26)</f>
        <v/>
      </c>
      <c r="D27" s="11">
        <f>SUMIF(Daily_Sales!$D:$D,B27,Daily_Sales!$G:$G)</f>
        <v/>
      </c>
      <c r="E27" s="11">
        <f>SUMIF(Daily_Sales!$D:$D,B27,Daily_Sales!$H:$H)</f>
        <v/>
      </c>
      <c r="F27" s="9">
        <f>IF(B27="","",D27-E27+C27)</f>
        <v/>
      </c>
      <c r="G27" s="11">
        <f>SUMIFS(Cash_Book!$I:$I,Cash_Book!$C:$C,"DUKANDAR",Cash_Book!$D:$D,"RECEIPT",Cash_Book!$E:$E,B27)+SUMIFS(Cash_Book!$J:$J,Cash_Book!$C:$C,"DUKANDAR",Cash_Book!$D:$D,"RECEIPT",Cash_Book!$E:$E,B27)</f>
        <v/>
      </c>
      <c r="H27" s="14">
        <f>IF(B27="","",F27-G27)</f>
        <v/>
      </c>
    </row>
    <row r="28">
      <c r="A28" t="n">
        <v>25</v>
      </c>
      <c r="B28">
        <f>IF(Masters!$I$27="","",Masters!$I$27)</f>
        <v/>
      </c>
      <c r="C28" s="11">
        <f>IF(B28="",0,Masters!$J$27)</f>
        <v/>
      </c>
      <c r="D28" s="11">
        <f>SUMIF(Daily_Sales!$D:$D,B28,Daily_Sales!$G:$G)</f>
        <v/>
      </c>
      <c r="E28" s="11">
        <f>SUMIF(Daily_Sales!$D:$D,B28,Daily_Sales!$H:$H)</f>
        <v/>
      </c>
      <c r="F28" s="9">
        <f>IF(B28="","",D28-E28+C28)</f>
        <v/>
      </c>
      <c r="G28" s="11">
        <f>SUMIFS(Cash_Book!$I:$I,Cash_Book!$C:$C,"DUKANDAR",Cash_Book!$D:$D,"RECEIPT",Cash_Book!$E:$E,B28)+SUMIFS(Cash_Book!$J:$J,Cash_Book!$C:$C,"DUKANDAR",Cash_Book!$D:$D,"RECEIPT",Cash_Book!$E:$E,B28)</f>
        <v/>
      </c>
      <c r="H28" s="14">
        <f>IF(B28="","",F28-G28)</f>
        <v/>
      </c>
    </row>
    <row r="29">
      <c r="A29" t="n">
        <v>26</v>
      </c>
      <c r="B29">
        <f>IF(Masters!$I$28="","",Masters!$I$28)</f>
        <v/>
      </c>
      <c r="C29" s="11">
        <f>IF(B29="",0,Masters!$J$28)</f>
        <v/>
      </c>
      <c r="D29" s="11">
        <f>SUMIF(Daily_Sales!$D:$D,B29,Daily_Sales!$G:$G)</f>
        <v/>
      </c>
      <c r="E29" s="11">
        <f>SUMIF(Daily_Sales!$D:$D,B29,Daily_Sales!$H:$H)</f>
        <v/>
      </c>
      <c r="F29" s="9">
        <f>IF(B29="","",D29-E29+C29)</f>
        <v/>
      </c>
      <c r="G29" s="11">
        <f>SUMIFS(Cash_Book!$I:$I,Cash_Book!$C:$C,"DUKANDAR",Cash_Book!$D:$D,"RECEIPT",Cash_Book!$E:$E,B29)+SUMIFS(Cash_Book!$J:$J,Cash_Book!$C:$C,"DUKANDAR",Cash_Book!$D:$D,"RECEIPT",Cash_Book!$E:$E,B29)</f>
        <v/>
      </c>
      <c r="H29" s="14">
        <f>IF(B29="","",F29-G29)</f>
        <v/>
      </c>
    </row>
    <row r="30">
      <c r="A30" t="n">
        <v>27</v>
      </c>
      <c r="B30">
        <f>IF(Masters!$I$29="","",Masters!$I$29)</f>
        <v/>
      </c>
      <c r="C30" s="11">
        <f>IF(B30="",0,Masters!$J$29)</f>
        <v/>
      </c>
      <c r="D30" s="11">
        <f>SUMIF(Daily_Sales!$D:$D,B30,Daily_Sales!$G:$G)</f>
        <v/>
      </c>
      <c r="E30" s="11">
        <f>SUMIF(Daily_Sales!$D:$D,B30,Daily_Sales!$H:$H)</f>
        <v/>
      </c>
      <c r="F30" s="9">
        <f>IF(B30="","",D30-E30+C30)</f>
        <v/>
      </c>
      <c r="G30" s="11">
        <f>SUMIFS(Cash_Book!$I:$I,Cash_Book!$C:$C,"DUKANDAR",Cash_Book!$D:$D,"RECEIPT",Cash_Book!$E:$E,B30)+SUMIFS(Cash_Book!$J:$J,Cash_Book!$C:$C,"DUKANDAR",Cash_Book!$D:$D,"RECEIPT",Cash_Book!$E:$E,B30)</f>
        <v/>
      </c>
      <c r="H30" s="14">
        <f>IF(B30="","",F30-G30)</f>
        <v/>
      </c>
    </row>
    <row r="31">
      <c r="A31" t="n">
        <v>28</v>
      </c>
      <c r="B31">
        <f>IF(Masters!$I$30="","",Masters!$I$30)</f>
        <v/>
      </c>
      <c r="C31" s="11">
        <f>IF(B31="",0,Masters!$J$30)</f>
        <v/>
      </c>
      <c r="D31" s="11">
        <f>SUMIF(Daily_Sales!$D:$D,B31,Daily_Sales!$G:$G)</f>
        <v/>
      </c>
      <c r="E31" s="11">
        <f>SUMIF(Daily_Sales!$D:$D,B31,Daily_Sales!$H:$H)</f>
        <v/>
      </c>
      <c r="F31" s="9">
        <f>IF(B31="","",D31-E31+C31)</f>
        <v/>
      </c>
      <c r="G31" s="11">
        <f>SUMIFS(Cash_Book!$I:$I,Cash_Book!$C:$C,"DUKANDAR",Cash_Book!$D:$D,"RECEIPT",Cash_Book!$E:$E,B31)+SUMIFS(Cash_Book!$J:$J,Cash_Book!$C:$C,"DUKANDAR",Cash_Book!$D:$D,"RECEIPT",Cash_Book!$E:$E,B31)</f>
        <v/>
      </c>
      <c r="H31" s="14">
        <f>IF(B31="","",F31-G31)</f>
        <v/>
      </c>
    </row>
    <row r="32">
      <c r="A32" t="n">
        <v>29</v>
      </c>
      <c r="B32">
        <f>IF(Masters!$I$31="","",Masters!$I$31)</f>
        <v/>
      </c>
      <c r="C32" s="11">
        <f>IF(B32="",0,Masters!$J$31)</f>
        <v/>
      </c>
      <c r="D32" s="11">
        <f>SUMIF(Daily_Sales!$D:$D,B32,Daily_Sales!$G:$G)</f>
        <v/>
      </c>
      <c r="E32" s="11">
        <f>SUMIF(Daily_Sales!$D:$D,B32,Daily_Sales!$H:$H)</f>
        <v/>
      </c>
      <c r="F32" s="9">
        <f>IF(B32="","",D32-E32+C32)</f>
        <v/>
      </c>
      <c r="G32" s="11">
        <f>SUMIFS(Cash_Book!$I:$I,Cash_Book!$C:$C,"DUKANDAR",Cash_Book!$D:$D,"RECEIPT",Cash_Book!$E:$E,B32)+SUMIFS(Cash_Book!$J:$J,Cash_Book!$C:$C,"DUKANDAR",Cash_Book!$D:$D,"RECEIPT",Cash_Book!$E:$E,B32)</f>
        <v/>
      </c>
      <c r="H32" s="14">
        <f>IF(B32="","",F32-G32)</f>
        <v/>
      </c>
    </row>
    <row r="33">
      <c r="A33" t="n">
        <v>30</v>
      </c>
      <c r="B33">
        <f>IF(Masters!$I$32="","",Masters!$I$32)</f>
        <v/>
      </c>
      <c r="C33" s="11">
        <f>IF(B33="",0,Masters!$J$32)</f>
        <v/>
      </c>
      <c r="D33" s="11">
        <f>SUMIF(Daily_Sales!$D:$D,B33,Daily_Sales!$G:$G)</f>
        <v/>
      </c>
      <c r="E33" s="11">
        <f>SUMIF(Daily_Sales!$D:$D,B33,Daily_Sales!$H:$H)</f>
        <v/>
      </c>
      <c r="F33" s="9">
        <f>IF(B33="","",D33-E33+C33)</f>
        <v/>
      </c>
      <c r="G33" s="11">
        <f>SUMIFS(Cash_Book!$I:$I,Cash_Book!$C:$C,"DUKANDAR",Cash_Book!$D:$D,"RECEIPT",Cash_Book!$E:$E,B33)+SUMIFS(Cash_Book!$J:$J,Cash_Book!$C:$C,"DUKANDAR",Cash_Book!$D:$D,"RECEIPT",Cash_Book!$E:$E,B33)</f>
        <v/>
      </c>
      <c r="H33" s="14">
        <f>IF(B33="","",F33-G33)</f>
        <v/>
      </c>
    </row>
    <row r="34">
      <c r="A34" t="n">
        <v>31</v>
      </c>
      <c r="B34">
        <f>IF(Masters!$I$33="","",Masters!$I$33)</f>
        <v/>
      </c>
      <c r="C34" s="11">
        <f>IF(B34="",0,Masters!$J$33)</f>
        <v/>
      </c>
      <c r="D34" s="11">
        <f>SUMIF(Daily_Sales!$D:$D,B34,Daily_Sales!$G:$G)</f>
        <v/>
      </c>
      <c r="E34" s="11">
        <f>SUMIF(Daily_Sales!$D:$D,B34,Daily_Sales!$H:$H)</f>
        <v/>
      </c>
      <c r="F34" s="9">
        <f>IF(B34="","",D34-E34+C34)</f>
        <v/>
      </c>
      <c r="G34" s="11">
        <f>SUMIFS(Cash_Book!$I:$I,Cash_Book!$C:$C,"DUKANDAR",Cash_Book!$D:$D,"RECEIPT",Cash_Book!$E:$E,B34)+SUMIFS(Cash_Book!$J:$J,Cash_Book!$C:$C,"DUKANDAR",Cash_Book!$D:$D,"RECEIPT",Cash_Book!$E:$E,B34)</f>
        <v/>
      </c>
      <c r="H34" s="14">
        <f>IF(B34="","",F34-G34)</f>
        <v/>
      </c>
    </row>
    <row r="35">
      <c r="A35" t="n">
        <v>32</v>
      </c>
      <c r="B35">
        <f>IF(Masters!$I$34="","",Masters!$I$34)</f>
        <v/>
      </c>
      <c r="C35" s="11">
        <f>IF(B35="",0,Masters!$J$34)</f>
        <v/>
      </c>
      <c r="D35" s="11">
        <f>SUMIF(Daily_Sales!$D:$D,B35,Daily_Sales!$G:$G)</f>
        <v/>
      </c>
      <c r="E35" s="11">
        <f>SUMIF(Daily_Sales!$D:$D,B35,Daily_Sales!$H:$H)</f>
        <v/>
      </c>
      <c r="F35" s="9">
        <f>IF(B35="","",D35-E35+C35)</f>
        <v/>
      </c>
      <c r="G35" s="11">
        <f>SUMIFS(Cash_Book!$I:$I,Cash_Book!$C:$C,"DUKANDAR",Cash_Book!$D:$D,"RECEIPT",Cash_Book!$E:$E,B35)+SUMIFS(Cash_Book!$J:$J,Cash_Book!$C:$C,"DUKANDAR",Cash_Book!$D:$D,"RECEIPT",Cash_Book!$E:$E,B35)</f>
        <v/>
      </c>
      <c r="H35" s="14">
        <f>IF(B35="","",F35-G35)</f>
        <v/>
      </c>
    </row>
    <row r="36">
      <c r="A36" t="n">
        <v>33</v>
      </c>
      <c r="B36">
        <f>IF(Masters!$I$35="","",Masters!$I$35)</f>
        <v/>
      </c>
      <c r="C36" s="11">
        <f>IF(B36="",0,Masters!$J$35)</f>
        <v/>
      </c>
      <c r="D36" s="11">
        <f>SUMIF(Daily_Sales!$D:$D,B36,Daily_Sales!$G:$G)</f>
        <v/>
      </c>
      <c r="E36" s="11">
        <f>SUMIF(Daily_Sales!$D:$D,B36,Daily_Sales!$H:$H)</f>
        <v/>
      </c>
      <c r="F36" s="9">
        <f>IF(B36="","",D36-E36+C36)</f>
        <v/>
      </c>
      <c r="G36" s="11">
        <f>SUMIFS(Cash_Book!$I:$I,Cash_Book!$C:$C,"DUKANDAR",Cash_Book!$D:$D,"RECEIPT",Cash_Book!$E:$E,B36)+SUMIFS(Cash_Book!$J:$J,Cash_Book!$C:$C,"DUKANDAR",Cash_Book!$D:$D,"RECEIPT",Cash_Book!$E:$E,B36)</f>
        <v/>
      </c>
      <c r="H36" s="14">
        <f>IF(B36="","",F36-G36)</f>
        <v/>
      </c>
    </row>
    <row r="37">
      <c r="A37" t="n">
        <v>34</v>
      </c>
      <c r="B37">
        <f>IF(Masters!$I$36="","",Masters!$I$36)</f>
        <v/>
      </c>
      <c r="C37" s="11">
        <f>IF(B37="",0,Masters!$J$36)</f>
        <v/>
      </c>
      <c r="D37" s="11">
        <f>SUMIF(Daily_Sales!$D:$D,B37,Daily_Sales!$G:$G)</f>
        <v/>
      </c>
      <c r="E37" s="11">
        <f>SUMIF(Daily_Sales!$D:$D,B37,Daily_Sales!$H:$H)</f>
        <v/>
      </c>
      <c r="F37" s="9">
        <f>IF(B37="","",D37-E37+C37)</f>
        <v/>
      </c>
      <c r="G37" s="11">
        <f>SUMIFS(Cash_Book!$I:$I,Cash_Book!$C:$C,"DUKANDAR",Cash_Book!$D:$D,"RECEIPT",Cash_Book!$E:$E,B37)+SUMIFS(Cash_Book!$J:$J,Cash_Book!$C:$C,"DUKANDAR",Cash_Book!$D:$D,"RECEIPT",Cash_Book!$E:$E,B37)</f>
        <v/>
      </c>
      <c r="H37" s="14">
        <f>IF(B37="","",F37-G37)</f>
        <v/>
      </c>
    </row>
    <row r="38">
      <c r="A38" t="n">
        <v>35</v>
      </c>
      <c r="B38">
        <f>IF(Masters!$I$37="","",Masters!$I$37)</f>
        <v/>
      </c>
      <c r="C38" s="11">
        <f>IF(B38="",0,Masters!$J$37)</f>
        <v/>
      </c>
      <c r="D38" s="11">
        <f>SUMIF(Daily_Sales!$D:$D,B38,Daily_Sales!$G:$G)</f>
        <v/>
      </c>
      <c r="E38" s="11">
        <f>SUMIF(Daily_Sales!$D:$D,B38,Daily_Sales!$H:$H)</f>
        <v/>
      </c>
      <c r="F38" s="9">
        <f>IF(B38="","",D38-E38+C38)</f>
        <v/>
      </c>
      <c r="G38" s="11">
        <f>SUMIFS(Cash_Book!$I:$I,Cash_Book!$C:$C,"DUKANDAR",Cash_Book!$D:$D,"RECEIPT",Cash_Book!$E:$E,B38)+SUMIFS(Cash_Book!$J:$J,Cash_Book!$C:$C,"DUKANDAR",Cash_Book!$D:$D,"RECEIPT",Cash_Book!$E:$E,B38)</f>
        <v/>
      </c>
      <c r="H38" s="14">
        <f>IF(B38="","",F38-G38)</f>
        <v/>
      </c>
    </row>
    <row r="39">
      <c r="A39" t="n">
        <v>36</v>
      </c>
      <c r="B39">
        <f>IF(Masters!$I$38="","",Masters!$I$38)</f>
        <v/>
      </c>
      <c r="C39" s="11">
        <f>IF(B39="",0,Masters!$J$38)</f>
        <v/>
      </c>
      <c r="D39" s="11">
        <f>SUMIF(Daily_Sales!$D:$D,B39,Daily_Sales!$G:$G)</f>
        <v/>
      </c>
      <c r="E39" s="11">
        <f>SUMIF(Daily_Sales!$D:$D,B39,Daily_Sales!$H:$H)</f>
        <v/>
      </c>
      <c r="F39" s="9">
        <f>IF(B39="","",D39-E39+C39)</f>
        <v/>
      </c>
      <c r="G39" s="11">
        <f>SUMIFS(Cash_Book!$I:$I,Cash_Book!$C:$C,"DUKANDAR",Cash_Book!$D:$D,"RECEIPT",Cash_Book!$E:$E,B39)+SUMIFS(Cash_Book!$J:$J,Cash_Book!$C:$C,"DUKANDAR",Cash_Book!$D:$D,"RECEIPT",Cash_Book!$E:$E,B39)</f>
        <v/>
      </c>
      <c r="H39" s="14">
        <f>IF(B39="","",F39-G39)</f>
        <v/>
      </c>
    </row>
    <row r="40">
      <c r="A40" t="n">
        <v>37</v>
      </c>
      <c r="B40">
        <f>IF(Masters!$I$39="","",Masters!$I$39)</f>
        <v/>
      </c>
      <c r="C40" s="11">
        <f>IF(B40="",0,Masters!$J$39)</f>
        <v/>
      </c>
      <c r="D40" s="11">
        <f>SUMIF(Daily_Sales!$D:$D,B40,Daily_Sales!$G:$G)</f>
        <v/>
      </c>
      <c r="E40" s="11">
        <f>SUMIF(Daily_Sales!$D:$D,B40,Daily_Sales!$H:$H)</f>
        <v/>
      </c>
      <c r="F40" s="9">
        <f>IF(B40="","",D40-E40+C40)</f>
        <v/>
      </c>
      <c r="G40" s="11">
        <f>SUMIFS(Cash_Book!$I:$I,Cash_Book!$C:$C,"DUKANDAR",Cash_Book!$D:$D,"RECEIPT",Cash_Book!$E:$E,B40)+SUMIFS(Cash_Book!$J:$J,Cash_Book!$C:$C,"DUKANDAR",Cash_Book!$D:$D,"RECEIPT",Cash_Book!$E:$E,B40)</f>
        <v/>
      </c>
      <c r="H40" s="14">
        <f>IF(B40="","",F40-G40)</f>
        <v/>
      </c>
    </row>
    <row r="41">
      <c r="A41" t="n">
        <v>38</v>
      </c>
      <c r="B41">
        <f>IF(Masters!$I$40="","",Masters!$I$40)</f>
        <v/>
      </c>
      <c r="C41" s="11">
        <f>IF(B41="",0,Masters!$J$40)</f>
        <v/>
      </c>
      <c r="D41" s="11">
        <f>SUMIF(Daily_Sales!$D:$D,B41,Daily_Sales!$G:$G)</f>
        <v/>
      </c>
      <c r="E41" s="11">
        <f>SUMIF(Daily_Sales!$D:$D,B41,Daily_Sales!$H:$H)</f>
        <v/>
      </c>
      <c r="F41" s="9">
        <f>IF(B41="","",D41-E41+C41)</f>
        <v/>
      </c>
      <c r="G41" s="11">
        <f>SUMIFS(Cash_Book!$I:$I,Cash_Book!$C:$C,"DUKANDAR",Cash_Book!$D:$D,"RECEIPT",Cash_Book!$E:$E,B41)+SUMIFS(Cash_Book!$J:$J,Cash_Book!$C:$C,"DUKANDAR",Cash_Book!$D:$D,"RECEIPT",Cash_Book!$E:$E,B41)</f>
        <v/>
      </c>
      <c r="H41" s="14">
        <f>IF(B41="","",F41-G41)</f>
        <v/>
      </c>
    </row>
    <row r="42">
      <c r="A42" t="n">
        <v>39</v>
      </c>
      <c r="B42">
        <f>IF(Masters!$I$41="","",Masters!$I$41)</f>
        <v/>
      </c>
      <c r="C42" s="11">
        <f>IF(B42="",0,Masters!$J$41)</f>
        <v/>
      </c>
      <c r="D42" s="11">
        <f>SUMIF(Daily_Sales!$D:$D,B42,Daily_Sales!$G:$G)</f>
        <v/>
      </c>
      <c r="E42" s="11">
        <f>SUMIF(Daily_Sales!$D:$D,B42,Daily_Sales!$H:$H)</f>
        <v/>
      </c>
      <c r="F42" s="9">
        <f>IF(B42="","",D42-E42+C42)</f>
        <v/>
      </c>
      <c r="G42" s="11">
        <f>SUMIFS(Cash_Book!$I:$I,Cash_Book!$C:$C,"DUKANDAR",Cash_Book!$D:$D,"RECEIPT",Cash_Book!$E:$E,B42)+SUMIFS(Cash_Book!$J:$J,Cash_Book!$C:$C,"DUKANDAR",Cash_Book!$D:$D,"RECEIPT",Cash_Book!$E:$E,B42)</f>
        <v/>
      </c>
      <c r="H42" s="14">
        <f>IF(B42="","",F42-G42)</f>
        <v/>
      </c>
    </row>
    <row r="43">
      <c r="A43" t="n">
        <v>40</v>
      </c>
      <c r="B43">
        <f>IF(Masters!$I$42="","",Masters!$I$42)</f>
        <v/>
      </c>
      <c r="C43" s="11">
        <f>IF(B43="",0,Masters!$J$42)</f>
        <v/>
      </c>
      <c r="D43" s="11">
        <f>SUMIF(Daily_Sales!$D:$D,B43,Daily_Sales!$G:$G)</f>
        <v/>
      </c>
      <c r="E43" s="11">
        <f>SUMIF(Daily_Sales!$D:$D,B43,Daily_Sales!$H:$H)</f>
        <v/>
      </c>
      <c r="F43" s="9">
        <f>IF(B43="","",D43-E43+C43)</f>
        <v/>
      </c>
      <c r="G43" s="11">
        <f>SUMIFS(Cash_Book!$I:$I,Cash_Book!$C:$C,"DUKANDAR",Cash_Book!$D:$D,"RECEIPT",Cash_Book!$E:$E,B43)+SUMIFS(Cash_Book!$J:$J,Cash_Book!$C:$C,"DUKANDAR",Cash_Book!$D:$D,"RECEIPT",Cash_Book!$E:$E,B43)</f>
        <v/>
      </c>
      <c r="H43" s="14">
        <f>IF(B43="","",F43-G43)</f>
        <v/>
      </c>
    </row>
    <row r="44">
      <c r="A44" t="n">
        <v>41</v>
      </c>
      <c r="B44">
        <f>IF(Masters!$I$43="","",Masters!$I$43)</f>
        <v/>
      </c>
      <c r="C44" s="11">
        <f>IF(B44="",0,Masters!$J$43)</f>
        <v/>
      </c>
      <c r="D44" s="11">
        <f>SUMIF(Daily_Sales!$D:$D,B44,Daily_Sales!$G:$G)</f>
        <v/>
      </c>
      <c r="E44" s="11">
        <f>SUMIF(Daily_Sales!$D:$D,B44,Daily_Sales!$H:$H)</f>
        <v/>
      </c>
      <c r="F44" s="9">
        <f>IF(B44="","",D44-E44+C44)</f>
        <v/>
      </c>
      <c r="G44" s="11">
        <f>SUMIFS(Cash_Book!$I:$I,Cash_Book!$C:$C,"DUKANDAR",Cash_Book!$D:$D,"RECEIPT",Cash_Book!$E:$E,B44)+SUMIFS(Cash_Book!$J:$J,Cash_Book!$C:$C,"DUKANDAR",Cash_Book!$D:$D,"RECEIPT",Cash_Book!$E:$E,B44)</f>
        <v/>
      </c>
      <c r="H44" s="14">
        <f>IF(B44="","",F44-G44)</f>
        <v/>
      </c>
    </row>
    <row r="45">
      <c r="A45" t="n">
        <v>42</v>
      </c>
      <c r="B45">
        <f>IF(Masters!$I$44="","",Masters!$I$44)</f>
        <v/>
      </c>
      <c r="C45" s="11">
        <f>IF(B45="",0,Masters!$J$44)</f>
        <v/>
      </c>
      <c r="D45" s="11">
        <f>SUMIF(Daily_Sales!$D:$D,B45,Daily_Sales!$G:$G)</f>
        <v/>
      </c>
      <c r="E45" s="11">
        <f>SUMIF(Daily_Sales!$D:$D,B45,Daily_Sales!$H:$H)</f>
        <v/>
      </c>
      <c r="F45" s="9">
        <f>IF(B45="","",D45-E45+C45)</f>
        <v/>
      </c>
      <c r="G45" s="11">
        <f>SUMIFS(Cash_Book!$I:$I,Cash_Book!$C:$C,"DUKANDAR",Cash_Book!$D:$D,"RECEIPT",Cash_Book!$E:$E,B45)+SUMIFS(Cash_Book!$J:$J,Cash_Book!$C:$C,"DUKANDAR",Cash_Book!$D:$D,"RECEIPT",Cash_Book!$E:$E,B45)</f>
        <v/>
      </c>
      <c r="H45" s="14">
        <f>IF(B45="","",F45-G45)</f>
        <v/>
      </c>
    </row>
    <row r="46">
      <c r="A46" t="n">
        <v>43</v>
      </c>
      <c r="B46">
        <f>IF(Masters!$I$45="","",Masters!$I$45)</f>
        <v/>
      </c>
      <c r="C46" s="11">
        <f>IF(B46="",0,Masters!$J$45)</f>
        <v/>
      </c>
      <c r="D46" s="11">
        <f>SUMIF(Daily_Sales!$D:$D,B46,Daily_Sales!$G:$G)</f>
        <v/>
      </c>
      <c r="E46" s="11">
        <f>SUMIF(Daily_Sales!$D:$D,B46,Daily_Sales!$H:$H)</f>
        <v/>
      </c>
      <c r="F46" s="9">
        <f>IF(B46="","",D46-E46+C46)</f>
        <v/>
      </c>
      <c r="G46" s="11">
        <f>SUMIFS(Cash_Book!$I:$I,Cash_Book!$C:$C,"DUKANDAR",Cash_Book!$D:$D,"RECEIPT",Cash_Book!$E:$E,B46)+SUMIFS(Cash_Book!$J:$J,Cash_Book!$C:$C,"DUKANDAR",Cash_Book!$D:$D,"RECEIPT",Cash_Book!$E:$E,B46)</f>
        <v/>
      </c>
      <c r="H46" s="14">
        <f>IF(B46="","",F46-G46)</f>
        <v/>
      </c>
    </row>
    <row r="47">
      <c r="A47" t="n">
        <v>44</v>
      </c>
      <c r="B47">
        <f>IF(Masters!$I$46="","",Masters!$I$46)</f>
        <v/>
      </c>
      <c r="C47" s="11">
        <f>IF(B47="",0,Masters!$J$46)</f>
        <v/>
      </c>
      <c r="D47" s="11">
        <f>SUMIF(Daily_Sales!$D:$D,B47,Daily_Sales!$G:$G)</f>
        <v/>
      </c>
      <c r="E47" s="11">
        <f>SUMIF(Daily_Sales!$D:$D,B47,Daily_Sales!$H:$H)</f>
        <v/>
      </c>
      <c r="F47" s="9">
        <f>IF(B47="","",D47-E47+C47)</f>
        <v/>
      </c>
      <c r="G47" s="11">
        <f>SUMIFS(Cash_Book!$I:$I,Cash_Book!$C:$C,"DUKANDAR",Cash_Book!$D:$D,"RECEIPT",Cash_Book!$E:$E,B47)+SUMIFS(Cash_Book!$J:$J,Cash_Book!$C:$C,"DUKANDAR",Cash_Book!$D:$D,"RECEIPT",Cash_Book!$E:$E,B47)</f>
        <v/>
      </c>
      <c r="H47" s="14">
        <f>IF(B47="","",F47-G47)</f>
        <v/>
      </c>
    </row>
    <row r="48">
      <c r="A48" t="n">
        <v>45</v>
      </c>
      <c r="B48">
        <f>IF(Masters!$I$47="","",Masters!$I$47)</f>
        <v/>
      </c>
      <c r="C48" s="11">
        <f>IF(B48="",0,Masters!$J$47)</f>
        <v/>
      </c>
      <c r="D48" s="11">
        <f>SUMIF(Daily_Sales!$D:$D,B48,Daily_Sales!$G:$G)</f>
        <v/>
      </c>
      <c r="E48" s="11">
        <f>SUMIF(Daily_Sales!$D:$D,B48,Daily_Sales!$H:$H)</f>
        <v/>
      </c>
      <c r="F48" s="9">
        <f>IF(B48="","",D48-E48+C48)</f>
        <v/>
      </c>
      <c r="G48" s="11">
        <f>SUMIFS(Cash_Book!$I:$I,Cash_Book!$C:$C,"DUKANDAR",Cash_Book!$D:$D,"RECEIPT",Cash_Book!$E:$E,B48)+SUMIFS(Cash_Book!$J:$J,Cash_Book!$C:$C,"DUKANDAR",Cash_Book!$D:$D,"RECEIPT",Cash_Book!$E:$E,B48)</f>
        <v/>
      </c>
      <c r="H48" s="14">
        <f>IF(B48="","",F48-G48)</f>
        <v/>
      </c>
    </row>
    <row r="49">
      <c r="A49" t="n">
        <v>46</v>
      </c>
      <c r="B49">
        <f>IF(Masters!$I$48="","",Masters!$I$48)</f>
        <v/>
      </c>
      <c r="C49" s="11">
        <f>IF(B49="",0,Masters!$J$48)</f>
        <v/>
      </c>
      <c r="D49" s="11">
        <f>SUMIF(Daily_Sales!$D:$D,B49,Daily_Sales!$G:$G)</f>
        <v/>
      </c>
      <c r="E49" s="11">
        <f>SUMIF(Daily_Sales!$D:$D,B49,Daily_Sales!$H:$H)</f>
        <v/>
      </c>
      <c r="F49" s="9">
        <f>IF(B49="","",D49-E49+C49)</f>
        <v/>
      </c>
      <c r="G49" s="11">
        <f>SUMIFS(Cash_Book!$I:$I,Cash_Book!$C:$C,"DUKANDAR",Cash_Book!$D:$D,"RECEIPT",Cash_Book!$E:$E,B49)+SUMIFS(Cash_Book!$J:$J,Cash_Book!$C:$C,"DUKANDAR",Cash_Book!$D:$D,"RECEIPT",Cash_Book!$E:$E,B49)</f>
        <v/>
      </c>
      <c r="H49" s="14">
        <f>IF(B49="","",F49-G49)</f>
        <v/>
      </c>
    </row>
    <row r="50">
      <c r="A50" t="n">
        <v>47</v>
      </c>
      <c r="B50">
        <f>IF(Masters!$I$49="","",Masters!$I$49)</f>
        <v/>
      </c>
      <c r="C50" s="11">
        <f>IF(B50="",0,Masters!$J$49)</f>
        <v/>
      </c>
      <c r="D50" s="11">
        <f>SUMIF(Daily_Sales!$D:$D,B50,Daily_Sales!$G:$G)</f>
        <v/>
      </c>
      <c r="E50" s="11">
        <f>SUMIF(Daily_Sales!$D:$D,B50,Daily_Sales!$H:$H)</f>
        <v/>
      </c>
      <c r="F50" s="9">
        <f>IF(B50="","",D50-E50+C50)</f>
        <v/>
      </c>
      <c r="G50" s="11">
        <f>SUMIFS(Cash_Book!$I:$I,Cash_Book!$C:$C,"DUKANDAR",Cash_Book!$D:$D,"RECEIPT",Cash_Book!$E:$E,B50)+SUMIFS(Cash_Book!$J:$J,Cash_Book!$C:$C,"DUKANDAR",Cash_Book!$D:$D,"RECEIPT",Cash_Book!$E:$E,B50)</f>
        <v/>
      </c>
      <c r="H50" s="14">
        <f>IF(B50="","",F50-G50)</f>
        <v/>
      </c>
    </row>
    <row r="51">
      <c r="A51" t="n">
        <v>48</v>
      </c>
      <c r="B51">
        <f>IF(Masters!$I$50="","",Masters!$I$50)</f>
        <v/>
      </c>
      <c r="C51" s="11">
        <f>IF(B51="",0,Masters!$J$50)</f>
        <v/>
      </c>
      <c r="D51" s="11">
        <f>SUMIF(Daily_Sales!$D:$D,B51,Daily_Sales!$G:$G)</f>
        <v/>
      </c>
      <c r="E51" s="11">
        <f>SUMIF(Daily_Sales!$D:$D,B51,Daily_Sales!$H:$H)</f>
        <v/>
      </c>
      <c r="F51" s="9">
        <f>IF(B51="","",D51-E51+C51)</f>
        <v/>
      </c>
      <c r="G51" s="11">
        <f>SUMIFS(Cash_Book!$I:$I,Cash_Book!$C:$C,"DUKANDAR",Cash_Book!$D:$D,"RECEIPT",Cash_Book!$E:$E,B51)+SUMIFS(Cash_Book!$J:$J,Cash_Book!$C:$C,"DUKANDAR",Cash_Book!$D:$D,"RECEIPT",Cash_Book!$E:$E,B51)</f>
        <v/>
      </c>
      <c r="H51" s="14">
        <f>IF(B51="","",F51-G51)</f>
        <v/>
      </c>
    </row>
    <row r="52">
      <c r="A52" t="n">
        <v>49</v>
      </c>
      <c r="B52">
        <f>IF(Masters!$I$51="","",Masters!$I$51)</f>
        <v/>
      </c>
      <c r="C52" s="11">
        <f>IF(B52="",0,Masters!$J$51)</f>
        <v/>
      </c>
      <c r="D52" s="11">
        <f>SUMIF(Daily_Sales!$D:$D,B52,Daily_Sales!$G:$G)</f>
        <v/>
      </c>
      <c r="E52" s="11">
        <f>SUMIF(Daily_Sales!$D:$D,B52,Daily_Sales!$H:$H)</f>
        <v/>
      </c>
      <c r="F52" s="9">
        <f>IF(B52="","",D52-E52+C52)</f>
        <v/>
      </c>
      <c r="G52" s="11">
        <f>SUMIFS(Cash_Book!$I:$I,Cash_Book!$C:$C,"DUKANDAR",Cash_Book!$D:$D,"RECEIPT",Cash_Book!$E:$E,B52)+SUMIFS(Cash_Book!$J:$J,Cash_Book!$C:$C,"DUKANDAR",Cash_Book!$D:$D,"RECEIPT",Cash_Book!$E:$E,B52)</f>
        <v/>
      </c>
      <c r="H52" s="14">
        <f>IF(B52="","",F52-G52)</f>
        <v/>
      </c>
    </row>
    <row r="53">
      <c r="A53" t="n">
        <v>50</v>
      </c>
      <c r="B53">
        <f>IF(Masters!$I$52="","",Masters!$I$52)</f>
        <v/>
      </c>
      <c r="C53" s="11">
        <f>IF(B53="",0,Masters!$J$52)</f>
        <v/>
      </c>
      <c r="D53" s="11">
        <f>SUMIF(Daily_Sales!$D:$D,B53,Daily_Sales!$G:$G)</f>
        <v/>
      </c>
      <c r="E53" s="11">
        <f>SUMIF(Daily_Sales!$D:$D,B53,Daily_Sales!$H:$H)</f>
        <v/>
      </c>
      <c r="F53" s="9">
        <f>IF(B53="","",D53-E53+C53)</f>
        <v/>
      </c>
      <c r="G53" s="11">
        <f>SUMIFS(Cash_Book!$I:$I,Cash_Book!$C:$C,"DUKANDAR",Cash_Book!$D:$D,"RECEIPT",Cash_Book!$E:$E,B53)+SUMIFS(Cash_Book!$J:$J,Cash_Book!$C:$C,"DUKANDAR",Cash_Book!$D:$D,"RECEIPT",Cash_Book!$E:$E,B53)</f>
        <v/>
      </c>
      <c r="H53" s="14">
        <f>IF(B53="","",F53-G53)</f>
        <v/>
      </c>
    </row>
    <row r="54">
      <c r="A54" t="n">
        <v>51</v>
      </c>
      <c r="B54">
        <f>IF(Masters!$I$53="","",Masters!$I$53)</f>
        <v/>
      </c>
      <c r="C54" s="11">
        <f>IF(B54="",0,Masters!$J$53)</f>
        <v/>
      </c>
      <c r="D54" s="11">
        <f>SUMIF(Daily_Sales!$D:$D,B54,Daily_Sales!$G:$G)</f>
        <v/>
      </c>
      <c r="E54" s="11">
        <f>SUMIF(Daily_Sales!$D:$D,B54,Daily_Sales!$H:$H)</f>
        <v/>
      </c>
      <c r="F54" s="9">
        <f>IF(B54="","",D54-E54+C54)</f>
        <v/>
      </c>
      <c r="G54" s="11">
        <f>SUMIFS(Cash_Book!$I:$I,Cash_Book!$C:$C,"DUKANDAR",Cash_Book!$D:$D,"RECEIPT",Cash_Book!$E:$E,B54)+SUMIFS(Cash_Book!$J:$J,Cash_Book!$C:$C,"DUKANDAR",Cash_Book!$D:$D,"RECEIPT",Cash_Book!$E:$E,B54)</f>
        <v/>
      </c>
      <c r="H54" s="14">
        <f>IF(B54="","",F54-G54)</f>
        <v/>
      </c>
    </row>
    <row r="55">
      <c r="A55" t="n">
        <v>52</v>
      </c>
      <c r="B55">
        <f>IF(Masters!$I$54="","",Masters!$I$54)</f>
        <v/>
      </c>
      <c r="C55" s="11">
        <f>IF(B55="",0,Masters!$J$54)</f>
        <v/>
      </c>
      <c r="D55" s="11">
        <f>SUMIF(Daily_Sales!$D:$D,B55,Daily_Sales!$G:$G)</f>
        <v/>
      </c>
      <c r="E55" s="11">
        <f>SUMIF(Daily_Sales!$D:$D,B55,Daily_Sales!$H:$H)</f>
        <v/>
      </c>
      <c r="F55" s="9">
        <f>IF(B55="","",D55-E55+C55)</f>
        <v/>
      </c>
      <c r="G55" s="11">
        <f>SUMIFS(Cash_Book!$I:$I,Cash_Book!$C:$C,"DUKANDAR",Cash_Book!$D:$D,"RECEIPT",Cash_Book!$E:$E,B55)+SUMIFS(Cash_Book!$J:$J,Cash_Book!$C:$C,"DUKANDAR",Cash_Book!$D:$D,"RECEIPT",Cash_Book!$E:$E,B55)</f>
        <v/>
      </c>
      <c r="H55" s="14">
        <f>IF(B55="","",F55-G55)</f>
        <v/>
      </c>
    </row>
    <row r="56">
      <c r="A56" t="n">
        <v>53</v>
      </c>
      <c r="B56">
        <f>IF(Masters!$I$55="","",Masters!$I$55)</f>
        <v/>
      </c>
      <c r="C56" s="11">
        <f>IF(B56="",0,Masters!$J$55)</f>
        <v/>
      </c>
      <c r="D56" s="11">
        <f>SUMIF(Daily_Sales!$D:$D,B56,Daily_Sales!$G:$G)</f>
        <v/>
      </c>
      <c r="E56" s="11">
        <f>SUMIF(Daily_Sales!$D:$D,B56,Daily_Sales!$H:$H)</f>
        <v/>
      </c>
      <c r="F56" s="9">
        <f>IF(B56="","",D56-E56+C56)</f>
        <v/>
      </c>
      <c r="G56" s="11">
        <f>SUMIFS(Cash_Book!$I:$I,Cash_Book!$C:$C,"DUKANDAR",Cash_Book!$D:$D,"RECEIPT",Cash_Book!$E:$E,B56)+SUMIFS(Cash_Book!$J:$J,Cash_Book!$C:$C,"DUKANDAR",Cash_Book!$D:$D,"RECEIPT",Cash_Book!$E:$E,B56)</f>
        <v/>
      </c>
      <c r="H56" s="14">
        <f>IF(B56="","",F56-G56)</f>
        <v/>
      </c>
    </row>
    <row r="57">
      <c r="A57" t="n">
        <v>54</v>
      </c>
      <c r="B57">
        <f>IF(Masters!$I$56="","",Masters!$I$56)</f>
        <v/>
      </c>
      <c r="C57" s="11">
        <f>IF(B57="",0,Masters!$J$56)</f>
        <v/>
      </c>
      <c r="D57" s="11">
        <f>SUMIF(Daily_Sales!$D:$D,B57,Daily_Sales!$G:$G)</f>
        <v/>
      </c>
      <c r="E57" s="11">
        <f>SUMIF(Daily_Sales!$D:$D,B57,Daily_Sales!$H:$H)</f>
        <v/>
      </c>
      <c r="F57" s="9">
        <f>IF(B57="","",D57-E57+C57)</f>
        <v/>
      </c>
      <c r="G57" s="11">
        <f>SUMIFS(Cash_Book!$I:$I,Cash_Book!$C:$C,"DUKANDAR",Cash_Book!$D:$D,"RECEIPT",Cash_Book!$E:$E,B57)+SUMIFS(Cash_Book!$J:$J,Cash_Book!$C:$C,"DUKANDAR",Cash_Book!$D:$D,"RECEIPT",Cash_Book!$E:$E,B57)</f>
        <v/>
      </c>
      <c r="H57" s="14">
        <f>IF(B57="","",F57-G57)</f>
        <v/>
      </c>
    </row>
    <row r="58">
      <c r="A58" t="n">
        <v>55</v>
      </c>
      <c r="B58">
        <f>IF(Masters!$I$57="","",Masters!$I$57)</f>
        <v/>
      </c>
      <c r="C58" s="11">
        <f>IF(B58="",0,Masters!$J$57)</f>
        <v/>
      </c>
      <c r="D58" s="11">
        <f>SUMIF(Daily_Sales!$D:$D,B58,Daily_Sales!$G:$G)</f>
        <v/>
      </c>
      <c r="E58" s="11">
        <f>SUMIF(Daily_Sales!$D:$D,B58,Daily_Sales!$H:$H)</f>
        <v/>
      </c>
      <c r="F58" s="9">
        <f>IF(B58="","",D58-E58+C58)</f>
        <v/>
      </c>
      <c r="G58" s="11">
        <f>SUMIFS(Cash_Book!$I:$I,Cash_Book!$C:$C,"DUKANDAR",Cash_Book!$D:$D,"RECEIPT",Cash_Book!$E:$E,B58)+SUMIFS(Cash_Book!$J:$J,Cash_Book!$C:$C,"DUKANDAR",Cash_Book!$D:$D,"RECEIPT",Cash_Book!$E:$E,B58)</f>
        <v/>
      </c>
      <c r="H58" s="14">
        <f>IF(B58="","",F58-G58)</f>
        <v/>
      </c>
    </row>
    <row r="59">
      <c r="A59" t="n">
        <v>56</v>
      </c>
      <c r="B59">
        <f>IF(Masters!$I$58="","",Masters!$I$58)</f>
        <v/>
      </c>
      <c r="C59" s="11">
        <f>IF(B59="",0,Masters!$J$58)</f>
        <v/>
      </c>
      <c r="D59" s="11">
        <f>SUMIF(Daily_Sales!$D:$D,B59,Daily_Sales!$G:$G)</f>
        <v/>
      </c>
      <c r="E59" s="11">
        <f>SUMIF(Daily_Sales!$D:$D,B59,Daily_Sales!$H:$H)</f>
        <v/>
      </c>
      <c r="F59" s="9">
        <f>IF(B59="","",D59-E59+C59)</f>
        <v/>
      </c>
      <c r="G59" s="11">
        <f>SUMIFS(Cash_Book!$I:$I,Cash_Book!$C:$C,"DUKANDAR",Cash_Book!$D:$D,"RECEIPT",Cash_Book!$E:$E,B59)+SUMIFS(Cash_Book!$J:$J,Cash_Book!$C:$C,"DUKANDAR",Cash_Book!$D:$D,"RECEIPT",Cash_Book!$E:$E,B59)</f>
        <v/>
      </c>
      <c r="H59" s="14">
        <f>IF(B59="","",F59-G59)</f>
        <v/>
      </c>
    </row>
    <row r="60">
      <c r="A60" t="n">
        <v>57</v>
      </c>
      <c r="B60">
        <f>IF(Masters!$I$59="","",Masters!$I$59)</f>
        <v/>
      </c>
      <c r="C60" s="11">
        <f>IF(B60="",0,Masters!$J$59)</f>
        <v/>
      </c>
      <c r="D60" s="11">
        <f>SUMIF(Daily_Sales!$D:$D,B60,Daily_Sales!$G:$G)</f>
        <v/>
      </c>
      <c r="E60" s="11">
        <f>SUMIF(Daily_Sales!$D:$D,B60,Daily_Sales!$H:$H)</f>
        <v/>
      </c>
      <c r="F60" s="9">
        <f>IF(B60="","",D60-E60+C60)</f>
        <v/>
      </c>
      <c r="G60" s="11">
        <f>SUMIFS(Cash_Book!$I:$I,Cash_Book!$C:$C,"DUKANDAR",Cash_Book!$D:$D,"RECEIPT",Cash_Book!$E:$E,B60)+SUMIFS(Cash_Book!$J:$J,Cash_Book!$C:$C,"DUKANDAR",Cash_Book!$D:$D,"RECEIPT",Cash_Book!$E:$E,B60)</f>
        <v/>
      </c>
      <c r="H60" s="14">
        <f>IF(B60="","",F60-G60)</f>
        <v/>
      </c>
    </row>
    <row r="61">
      <c r="A61" t="n">
        <v>58</v>
      </c>
      <c r="B61">
        <f>IF(Masters!$I$60="","",Masters!$I$60)</f>
        <v/>
      </c>
      <c r="C61" s="11">
        <f>IF(B61="",0,Masters!$J$60)</f>
        <v/>
      </c>
      <c r="D61" s="11">
        <f>SUMIF(Daily_Sales!$D:$D,B61,Daily_Sales!$G:$G)</f>
        <v/>
      </c>
      <c r="E61" s="11">
        <f>SUMIF(Daily_Sales!$D:$D,B61,Daily_Sales!$H:$H)</f>
        <v/>
      </c>
      <c r="F61" s="9">
        <f>IF(B61="","",D61-E61+C61)</f>
        <v/>
      </c>
      <c r="G61" s="11">
        <f>SUMIFS(Cash_Book!$I:$I,Cash_Book!$C:$C,"DUKANDAR",Cash_Book!$D:$D,"RECEIPT",Cash_Book!$E:$E,B61)+SUMIFS(Cash_Book!$J:$J,Cash_Book!$C:$C,"DUKANDAR",Cash_Book!$D:$D,"RECEIPT",Cash_Book!$E:$E,B61)</f>
        <v/>
      </c>
      <c r="H61" s="14">
        <f>IF(B61="","",F61-G61)</f>
        <v/>
      </c>
    </row>
    <row r="62">
      <c r="A62" t="n">
        <v>59</v>
      </c>
      <c r="B62">
        <f>IF(Masters!$I$61="","",Masters!$I$61)</f>
        <v/>
      </c>
      <c r="C62" s="11">
        <f>IF(B62="",0,Masters!$J$61)</f>
        <v/>
      </c>
      <c r="D62" s="11">
        <f>SUMIF(Daily_Sales!$D:$D,B62,Daily_Sales!$G:$G)</f>
        <v/>
      </c>
      <c r="E62" s="11">
        <f>SUMIF(Daily_Sales!$D:$D,B62,Daily_Sales!$H:$H)</f>
        <v/>
      </c>
      <c r="F62" s="9">
        <f>IF(B62="","",D62-E62+C62)</f>
        <v/>
      </c>
      <c r="G62" s="11">
        <f>SUMIFS(Cash_Book!$I:$I,Cash_Book!$C:$C,"DUKANDAR",Cash_Book!$D:$D,"RECEIPT",Cash_Book!$E:$E,B62)+SUMIFS(Cash_Book!$J:$J,Cash_Book!$C:$C,"DUKANDAR",Cash_Book!$D:$D,"RECEIPT",Cash_Book!$E:$E,B62)</f>
        <v/>
      </c>
      <c r="H62" s="14">
        <f>IF(B62="","",F62-G62)</f>
        <v/>
      </c>
    </row>
    <row r="63">
      <c r="A63" t="n">
        <v>60</v>
      </c>
      <c r="B63">
        <f>IF(Masters!$I$62="","",Masters!$I$62)</f>
        <v/>
      </c>
      <c r="C63" s="11">
        <f>IF(B63="",0,Masters!$J$62)</f>
        <v/>
      </c>
      <c r="D63" s="11">
        <f>SUMIF(Daily_Sales!$D:$D,B63,Daily_Sales!$G:$G)</f>
        <v/>
      </c>
      <c r="E63" s="11">
        <f>SUMIF(Daily_Sales!$D:$D,B63,Daily_Sales!$H:$H)</f>
        <v/>
      </c>
      <c r="F63" s="9">
        <f>IF(B63="","",D63-E63+C63)</f>
        <v/>
      </c>
      <c r="G63" s="11">
        <f>SUMIFS(Cash_Book!$I:$I,Cash_Book!$C:$C,"DUKANDAR",Cash_Book!$D:$D,"RECEIPT",Cash_Book!$E:$E,B63)+SUMIFS(Cash_Book!$J:$J,Cash_Book!$C:$C,"DUKANDAR",Cash_Book!$D:$D,"RECEIPT",Cash_Book!$E:$E,B63)</f>
        <v/>
      </c>
      <c r="H63" s="14">
        <f>IF(B63="","",F63-G63)</f>
        <v/>
      </c>
    </row>
    <row r="64">
      <c r="A64" t="n">
        <v>61</v>
      </c>
      <c r="B64">
        <f>IF(Masters!$I$63="","",Masters!$I$63)</f>
        <v/>
      </c>
      <c r="C64" s="11">
        <f>IF(B64="",0,Masters!$J$63)</f>
        <v/>
      </c>
      <c r="D64" s="11">
        <f>SUMIF(Daily_Sales!$D:$D,B64,Daily_Sales!$G:$G)</f>
        <v/>
      </c>
      <c r="E64" s="11">
        <f>SUMIF(Daily_Sales!$D:$D,B64,Daily_Sales!$H:$H)</f>
        <v/>
      </c>
      <c r="F64" s="9">
        <f>IF(B64="","",D64-E64+C64)</f>
        <v/>
      </c>
      <c r="G64" s="11">
        <f>SUMIFS(Cash_Book!$I:$I,Cash_Book!$C:$C,"DUKANDAR",Cash_Book!$D:$D,"RECEIPT",Cash_Book!$E:$E,B64)+SUMIFS(Cash_Book!$J:$J,Cash_Book!$C:$C,"DUKANDAR",Cash_Book!$D:$D,"RECEIPT",Cash_Book!$E:$E,B64)</f>
        <v/>
      </c>
      <c r="H64" s="14">
        <f>IF(B64="","",F64-G64)</f>
        <v/>
      </c>
    </row>
    <row r="65">
      <c r="A65" t="n">
        <v>62</v>
      </c>
      <c r="B65">
        <f>IF(Masters!$I$64="","",Masters!$I$64)</f>
        <v/>
      </c>
      <c r="C65" s="11">
        <f>IF(B65="",0,Masters!$J$64)</f>
        <v/>
      </c>
      <c r="D65" s="11">
        <f>SUMIF(Daily_Sales!$D:$D,B65,Daily_Sales!$G:$G)</f>
        <v/>
      </c>
      <c r="E65" s="11">
        <f>SUMIF(Daily_Sales!$D:$D,B65,Daily_Sales!$H:$H)</f>
        <v/>
      </c>
      <c r="F65" s="9">
        <f>IF(B65="","",D65-E65+C65)</f>
        <v/>
      </c>
      <c r="G65" s="11">
        <f>SUMIFS(Cash_Book!$I:$I,Cash_Book!$C:$C,"DUKANDAR",Cash_Book!$D:$D,"RECEIPT",Cash_Book!$E:$E,B65)+SUMIFS(Cash_Book!$J:$J,Cash_Book!$C:$C,"DUKANDAR",Cash_Book!$D:$D,"RECEIPT",Cash_Book!$E:$E,B65)</f>
        <v/>
      </c>
      <c r="H65" s="14">
        <f>IF(B65="","",F65-G65)</f>
        <v/>
      </c>
    </row>
    <row r="66">
      <c r="A66" t="n">
        <v>63</v>
      </c>
      <c r="B66">
        <f>IF(Masters!$I$65="","",Masters!$I$65)</f>
        <v/>
      </c>
      <c r="C66" s="11">
        <f>IF(B66="",0,Masters!$J$65)</f>
        <v/>
      </c>
      <c r="D66" s="11">
        <f>SUMIF(Daily_Sales!$D:$D,B66,Daily_Sales!$G:$G)</f>
        <v/>
      </c>
      <c r="E66" s="11">
        <f>SUMIF(Daily_Sales!$D:$D,B66,Daily_Sales!$H:$H)</f>
        <v/>
      </c>
      <c r="F66" s="9">
        <f>IF(B66="","",D66-E66+C66)</f>
        <v/>
      </c>
      <c r="G66" s="11">
        <f>SUMIFS(Cash_Book!$I:$I,Cash_Book!$C:$C,"DUKANDAR",Cash_Book!$D:$D,"RECEIPT",Cash_Book!$E:$E,B66)+SUMIFS(Cash_Book!$J:$J,Cash_Book!$C:$C,"DUKANDAR",Cash_Book!$D:$D,"RECEIPT",Cash_Book!$E:$E,B66)</f>
        <v/>
      </c>
      <c r="H66" s="14">
        <f>IF(B66="","",F66-G66)</f>
        <v/>
      </c>
    </row>
    <row r="67">
      <c r="A67" t="n">
        <v>64</v>
      </c>
      <c r="B67">
        <f>IF(Masters!$I$66="","",Masters!$I$66)</f>
        <v/>
      </c>
      <c r="C67" s="11">
        <f>IF(B67="",0,Masters!$J$66)</f>
        <v/>
      </c>
      <c r="D67" s="11">
        <f>SUMIF(Daily_Sales!$D:$D,B67,Daily_Sales!$G:$G)</f>
        <v/>
      </c>
      <c r="E67" s="11">
        <f>SUMIF(Daily_Sales!$D:$D,B67,Daily_Sales!$H:$H)</f>
        <v/>
      </c>
      <c r="F67" s="9">
        <f>IF(B67="","",D67-E67+C67)</f>
        <v/>
      </c>
      <c r="G67" s="11">
        <f>SUMIFS(Cash_Book!$I:$I,Cash_Book!$C:$C,"DUKANDAR",Cash_Book!$D:$D,"RECEIPT",Cash_Book!$E:$E,B67)+SUMIFS(Cash_Book!$J:$J,Cash_Book!$C:$C,"DUKANDAR",Cash_Book!$D:$D,"RECEIPT",Cash_Book!$E:$E,B67)</f>
        <v/>
      </c>
      <c r="H67" s="14">
        <f>IF(B67="","",F67-G67)</f>
        <v/>
      </c>
    </row>
    <row r="68">
      <c r="A68" t="n">
        <v>65</v>
      </c>
      <c r="B68">
        <f>IF(Masters!$I$67="","",Masters!$I$67)</f>
        <v/>
      </c>
      <c r="C68" s="11">
        <f>IF(B68="",0,Masters!$J$67)</f>
        <v/>
      </c>
      <c r="D68" s="11">
        <f>SUMIF(Daily_Sales!$D:$D,B68,Daily_Sales!$G:$G)</f>
        <v/>
      </c>
      <c r="E68" s="11">
        <f>SUMIF(Daily_Sales!$D:$D,B68,Daily_Sales!$H:$H)</f>
        <v/>
      </c>
      <c r="F68" s="9">
        <f>IF(B68="","",D68-E68+C68)</f>
        <v/>
      </c>
      <c r="G68" s="11">
        <f>SUMIFS(Cash_Book!$I:$I,Cash_Book!$C:$C,"DUKANDAR",Cash_Book!$D:$D,"RECEIPT",Cash_Book!$E:$E,B68)+SUMIFS(Cash_Book!$J:$J,Cash_Book!$C:$C,"DUKANDAR",Cash_Book!$D:$D,"RECEIPT",Cash_Book!$E:$E,B68)</f>
        <v/>
      </c>
      <c r="H68" s="14">
        <f>IF(B68="","",F68-G68)</f>
        <v/>
      </c>
    </row>
    <row r="69">
      <c r="A69" t="n">
        <v>66</v>
      </c>
      <c r="B69">
        <f>IF(Masters!$I$68="","",Masters!$I$68)</f>
        <v/>
      </c>
      <c r="C69" s="11">
        <f>IF(B69="",0,Masters!$J$68)</f>
        <v/>
      </c>
      <c r="D69" s="11">
        <f>SUMIF(Daily_Sales!$D:$D,B69,Daily_Sales!$G:$G)</f>
        <v/>
      </c>
      <c r="E69" s="11">
        <f>SUMIF(Daily_Sales!$D:$D,B69,Daily_Sales!$H:$H)</f>
        <v/>
      </c>
      <c r="F69" s="9">
        <f>IF(B69="","",D69-E69+C69)</f>
        <v/>
      </c>
      <c r="G69" s="11">
        <f>SUMIFS(Cash_Book!$I:$I,Cash_Book!$C:$C,"DUKANDAR",Cash_Book!$D:$D,"RECEIPT",Cash_Book!$E:$E,B69)+SUMIFS(Cash_Book!$J:$J,Cash_Book!$C:$C,"DUKANDAR",Cash_Book!$D:$D,"RECEIPT",Cash_Book!$E:$E,B69)</f>
        <v/>
      </c>
      <c r="H69" s="14">
        <f>IF(B69="","",F69-G69)</f>
        <v/>
      </c>
    </row>
    <row r="70">
      <c r="A70" t="n">
        <v>67</v>
      </c>
      <c r="B70">
        <f>IF(Masters!$I$69="","",Masters!$I$69)</f>
        <v/>
      </c>
      <c r="C70" s="11">
        <f>IF(B70="",0,Masters!$J$69)</f>
        <v/>
      </c>
      <c r="D70" s="11">
        <f>SUMIF(Daily_Sales!$D:$D,B70,Daily_Sales!$G:$G)</f>
        <v/>
      </c>
      <c r="E70" s="11">
        <f>SUMIF(Daily_Sales!$D:$D,B70,Daily_Sales!$H:$H)</f>
        <v/>
      </c>
      <c r="F70" s="9">
        <f>IF(B70="","",D70-E70+C70)</f>
        <v/>
      </c>
      <c r="G70" s="11">
        <f>SUMIFS(Cash_Book!$I:$I,Cash_Book!$C:$C,"DUKANDAR",Cash_Book!$D:$D,"RECEIPT",Cash_Book!$E:$E,B70)+SUMIFS(Cash_Book!$J:$J,Cash_Book!$C:$C,"DUKANDAR",Cash_Book!$D:$D,"RECEIPT",Cash_Book!$E:$E,B70)</f>
        <v/>
      </c>
      <c r="H70" s="14">
        <f>IF(B70="","",F70-G70)</f>
        <v/>
      </c>
    </row>
    <row r="71">
      <c r="A71" t="n">
        <v>68</v>
      </c>
      <c r="B71">
        <f>IF(Masters!$I$70="","",Masters!$I$70)</f>
        <v/>
      </c>
      <c r="C71" s="11">
        <f>IF(B71="",0,Masters!$J$70)</f>
        <v/>
      </c>
      <c r="D71" s="11">
        <f>SUMIF(Daily_Sales!$D:$D,B71,Daily_Sales!$G:$G)</f>
        <v/>
      </c>
      <c r="E71" s="11">
        <f>SUMIF(Daily_Sales!$D:$D,B71,Daily_Sales!$H:$H)</f>
        <v/>
      </c>
      <c r="F71" s="9">
        <f>IF(B71="","",D71-E71+C71)</f>
        <v/>
      </c>
      <c r="G71" s="11">
        <f>SUMIFS(Cash_Book!$I:$I,Cash_Book!$C:$C,"DUKANDAR",Cash_Book!$D:$D,"RECEIPT",Cash_Book!$E:$E,B71)+SUMIFS(Cash_Book!$J:$J,Cash_Book!$C:$C,"DUKANDAR",Cash_Book!$D:$D,"RECEIPT",Cash_Book!$E:$E,B71)</f>
        <v/>
      </c>
      <c r="H71" s="14">
        <f>IF(B71="","",F71-G71)</f>
        <v/>
      </c>
    </row>
    <row r="72">
      <c r="A72" t="n">
        <v>69</v>
      </c>
      <c r="B72">
        <f>IF(Masters!$I$71="","",Masters!$I$71)</f>
        <v/>
      </c>
      <c r="C72" s="11">
        <f>IF(B72="",0,Masters!$J$71)</f>
        <v/>
      </c>
      <c r="D72" s="11">
        <f>SUMIF(Daily_Sales!$D:$D,B72,Daily_Sales!$G:$G)</f>
        <v/>
      </c>
      <c r="E72" s="11">
        <f>SUMIF(Daily_Sales!$D:$D,B72,Daily_Sales!$H:$H)</f>
        <v/>
      </c>
      <c r="F72" s="9">
        <f>IF(B72="","",D72-E72+C72)</f>
        <v/>
      </c>
      <c r="G72" s="11">
        <f>SUMIFS(Cash_Book!$I:$I,Cash_Book!$C:$C,"DUKANDAR",Cash_Book!$D:$D,"RECEIPT",Cash_Book!$E:$E,B72)+SUMIFS(Cash_Book!$J:$J,Cash_Book!$C:$C,"DUKANDAR",Cash_Book!$D:$D,"RECEIPT",Cash_Book!$E:$E,B72)</f>
        <v/>
      </c>
      <c r="H72" s="14">
        <f>IF(B72="","",F72-G72)</f>
        <v/>
      </c>
    </row>
    <row r="73">
      <c r="A73" t="n">
        <v>70</v>
      </c>
      <c r="B73">
        <f>IF(Masters!$I$72="","",Masters!$I$72)</f>
        <v/>
      </c>
      <c r="C73" s="11">
        <f>IF(B73="",0,Masters!$J$72)</f>
        <v/>
      </c>
      <c r="D73" s="11">
        <f>SUMIF(Daily_Sales!$D:$D,B73,Daily_Sales!$G:$G)</f>
        <v/>
      </c>
      <c r="E73" s="11">
        <f>SUMIF(Daily_Sales!$D:$D,B73,Daily_Sales!$H:$H)</f>
        <v/>
      </c>
      <c r="F73" s="9">
        <f>IF(B73="","",D73-E73+C73)</f>
        <v/>
      </c>
      <c r="G73" s="11">
        <f>SUMIFS(Cash_Book!$I:$I,Cash_Book!$C:$C,"DUKANDAR",Cash_Book!$D:$D,"RECEIPT",Cash_Book!$E:$E,B73)+SUMIFS(Cash_Book!$J:$J,Cash_Book!$C:$C,"DUKANDAR",Cash_Book!$D:$D,"RECEIPT",Cash_Book!$E:$E,B73)</f>
        <v/>
      </c>
      <c r="H73" s="14">
        <f>IF(B73="","",F73-G73)</f>
        <v/>
      </c>
    </row>
    <row r="74">
      <c r="A74" t="n">
        <v>71</v>
      </c>
      <c r="B74">
        <f>IF(Masters!$I$73="","",Masters!$I$73)</f>
        <v/>
      </c>
      <c r="C74" s="11">
        <f>IF(B74="",0,Masters!$J$73)</f>
        <v/>
      </c>
      <c r="D74" s="11">
        <f>SUMIF(Daily_Sales!$D:$D,B74,Daily_Sales!$G:$G)</f>
        <v/>
      </c>
      <c r="E74" s="11">
        <f>SUMIF(Daily_Sales!$D:$D,B74,Daily_Sales!$H:$H)</f>
        <v/>
      </c>
      <c r="F74" s="9">
        <f>IF(B74="","",D74-E74+C74)</f>
        <v/>
      </c>
      <c r="G74" s="11">
        <f>SUMIFS(Cash_Book!$I:$I,Cash_Book!$C:$C,"DUKANDAR",Cash_Book!$D:$D,"RECEIPT",Cash_Book!$E:$E,B74)+SUMIFS(Cash_Book!$J:$J,Cash_Book!$C:$C,"DUKANDAR",Cash_Book!$D:$D,"RECEIPT",Cash_Book!$E:$E,B74)</f>
        <v/>
      </c>
      <c r="H74" s="14">
        <f>IF(B74="","",F74-G74)</f>
        <v/>
      </c>
    </row>
    <row r="75">
      <c r="A75" t="n">
        <v>72</v>
      </c>
      <c r="B75">
        <f>IF(Masters!$I$74="","",Masters!$I$74)</f>
        <v/>
      </c>
      <c r="C75" s="11">
        <f>IF(B75="",0,Masters!$J$74)</f>
        <v/>
      </c>
      <c r="D75" s="11">
        <f>SUMIF(Daily_Sales!$D:$D,B75,Daily_Sales!$G:$G)</f>
        <v/>
      </c>
      <c r="E75" s="11">
        <f>SUMIF(Daily_Sales!$D:$D,B75,Daily_Sales!$H:$H)</f>
        <v/>
      </c>
      <c r="F75" s="9">
        <f>IF(B75="","",D75-E75+C75)</f>
        <v/>
      </c>
      <c r="G75" s="11">
        <f>SUMIFS(Cash_Book!$I:$I,Cash_Book!$C:$C,"DUKANDAR",Cash_Book!$D:$D,"RECEIPT",Cash_Book!$E:$E,B75)+SUMIFS(Cash_Book!$J:$J,Cash_Book!$C:$C,"DUKANDAR",Cash_Book!$D:$D,"RECEIPT",Cash_Book!$E:$E,B75)</f>
        <v/>
      </c>
      <c r="H75" s="14">
        <f>IF(B75="","",F75-G75)</f>
        <v/>
      </c>
    </row>
    <row r="76">
      <c r="A76" t="n">
        <v>73</v>
      </c>
      <c r="B76">
        <f>IF(Masters!$I$75="","",Masters!$I$75)</f>
        <v/>
      </c>
      <c r="C76" s="11">
        <f>IF(B76="",0,Masters!$J$75)</f>
        <v/>
      </c>
      <c r="D76" s="11">
        <f>SUMIF(Daily_Sales!$D:$D,B76,Daily_Sales!$G:$G)</f>
        <v/>
      </c>
      <c r="E76" s="11">
        <f>SUMIF(Daily_Sales!$D:$D,B76,Daily_Sales!$H:$H)</f>
        <v/>
      </c>
      <c r="F76" s="9">
        <f>IF(B76="","",D76-E76+C76)</f>
        <v/>
      </c>
      <c r="G76" s="11">
        <f>SUMIFS(Cash_Book!$I:$I,Cash_Book!$C:$C,"DUKANDAR",Cash_Book!$D:$D,"RECEIPT",Cash_Book!$E:$E,B76)+SUMIFS(Cash_Book!$J:$J,Cash_Book!$C:$C,"DUKANDAR",Cash_Book!$D:$D,"RECEIPT",Cash_Book!$E:$E,B76)</f>
        <v/>
      </c>
      <c r="H76" s="14">
        <f>IF(B76="","",F76-G76)</f>
        <v/>
      </c>
    </row>
    <row r="77">
      <c r="A77" t="n">
        <v>74</v>
      </c>
      <c r="B77">
        <f>IF(Masters!$I$76="","",Masters!$I$76)</f>
        <v/>
      </c>
      <c r="C77" s="11">
        <f>IF(B77="",0,Masters!$J$76)</f>
        <v/>
      </c>
      <c r="D77" s="11">
        <f>SUMIF(Daily_Sales!$D:$D,B77,Daily_Sales!$G:$G)</f>
        <v/>
      </c>
      <c r="E77" s="11">
        <f>SUMIF(Daily_Sales!$D:$D,B77,Daily_Sales!$H:$H)</f>
        <v/>
      </c>
      <c r="F77" s="9">
        <f>IF(B77="","",D77-E77+C77)</f>
        <v/>
      </c>
      <c r="G77" s="11">
        <f>SUMIFS(Cash_Book!$I:$I,Cash_Book!$C:$C,"DUKANDAR",Cash_Book!$D:$D,"RECEIPT",Cash_Book!$E:$E,B77)+SUMIFS(Cash_Book!$J:$J,Cash_Book!$C:$C,"DUKANDAR",Cash_Book!$D:$D,"RECEIPT",Cash_Book!$E:$E,B77)</f>
        <v/>
      </c>
      <c r="H77" s="14">
        <f>IF(B77="","",F77-G77)</f>
        <v/>
      </c>
    </row>
    <row r="78">
      <c r="A78" t="n">
        <v>75</v>
      </c>
      <c r="B78">
        <f>IF(Masters!$I$77="","",Masters!$I$77)</f>
        <v/>
      </c>
      <c r="C78" s="11">
        <f>IF(B78="",0,Masters!$J$77)</f>
        <v/>
      </c>
      <c r="D78" s="11">
        <f>SUMIF(Daily_Sales!$D:$D,B78,Daily_Sales!$G:$G)</f>
        <v/>
      </c>
      <c r="E78" s="11">
        <f>SUMIF(Daily_Sales!$D:$D,B78,Daily_Sales!$H:$H)</f>
        <v/>
      </c>
      <c r="F78" s="9">
        <f>IF(B78="","",D78-E78+C78)</f>
        <v/>
      </c>
      <c r="G78" s="11">
        <f>SUMIFS(Cash_Book!$I:$I,Cash_Book!$C:$C,"DUKANDAR",Cash_Book!$D:$D,"RECEIPT",Cash_Book!$E:$E,B78)+SUMIFS(Cash_Book!$J:$J,Cash_Book!$C:$C,"DUKANDAR",Cash_Book!$D:$D,"RECEIPT",Cash_Book!$E:$E,B78)</f>
        <v/>
      </c>
      <c r="H78" s="14">
        <f>IF(B78="","",F78-G78)</f>
        <v/>
      </c>
    </row>
    <row r="79">
      <c r="A79" t="n">
        <v>76</v>
      </c>
      <c r="B79">
        <f>IF(Masters!$I$78="","",Masters!$I$78)</f>
        <v/>
      </c>
      <c r="C79" s="11">
        <f>IF(B79="",0,Masters!$J$78)</f>
        <v/>
      </c>
      <c r="D79" s="11">
        <f>SUMIF(Daily_Sales!$D:$D,B79,Daily_Sales!$G:$G)</f>
        <v/>
      </c>
      <c r="E79" s="11">
        <f>SUMIF(Daily_Sales!$D:$D,B79,Daily_Sales!$H:$H)</f>
        <v/>
      </c>
      <c r="F79" s="9">
        <f>IF(B79="","",D79-E79+C79)</f>
        <v/>
      </c>
      <c r="G79" s="11">
        <f>SUMIFS(Cash_Book!$I:$I,Cash_Book!$C:$C,"DUKANDAR",Cash_Book!$D:$D,"RECEIPT",Cash_Book!$E:$E,B79)+SUMIFS(Cash_Book!$J:$J,Cash_Book!$C:$C,"DUKANDAR",Cash_Book!$D:$D,"RECEIPT",Cash_Book!$E:$E,B79)</f>
        <v/>
      </c>
      <c r="H79" s="14">
        <f>IF(B79="","",F79-G79)</f>
        <v/>
      </c>
    </row>
    <row r="80">
      <c r="A80" t="n">
        <v>77</v>
      </c>
      <c r="B80">
        <f>IF(Masters!$I$79="","",Masters!$I$79)</f>
        <v/>
      </c>
      <c r="C80" s="11">
        <f>IF(B80="",0,Masters!$J$79)</f>
        <v/>
      </c>
      <c r="D80" s="11">
        <f>SUMIF(Daily_Sales!$D:$D,B80,Daily_Sales!$G:$G)</f>
        <v/>
      </c>
      <c r="E80" s="11">
        <f>SUMIF(Daily_Sales!$D:$D,B80,Daily_Sales!$H:$H)</f>
        <v/>
      </c>
      <c r="F80" s="9">
        <f>IF(B80="","",D80-E80+C80)</f>
        <v/>
      </c>
      <c r="G80" s="11">
        <f>SUMIFS(Cash_Book!$I:$I,Cash_Book!$C:$C,"DUKANDAR",Cash_Book!$D:$D,"RECEIPT",Cash_Book!$E:$E,B80)+SUMIFS(Cash_Book!$J:$J,Cash_Book!$C:$C,"DUKANDAR",Cash_Book!$D:$D,"RECEIPT",Cash_Book!$E:$E,B80)</f>
        <v/>
      </c>
      <c r="H80" s="14">
        <f>IF(B80="","",F80-G80)</f>
        <v/>
      </c>
    </row>
    <row r="81">
      <c r="A81" s="3" t="inlineStr">
        <is>
          <t>TOTAL</t>
        </is>
      </c>
      <c r="B81" t="inlineStr">
        <is>
          <t>PATTI (Total O/S)</t>
        </is>
      </c>
      <c r="C81" s="14">
        <f>SUM(C4:C80)</f>
        <v/>
      </c>
      <c r="D81" s="14">
        <f>SUM(D4:D80)</f>
        <v/>
      </c>
      <c r="E81" s="14">
        <f>SUM(E4:E80)</f>
        <v/>
      </c>
      <c r="F81" s="14">
        <f>SUM(F4:F80)</f>
        <v/>
      </c>
      <c r="G81" s="14">
        <f>SUM(G4:G80)</f>
        <v/>
      </c>
      <c r="H81" s="14">
        <f>SUM(H4:H80)</f>
        <v/>
      </c>
    </row>
  </sheetData>
  <pageMargins left="0.75" right="0.75" top="1" bottom="1" header="0.5" footer="0.5"/>
</worksheet>
</file>

<file path=xl/worksheets/sheet6.xml><?xml version="1.0" encoding="utf-8"?>
<worksheet xmlns="http://schemas.openxmlformats.org/spreadsheetml/2006/main">
  <sheetPr>
    <tabColor rgb="00795548"/>
    <outlinePr summaryBelow="1" summaryRight="1"/>
    <pageSetUpPr/>
  </sheetPr>
  <dimension ref="A1:B31"/>
  <sheetViews>
    <sheetView workbookViewId="0">
      <selection activeCell="A1" sqref="A1"/>
    </sheetView>
  </sheetViews>
  <sheetFormatPr baseColWidth="8" defaultRowHeight="15"/>
  <cols>
    <col width="22" customWidth="1" min="1" max="1"/>
    <col width="14" customWidth="1" min="2" max="2"/>
  </cols>
  <sheetData>
    <row r="1">
      <c r="A1" s="1" t="inlineStr">
        <is>
          <t>BEPAARI SETTLEMENT SLIP (AAKDA)</t>
        </is>
      </c>
    </row>
    <row r="3">
      <c r="A3" t="inlineStr">
        <is>
          <t>SELECT BEPAARI:</t>
        </is>
      </c>
      <c r="B3" s="4" t="n"/>
    </row>
    <row r="4">
      <c r="A4" t="inlineStr">
        <is>
          <t>DATE:</t>
        </is>
      </c>
      <c r="B4" s="8" t="n"/>
    </row>
    <row r="6">
      <c r="A6" t="inlineStr"/>
    </row>
    <row r="7">
      <c r="A7" s="3" t="inlineStr">
        <is>
          <t>A. SALES</t>
        </is>
      </c>
    </row>
    <row r="8">
      <c r="A8" t="inlineStr">
        <is>
          <t>Qty Sold</t>
        </is>
      </c>
      <c r="B8" s="13">
        <f>SUMIF(Daily_Sales!$C:$C,$B$3,Daily_Sales!$E:$E)</f>
        <v/>
      </c>
    </row>
    <row r="9">
      <c r="A9" t="inlineStr">
        <is>
          <t>Gross Sales</t>
        </is>
      </c>
      <c r="B9" s="11">
        <f>SUMIF(Daily_Sales!$C:$C,$B$3,Daily_Sales!$G:$G)</f>
        <v/>
      </c>
    </row>
    <row r="10">
      <c r="A10" t="inlineStr"/>
    </row>
    <row r="11">
      <c r="A11" s="3" t="inlineStr">
        <is>
          <t>B. DEDUCTIONS</t>
        </is>
      </c>
    </row>
    <row r="12">
      <c r="A12" t="inlineStr">
        <is>
          <t>Commission %</t>
        </is>
      </c>
      <c r="B12" s="13">
        <f>IFERROR(INDEX(Masters!$C:$C,MATCH($B$3,Masters!$B:$B,0)),4)</f>
        <v/>
      </c>
    </row>
    <row r="13">
      <c r="A13" t="inlineStr">
        <is>
          <t>Commission Amt</t>
        </is>
      </c>
      <c r="B13" s="11">
        <f>B9*B12/100</f>
        <v/>
      </c>
    </row>
    <row r="14">
      <c r="A14" t="inlineStr">
        <is>
          <t>KK (Fixed)</t>
        </is>
      </c>
      <c r="B14" s="11">
        <f>IF(B8&gt;0,Masters!$X$3,0)</f>
        <v/>
      </c>
    </row>
    <row r="15">
      <c r="A15" t="inlineStr">
        <is>
          <t>JB (₹10/goat)</t>
        </is>
      </c>
      <c r="B15" s="11">
        <f>B8*Masters!$X$4</f>
        <v/>
      </c>
    </row>
    <row r="16">
      <c r="A16" t="inlineStr">
        <is>
          <t>Motor</t>
        </is>
      </c>
      <c r="B16" s="11">
        <f>SUMIFS(Cash_Book!$G:$G,Cash_Book!$C:$C,"BEPAARI",Cash_Book!$D:$D,"MOTOR",Cash_Book!$E:$E,$B$3)+SUMIFS(Cash_Book!$H:$H,Cash_Book!$C:$C,"BEPAARI",Cash_Book!$D:$D,"MOTOR",Cash_Book!$E:$E,$B$3)</f>
        <v/>
      </c>
    </row>
    <row r="17">
      <c r="A17" t="inlineStr">
        <is>
          <t>Bhussa</t>
        </is>
      </c>
      <c r="B17" s="11">
        <f>SUMIFS(Cash_Book!$G:$G,Cash_Book!$C:$C,"BEPAARI",Cash_Book!$D:$D,"BHUSSA",Cash_Book!$E:$E,$B$3)+SUMIFS(Cash_Book!$H:$H,Cash_Book!$C:$C,"BEPAARI",Cash_Book!$D:$D,"BHUSSA",Cash_Book!$E:$E,$B$3)</f>
        <v/>
      </c>
    </row>
    <row r="18">
      <c r="A18" t="inlineStr">
        <is>
          <t>Gawali</t>
        </is>
      </c>
      <c r="B18" s="11">
        <f>SUMIFS(Cash_Book!$G:$G,Cash_Book!$C:$C,"BEPAARI",Cash_Book!$D:$D,"GAWALI",Cash_Book!$E:$E,$B$3)+SUMIFS(Cash_Book!$H:$H,Cash_Book!$C:$C,"BEPAARI",Cash_Book!$D:$D,"GAWALI",Cash_Book!$E:$E,$B$3)</f>
        <v/>
      </c>
    </row>
    <row r="19">
      <c r="A19" t="inlineStr">
        <is>
          <t>Cash/Advance</t>
        </is>
      </c>
      <c r="B19" s="11">
        <f>SUMIFS(Cash_Book!$G:$G,Cash_Book!$C:$C,"BEPAARI",Cash_Book!$D:$D,"CASH_ADV",Cash_Book!$E:$E,$B$3)+SUMIFS(Cash_Book!$H:$H,Cash_Book!$C:$C,"BEPAARI",Cash_Book!$D:$D,"CASH_ADV",Cash_Book!$E:$E,$B$3)</f>
        <v/>
      </c>
    </row>
    <row r="20">
      <c r="A20" s="3" t="inlineStr">
        <is>
          <t>TOTAL DEDUCTIONS</t>
        </is>
      </c>
      <c r="B20" s="12">
        <f>SUM(B13:B19)</f>
        <v/>
      </c>
    </row>
    <row r="21">
      <c r="A21" t="inlineStr"/>
    </row>
    <row r="22">
      <c r="A22" s="3" t="inlineStr">
        <is>
          <t>C. CALCULATION</t>
        </is>
      </c>
    </row>
    <row r="23">
      <c r="A23" t="inlineStr">
        <is>
          <t>Gross Sales</t>
        </is>
      </c>
      <c r="B23" s="11">
        <f>B9</f>
        <v/>
      </c>
    </row>
    <row r="24">
      <c r="A24" t="inlineStr">
        <is>
          <t>(-) Deductions</t>
        </is>
      </c>
      <c r="B24" s="11">
        <f>B20</f>
        <v/>
      </c>
    </row>
    <row r="25">
      <c r="A25" t="inlineStr">
        <is>
          <t>(+) Opening Bal</t>
        </is>
      </c>
      <c r="B25" s="11">
        <f>IFERROR(INDEX(Masters!$D:$D,MATCH($B$3,Masters!$B:$B,0)),0)</f>
        <v/>
      </c>
    </row>
    <row r="26">
      <c r="A26" s="3" t="inlineStr">
        <is>
          <t>NET PAYABLE</t>
        </is>
      </c>
      <c r="B26" s="12">
        <f>B23-B24+B25</f>
        <v/>
      </c>
    </row>
    <row r="27">
      <c r="A27" t="inlineStr"/>
    </row>
    <row r="28">
      <c r="A28" s="3" t="inlineStr">
        <is>
          <t>D. PAYMENTS</t>
        </is>
      </c>
    </row>
    <row r="29">
      <c r="A29" t="inlineStr">
        <is>
          <t>Payments Made</t>
        </is>
      </c>
      <c r="B29" s="11">
        <f>SUMIFS(Cash_Book!$G:$G,Cash_Book!$C:$C,"BEPAARI",Cash_Book!$D:$D,"PAYMENT",Cash_Book!$E:$E,$B$3)+SUMIFS(Cash_Book!$H:$H,Cash_Book!$C:$C,"BEPAARI",Cash_Book!$D:$D,"PAYMENT",Cash_Book!$E:$E,$B$3)</f>
        <v/>
      </c>
    </row>
    <row r="30">
      <c r="A30" t="inlineStr"/>
    </row>
    <row r="31">
      <c r="A31" s="3" t="inlineStr">
        <is>
          <t>BALANCE DUE</t>
        </is>
      </c>
      <c r="B31" s="12">
        <f>B26-B29</f>
        <v/>
      </c>
    </row>
  </sheetData>
  <dataValidations count="1">
    <dataValidation sqref="B3" showDropDown="0" showInputMessage="0" showErrorMessage="0" allowBlank="0" type="list">
      <formula1>Masters!$B$3:$B$79</formula1>
    </dataValidation>
  </dataValidations>
  <pageMargins left="0.75" right="0.75" top="1" bottom="1" header="0.5" footer="0.5"/>
</worksheet>
</file>

<file path=xl/worksheets/sheet7.xml><?xml version="1.0" encoding="utf-8"?>
<worksheet xmlns="http://schemas.openxmlformats.org/spreadsheetml/2006/main">
  <sheetPr>
    <tabColor rgb="00607D8B"/>
    <outlinePr summaryBelow="1" summaryRight="1"/>
    <pageSetUpPr/>
  </sheetPr>
  <dimension ref="A1:E25"/>
  <sheetViews>
    <sheetView workbookViewId="0">
      <selection activeCell="A1" sqref="A1"/>
    </sheetView>
  </sheetViews>
  <sheetFormatPr baseColWidth="8" defaultRowHeight="15"/>
  <cols>
    <col width="26" customWidth="1" min="1" max="1"/>
    <col width="14" customWidth="1" min="2" max="2"/>
    <col width="3" customWidth="1" min="3" max="3"/>
    <col width="26" customWidth="1" min="4" max="4"/>
    <col width="14" customWidth="1" min="5" max="5"/>
  </cols>
  <sheetData>
    <row r="1">
      <c r="A1" s="1" t="inlineStr">
        <is>
          <t>BALANCE SHEET</t>
        </is>
      </c>
      <c r="E1" s="15" t="inlineStr">
        <is>
          <t>LIABILITIES = ASSETS</t>
        </is>
      </c>
    </row>
    <row r="3">
      <c r="A3" s="16" t="inlineStr">
        <is>
          <t>LIABILITIES (We Owe)</t>
        </is>
      </c>
      <c r="D3" s="17" t="inlineStr">
        <is>
          <t>ASSETS (We Have / Owed to Us)</t>
        </is>
      </c>
    </row>
    <row r="4">
      <c r="A4" s="18" t="inlineStr">
        <is>
          <t>Particulars</t>
        </is>
      </c>
      <c r="B4" s="18" t="inlineStr">
        <is>
          <t>Amount</t>
        </is>
      </c>
      <c r="D4" s="19" t="inlineStr">
        <is>
          <t>Particulars</t>
        </is>
      </c>
      <c r="E4" s="19" t="inlineStr">
        <is>
          <t>Amount</t>
        </is>
      </c>
    </row>
    <row r="5">
      <c r="A5" s="3" t="inlineStr">
        <is>
          <t>CAPITAL:</t>
        </is>
      </c>
      <c r="D5" s="3" t="inlineStr">
        <is>
          <t>CASH BALANCE:</t>
        </is>
      </c>
      <c r="E5" s="11">
        <f>Cash_Book!L8</f>
        <v/>
      </c>
    </row>
    <row r="6">
      <c r="A6" t="inlineStr">
        <is>
          <t xml:space="preserve">  Opening + Received</t>
        </is>
      </c>
      <c r="B6" s="11">
        <f>SUM(Masters!$P$3:$P$24)+SUMIFS(Cash_Book!$I:$I,Cash_Book!$C:$C,"CAPITAL",Cash_Book!$D:$D,"TAKEN")+SUMIFS(Cash_Book!$J:$J,Cash_Book!$C:$C,"CAPITAL",Cash_Book!$D:$D,"TAKEN")-SUMIFS(Cash_Book!$G:$G,Cash_Book!$C:$C,"CAPITAL",Cash_Book!$D:$D,"WITHDRAWN")-SUMIFS(Cash_Book!$H:$H,Cash_Book!$C:$C,"CAPITAL",Cash_Book!$D:$D,"WITHDRAWN")</f>
        <v/>
      </c>
    </row>
    <row r="7">
      <c r="D7" s="3" t="inlineStr">
        <is>
          <t>BANK BALANCE:</t>
        </is>
      </c>
      <c r="E7" s="11">
        <f>Cash_Book!L9</f>
        <v/>
      </c>
    </row>
    <row r="8">
      <c r="A8" s="3" t="inlineStr">
        <is>
          <t>LOANS/AMANAT:</t>
        </is>
      </c>
    </row>
    <row r="9">
      <c r="A9" t="inlineStr">
        <is>
          <t xml:space="preserve">  Taken - Repaid</t>
        </is>
      </c>
      <c r="B9" s="11">
        <f>SUMIFS(Cash_Book!$I:$I,Cash_Book!$C:$C,"LOAN",Cash_Book!$D:$D,"TAKEN")+SUMIFS(Cash_Book!$J:$J,Cash_Book!$C:$C,"LOAN",Cash_Book!$D:$D,"TAKEN")-SUMIFS(Cash_Book!$G:$G,Cash_Book!$C:$C,"LOAN",Cash_Book!$D:$D,"REPAID")-SUMIFS(Cash_Book!$H:$H,Cash_Book!$C:$C,"LOAN",Cash_Book!$D:$D,"REPAID")</f>
        <v/>
      </c>
      <c r="D9" s="3" t="inlineStr">
        <is>
          <t>PATTI (Dukandar O/S):</t>
        </is>
      </c>
    </row>
    <row r="10">
      <c r="D10" t="inlineStr">
        <is>
          <t xml:space="preserve">  From Ledger</t>
        </is>
      </c>
      <c r="E10" s="11">
        <f>Dukandar_Ledger!H81</f>
        <v/>
      </c>
    </row>
    <row r="11">
      <c r="A11" s="3" t="inlineStr">
        <is>
          <t>BEPAARI PAYABLES:</t>
        </is>
      </c>
    </row>
    <row r="12">
      <c r="A12" t="inlineStr">
        <is>
          <t xml:space="preserve">  From Ledger</t>
        </is>
      </c>
      <c r="B12" s="11">
        <f>Bepaari_Ledger!R82</f>
        <v/>
      </c>
      <c r="D12" s="3" t="inlineStr">
        <is>
          <t>ADVANCES GIVEN:</t>
        </is>
      </c>
    </row>
    <row r="13">
      <c r="D13" t="inlineStr">
        <is>
          <t xml:space="preserve">  Given - Received</t>
        </is>
      </c>
      <c r="E13" s="11">
        <f>SUMIFS(Cash_Book!$G:$G,Cash_Book!$C:$C,"ADVANCE",Cash_Book!$D:$D,"GIVEN")+SUMIFS(Cash_Book!$H:$H,Cash_Book!$C:$C,"ADVANCE",Cash_Book!$D:$D,"GIVEN")-SUMIFS(Cash_Book!$I:$I,Cash_Book!$C:$C,"ADVANCE",Cash_Book!$D:$D,"RECEIVED")-SUMIFS(Cash_Book!$J:$J,Cash_Book!$C:$C,"ADVANCE",Cash_Book!$D:$D,"RECEIVED")</f>
        <v/>
      </c>
    </row>
    <row r="14">
      <c r="A14" s="3" t="inlineStr">
        <is>
          <t>COMMISSION (Net):</t>
        </is>
      </c>
    </row>
    <row r="15">
      <c r="A15" t="inlineStr">
        <is>
          <t xml:space="preserve">  Gross - Discounts</t>
        </is>
      </c>
      <c r="B15" s="11">
        <f>Bepaari_Ledger!G82-Dukandar_Ledger!E81</f>
        <v/>
      </c>
      <c r="D15" s="3" t="inlineStr">
        <is>
          <t>EXPENSES:</t>
        </is>
      </c>
    </row>
    <row r="16">
      <c r="D16" t="inlineStr">
        <is>
          <t xml:space="preserve">  Mandi/Business</t>
        </is>
      </c>
      <c r="E16" s="11">
        <f>SUMIFS(Cash_Book!$G:$G,Cash_Book!$C:$C,"EXPENSE",Cash_Book!$D:$D,"MANDI")+SUMIFS(Cash_Book!$H:$H,Cash_Book!$C:$C,"EXPENSE",Cash_Book!$D:$D,"MANDI")+SUMIFS(Cash_Book!$G:$G,Cash_Book!$C:$C,"EXPENSE",Cash_Book!$D:$D,"TRAVEL")+SUMIFS(Cash_Book!$H:$H,Cash_Book!$C:$C,"EXPENSE",Cash_Book!$D:$D,"TRAVEL")+SUMIFS(Cash_Book!$G:$G,Cash_Book!$C:$C,"EXPENSE",Cash_Book!$D:$D,"FOOD")+SUMIFS(Cash_Book!$H:$H,Cash_Book!$C:$C,"EXPENSE",Cash_Book!$D:$D,"FOOD")+SUMIFS(Cash_Book!$G:$G,Cash_Book!$C:$C,"EXPENSE",Cash_Book!$D:$D,"SALARY")+SUMIFS(Cash_Book!$H:$H,Cash_Book!$C:$C,"EXPENSE",Cash_Book!$D:$D,"SALARY")+SUMIFS(Cash_Book!$G:$G,Cash_Book!$C:$C,"EXPENSE",Cash_Book!$D:$D,"OTHER")+SUMIFS(Cash_Book!$H:$H,Cash_Book!$C:$C,"EXPENSE",Cash_Book!$D:$D,"OTHER")</f>
        <v/>
      </c>
    </row>
    <row r="17">
      <c r="A17" t="inlineStr">
        <is>
          <t>JB COLLECTED:</t>
        </is>
      </c>
      <c r="B17" s="11">
        <f>Bepaari_Ledger!I82</f>
        <v/>
      </c>
      <c r="D17" t="inlineStr">
        <is>
          <t xml:space="preserve">  BF Discount (Expense)</t>
        </is>
      </c>
      <c r="E17" s="11">
        <f>SUMIFS(Cash_Book!$G:$G,Cash_Book!$C:$C,"EXPENSE",Cash_Book!$D:$D,"BF_DISC")+SUMIFS(Cash_Book!$H:$H,Cash_Book!$C:$C,"EXPENSE",Cash_Book!$D:$D,"BF_DISC")</f>
        <v/>
      </c>
    </row>
    <row r="18">
      <c r="A18" t="inlineStr">
        <is>
          <t>KK COLLECTED:</t>
        </is>
      </c>
      <c r="B18" s="11">
        <f>Bepaari_Ledger!H82</f>
        <v/>
      </c>
      <c r="D18" t="inlineStr">
        <is>
          <t xml:space="preserve">  JB Paid to Market</t>
        </is>
      </c>
      <c r="E18" s="11">
        <f>SUMIFS(Cash_Book!$G:$G,Cash_Book!$C:$C,"EXPENSE",Cash_Book!$D:$D,"JB_PAID")+SUMIFS(Cash_Book!$H:$H,Cash_Book!$C:$C,"EXPENSE",Cash_Book!$D:$D,"JB_PAID")</f>
        <v/>
      </c>
    </row>
    <row r="20">
      <c r="A20" s="3" t="inlineStr">
        <is>
          <t>ZAKAT PAYABLE:</t>
        </is>
      </c>
    </row>
    <row r="21">
      <c r="A21" t="inlineStr">
        <is>
          <t xml:space="preserve">  Opening + Provision - Paid</t>
        </is>
      </c>
      <c r="B21" s="11">
        <f>Masters!$X$9+SUMIFS(Cash_Book!$I:$I,Cash_Book!$C:$C,"ZAKAT",Cash_Book!$D:$D,"PROVISION")+SUMIFS(Cash_Book!$J:$J,Cash_Book!$C:$C,"ZAKAT",Cash_Book!$D:$D,"PROVISION")-SUMIFS(Cash_Book!$G:$G,Cash_Book!$C:$C,"ZAKAT",Cash_Book!$D:$D,"PAID")-SUMIFS(Cash_Book!$H:$H,Cash_Book!$C:$C,"ZAKAT",Cash_Book!$D:$D,"PAID")</f>
        <v/>
      </c>
    </row>
    <row r="23">
      <c r="A23" s="3" t="inlineStr">
        <is>
          <t>TOTAL LIABILITIES</t>
        </is>
      </c>
      <c r="B23" s="12">
        <f>B6+B9+B12+B15+B17+B18+B21</f>
        <v/>
      </c>
      <c r="D23" s="3" t="inlineStr">
        <is>
          <t>TOTAL ASSETS</t>
        </is>
      </c>
      <c r="E23" s="12">
        <f>E5+E7+E10+E13+E16+E17+E18</f>
        <v/>
      </c>
    </row>
    <row r="25">
      <c r="A25" s="20" t="inlineStr">
        <is>
          <t>DIFFERENCE (Should be 0)</t>
        </is>
      </c>
      <c r="B25" s="21">
        <f>B23-E23</f>
        <v/>
      </c>
    </row>
  </sheetData>
  <pageMargins left="0.75" right="0.75" top="1" bottom="1" header="0.5" footer="0.5"/>
</worksheet>
</file>

<file path=xl/worksheets/sheet8.xml><?xml version="1.0" encoding="utf-8"?>
<worksheet xmlns="http://schemas.openxmlformats.org/spreadsheetml/2006/main">
  <sheetPr>
    <tabColor rgb="00FFC107"/>
    <outlinePr summaryBelow="1" summaryRight="1"/>
    <pageSetUpPr/>
  </sheetPr>
  <dimension ref="A1:B20"/>
  <sheetViews>
    <sheetView workbookViewId="0">
      <selection activeCell="A1" sqref="A1"/>
    </sheetView>
  </sheetViews>
  <sheetFormatPr baseColWidth="8" defaultRowHeight="15"/>
  <cols>
    <col width="26" customWidth="1" min="1" max="1"/>
    <col width="14" customWidth="1" min="2" max="2"/>
  </cols>
  <sheetData>
    <row r="1">
      <c r="A1" s="1" t="inlineStr">
        <is>
          <t>COMMISSION &amp; PROFIT SUMMARY</t>
        </is>
      </c>
    </row>
    <row r="2">
      <c r="A2" t="inlineStr"/>
    </row>
    <row r="3">
      <c r="A3" s="3" t="inlineStr">
        <is>
          <t>GROSS SALES</t>
        </is>
      </c>
      <c r="B3" s="11">
        <f>Bepaari_Ledger!E82</f>
        <v/>
      </c>
    </row>
    <row r="4">
      <c r="A4" s="3" t="inlineStr">
        <is>
          <t>TOTAL GOATS SOLD</t>
        </is>
      </c>
      <c r="B4" s="22">
        <f>Bepaari_Ledger!F82</f>
        <v/>
      </c>
    </row>
    <row r="5">
      <c r="A5" t="inlineStr"/>
    </row>
    <row r="6">
      <c r="A6" s="3" t="inlineStr">
        <is>
          <t>INCOME:</t>
        </is>
      </c>
    </row>
    <row r="7">
      <c r="A7" t="inlineStr">
        <is>
          <t xml:space="preserve">  Commission Earned</t>
        </is>
      </c>
      <c r="B7" s="11">
        <f>Bepaari_Ledger!G82</f>
        <v/>
      </c>
    </row>
    <row r="8">
      <c r="A8" t="inlineStr">
        <is>
          <t xml:space="preserve">  (-) Discounts Given</t>
        </is>
      </c>
      <c r="B8" s="11">
        <f>-Dukandar_Ledger!E81</f>
        <v/>
      </c>
    </row>
    <row r="9">
      <c r="A9" t="inlineStr">
        <is>
          <t xml:space="preserve">  Net Commission</t>
        </is>
      </c>
      <c r="B9" s="11">
        <f>B6+B7</f>
        <v/>
      </c>
    </row>
    <row r="10">
      <c r="A10" t="inlineStr">
        <is>
          <t xml:space="preserve">  JB Collected</t>
        </is>
      </c>
      <c r="B10" s="11">
        <f>Bepaari_Ledger!I82</f>
        <v/>
      </c>
    </row>
    <row r="11">
      <c r="A11" t="inlineStr">
        <is>
          <t xml:space="preserve">  KK Collected</t>
        </is>
      </c>
      <c r="B11" s="11">
        <f>Bepaari_Ledger!H82</f>
        <v/>
      </c>
    </row>
    <row r="12">
      <c r="A12" s="3" t="inlineStr">
        <is>
          <t>TOTAL INCOME</t>
        </is>
      </c>
      <c r="B12" s="12">
        <f>B8+B9+B10</f>
        <v/>
      </c>
    </row>
    <row r="13">
      <c r="A13" t="inlineStr"/>
    </row>
    <row r="14">
      <c r="A14" s="3" t="inlineStr">
        <is>
          <t>EXPENSES:</t>
        </is>
      </c>
    </row>
    <row r="15">
      <c r="A15" t="inlineStr">
        <is>
          <t xml:space="preserve">  Mandi/Business</t>
        </is>
      </c>
      <c r="B15" s="11">
        <f>SUMIFS(Cash_Book!$G:$G,Cash_Book!$C:$C,"EXPENSE",Cash_Book!$D:$D,"MANDI")+SUMIFS(Cash_Book!$H:$H,Cash_Book!$C:$C,"EXPENSE",Cash_Book!$D:$D,"MANDI")+SUMIFS(Cash_Book!$G:$G,Cash_Book!$C:$C,"EXPENSE",Cash_Book!$D:$D,"TRAVEL")+SUMIFS(Cash_Book!$H:$H,Cash_Book!$C:$C,"EXPENSE",Cash_Book!$D:$D,"TRAVEL")+SUMIFS(Cash_Book!$G:$G,Cash_Book!$C:$C,"EXPENSE",Cash_Book!$D:$D,"FOOD")+SUMIFS(Cash_Book!$H:$H,Cash_Book!$C:$C,"EXPENSE",Cash_Book!$D:$D,"FOOD")+SUMIFS(Cash_Book!$G:$G,Cash_Book!$C:$C,"EXPENSE",Cash_Book!$D:$D,"SALARY")+SUMIFS(Cash_Book!$H:$H,Cash_Book!$C:$C,"EXPENSE",Cash_Book!$D:$D,"SALARY")+SUMIFS(Cash_Book!$G:$G,Cash_Book!$C:$C,"EXPENSE",Cash_Book!$D:$D,"OTHER")+SUMIFS(Cash_Book!$H:$H,Cash_Book!$C:$C,"EXPENSE",Cash_Book!$D:$D,"OTHER")</f>
        <v/>
      </c>
    </row>
    <row r="16">
      <c r="A16" t="inlineStr">
        <is>
          <t xml:space="preserve">  BF Discount (Expense)</t>
        </is>
      </c>
      <c r="B16" s="11">
        <f>SUMIFS(Cash_Book!$G:$G,Cash_Book!$C:$C,"EXPENSE",Cash_Book!$D:$D,"BF_DISC")+SUMIFS(Cash_Book!$H:$H,Cash_Book!$C:$C,"EXPENSE",Cash_Book!$D:$D,"BF_DISC")</f>
        <v/>
      </c>
    </row>
    <row r="17">
      <c r="A17" t="inlineStr">
        <is>
          <t xml:space="preserve">  JB Paid to Market</t>
        </is>
      </c>
      <c r="B17" s="11">
        <f>SUMIFS(Cash_Book!$G:$G,Cash_Book!$C:$C,"EXPENSE",Cash_Book!$D:$D,"JB_PAID")+SUMIFS(Cash_Book!$H:$H,Cash_Book!$C:$C,"EXPENSE",Cash_Book!$D:$D,"JB_PAID")</f>
        <v/>
      </c>
    </row>
    <row r="18">
      <c r="A18" s="3" t="inlineStr">
        <is>
          <t>TOTAL EXPENSES</t>
        </is>
      </c>
      <c r="B18" s="12">
        <f>B14+B15+B16</f>
        <v/>
      </c>
    </row>
    <row r="19">
      <c r="A19" t="inlineStr"/>
    </row>
    <row r="20">
      <c r="A20" s="3" t="inlineStr">
        <is>
          <t>NET PROFIT/LOSS</t>
        </is>
      </c>
      <c r="B20" s="12">
        <f>B11-B17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2026-03-22T14:55:58Z</dcterms:created>
  <dcterms:modified xsi:type="dcterms:W3CDTF">2026-03-22T14:55:59Z</dcterms:modified>
</cp:coreProperties>
</file>