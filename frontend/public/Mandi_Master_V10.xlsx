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okups" sheetId="1" state="visible" r:id="rId1"/>
    <sheet name="Masters" sheetId="2" state="visible" r:id="rId2"/>
    <sheet name="Daily_Sales" sheetId="3" state="visible" r:id="rId3"/>
    <sheet name="Cash_Book" sheetId="4" state="visible" r:id="rId4"/>
    <sheet name="JV_Entries" sheetId="5" state="visible" r:id="rId5"/>
    <sheet name="Adjustments" sheetId="6" state="visible" r:id="rId6"/>
    <sheet name="Bepaari_Ledger" sheetId="7" state="visible" r:id="rId7"/>
    <sheet name="Dukandar_Ledger" sheetId="8" state="visible" r:id="rId8"/>
    <sheet name="Capital_Loan_Ledger" sheetId="9" state="visible" r:id="rId9"/>
    <sheet name="Bepaari_Aakda" sheetId="10" state="visible" r:id="rId10"/>
    <sheet name="Balance_Sheet" sheetId="11" state="visible" r:id="rId11"/>
    <sheet name="Commission_Summary" sheetId="12" state="visible" r:id="rId12"/>
  </sheets>
  <definedNames>
    <definedName name="BEPAARI">Masters!$B$3:$B$52</definedName>
    <definedName name="DUKANDAR">Masters!$I$3:$I$52</definedName>
    <definedName name="CAPITAL">Masters!$O$3:$O$32</definedName>
    <definedName name="LOAN">Masters!$O$3:$O$32</definedName>
    <definedName name="AMANAT">Masters!$O$3:$O$32</definedName>
    <definedName name="ADVANCE">Masters!$T$3:$T$22</definedName>
    <definedName name="EXPENSE">Lookups!$B$3:$B$3</definedName>
    <definedName name="ZAKAT">Lookups!$B$3:$B$3</definedName>
    <definedName name="DRAWINGS">Lookups!$B$3:$B$3</definedName>
    <definedName name="OTHER">Lookups!$B$3:$B$3</definedName>
    <definedName name="ST_BEPAARI">Lookups!$D$3:$D$8</definedName>
    <definedName name="ST_DUKANDAR">Lookups!$E$3:$E$5</definedName>
    <definedName name="ST_CAPITAL">Lookups!$F$3:$F$5</definedName>
    <definedName name="ST_LOAN">Lookups!$G$3:$G$4</definedName>
    <definedName name="ST_AMANAT">Lookups!$G$3:$G$4</definedName>
    <definedName name="ST_ADVANCE">Lookups!$H$3:$H$4</definedName>
    <definedName name="ST_EXPENSE">Lookups!$I$3:$I$14</definedName>
    <definedName name="ST_ZAKAT">Lookups!$J$3:$J$4</definedName>
    <definedName name="ST_DRAWINGS">Lookups!$K$3:$K$4</definedName>
    <definedName name="ST_OTHER">Lookups!$L$3:$L$4</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11">
    <font>
      <name val="Calibri"/>
      <family val="2"/>
      <color theme="1"/>
      <sz val="11"/>
      <scheme val="minor"/>
    </font>
    <font>
      <b val="1"/>
      <color rgb="000D47A1"/>
      <sz val="14"/>
    </font>
    <font>
      <b val="1"/>
    </font>
    <font>
      <b val="1"/>
      <color rgb="00FFFFFF"/>
      <sz val="11"/>
    </font>
    <font>
      <b val="1"/>
      <color rgb="001565C0"/>
    </font>
    <font>
      <i val="1"/>
      <sz val="9"/>
    </font>
    <font>
      <b val="1"/>
      <color rgb="001565C0"/>
      <sz val="11"/>
    </font>
    <font>
      <b val="1"/>
      <i val="1"/>
    </font>
    <font>
      <b val="1"/>
      <sz val="12"/>
    </font>
    <font>
      <i val="1"/>
      <color rgb="00FF0000"/>
      <sz val="10"/>
    </font>
    <font>
      <b val="1"/>
      <color rgb="00FF0000"/>
    </font>
  </fonts>
  <fills count="11">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E65100"/>
        <bgColor rgb="00E65100"/>
      </patternFill>
    </fill>
    <fill>
      <patternFill patternType="solid">
        <fgColor rgb="006A1B9A"/>
        <bgColor rgb="006A1B9A"/>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3" fontId="0" fillId="3" borderId="0" pivotButton="0" quotePrefix="0" xfId="0"/>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6" fillId="0" borderId="0" pivotButton="0" quotePrefix="0" xfId="0"/>
    <xf numFmtId="0" fontId="5" fillId="0" borderId="0" pivotButton="0" quotePrefix="0" xfId="0"/>
    <xf numFmtId="164" fontId="0" fillId="0" borderId="0" pivotButton="0" quotePrefix="0" xfId="0"/>
    <xf numFmtId="164" fontId="2" fillId="4" borderId="0" pivotButton="0" quotePrefix="0" xfId="0"/>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3" fontId="0" fillId="0" borderId="0" pivotButton="0" quotePrefix="0" xfId="0"/>
    <xf numFmtId="164" fontId="2" fillId="0" borderId="0" pivotButton="0" quotePrefix="0" xfId="0"/>
    <xf numFmtId="0" fontId="7" fillId="0" borderId="0" pivotButton="0" quotePrefix="0" xfId="0"/>
    <xf numFmtId="164" fontId="8" fillId="4" borderId="0" pivotButton="0" quotePrefix="0" xfId="0"/>
    <xf numFmtId="0" fontId="9" fillId="0" borderId="0" pivotButton="0" quotePrefix="0" xfId="0"/>
    <xf numFmtId="0" fontId="6" fillId="7" borderId="0" pivotButton="0" quotePrefix="0" xfId="0"/>
    <xf numFmtId="0" fontId="6" fillId="9" borderId="0" pivotButton="0" quotePrefix="0" xfId="0"/>
    <xf numFmtId="0" fontId="3" fillId="8" borderId="0" applyAlignment="1" pivotButton="0" quotePrefix="0" xfId="0">
      <alignment horizontal="center" vertical="center" wrapText="1"/>
    </xf>
    <xf numFmtId="0" fontId="3" fillId="10" borderId="0" applyAlignment="1" pivotButton="0" quotePrefix="0" xfId="0">
      <alignment horizontal="center" vertical="center" wrapText="1"/>
    </xf>
    <xf numFmtId="0" fontId="8" fillId="0" borderId="0" pivotButton="0" quotePrefix="0" xfId="0"/>
    <xf numFmtId="0" fontId="10" fillId="0" borderId="0" pivotButton="0" quotePrefix="0" xfId="0"/>
    <xf numFmtId="164" fontId="10" fillId="0" borderId="0" pivotButton="0" quotePrefix="0" xfId="0"/>
    <xf numFmtId="3"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E9E9E"/>
    <outlinePr summaryBelow="1" summaryRight="1"/>
    <pageSetUpPr/>
  </sheetPr>
  <dimension ref="A1:L14"/>
  <sheetViews>
    <sheetView workbookViewId="0">
      <selection activeCell="A1" sqref="A1"/>
    </sheetView>
  </sheetViews>
  <sheetFormatPr baseColWidth="8" defaultRowHeight="15"/>
  <sheetData>
    <row r="1">
      <c r="A1" s="1" t="inlineStr">
        <is>
          <t>LOOKUP TABLES (Do not edit)</t>
        </is>
      </c>
    </row>
    <row r="2">
      <c r="B2" t="inlineStr">
        <is>
          <t>NO_PARTY</t>
        </is>
      </c>
      <c r="D2" s="2" t="inlineStr">
        <is>
          <t>ST_BEPAARI</t>
        </is>
      </c>
      <c r="E2" s="2" t="inlineStr">
        <is>
          <t>ST_DUKANDAR</t>
        </is>
      </c>
      <c r="F2" s="2" t="inlineStr">
        <is>
          <t>ST_CAPITAL</t>
        </is>
      </c>
      <c r="G2" s="2" t="inlineStr">
        <is>
          <t>ST_LOAN</t>
        </is>
      </c>
      <c r="H2" s="2" t="inlineStr">
        <is>
          <t>ST_ADVANCE</t>
        </is>
      </c>
      <c r="I2" s="2" t="inlineStr">
        <is>
          <t>ST_EXPENSE</t>
        </is>
      </c>
      <c r="J2" s="2" t="inlineStr">
        <is>
          <t>ST_ZAKAT</t>
        </is>
      </c>
      <c r="K2" s="2" t="inlineStr">
        <is>
          <t>ST_DRAWINGS</t>
        </is>
      </c>
      <c r="L2" s="2" t="inlineStr">
        <is>
          <t>ST_OTHER</t>
        </is>
      </c>
    </row>
    <row r="3">
      <c r="B3" t="inlineStr">
        <is>
          <t>-</t>
        </is>
      </c>
      <c r="D3" t="inlineStr">
        <is>
          <t>PAYMENT</t>
        </is>
      </c>
      <c r="E3" t="inlineStr">
        <is>
          <t>RECEIPT</t>
        </is>
      </c>
      <c r="F3" t="inlineStr">
        <is>
          <t>TAKEN</t>
        </is>
      </c>
      <c r="G3" t="inlineStr">
        <is>
          <t>TAKEN</t>
        </is>
      </c>
      <c r="H3" t="inlineStr">
        <is>
          <t>GIVEN</t>
        </is>
      </c>
      <c r="I3" t="inlineStr">
        <is>
          <t>MANDI</t>
        </is>
      </c>
      <c r="J3" t="inlineStr">
        <is>
          <t>PROVISION</t>
        </is>
      </c>
      <c r="K3" t="inlineStr">
        <is>
          <t>MHN_PERSONAL</t>
        </is>
      </c>
      <c r="L3" t="inlineStr">
        <is>
          <t>MISC</t>
        </is>
      </c>
    </row>
    <row r="4">
      <c r="D4" t="inlineStr">
        <is>
          <t>MOTOR</t>
        </is>
      </c>
      <c r="E4" t="inlineStr">
        <is>
          <t>DISCOUNT</t>
        </is>
      </c>
      <c r="F4" t="inlineStr">
        <is>
          <t>WITHDRAWN</t>
        </is>
      </c>
      <c r="G4" t="inlineStr">
        <is>
          <t>REPAID</t>
        </is>
      </c>
      <c r="H4" t="inlineStr">
        <is>
          <t>RECEIVED</t>
        </is>
      </c>
      <c r="I4" t="inlineStr">
        <is>
          <t>TRAVEL</t>
        </is>
      </c>
      <c r="J4" t="inlineStr">
        <is>
          <t>PAID</t>
        </is>
      </c>
      <c r="K4" t="inlineStr">
        <is>
          <t>ADJUSTED</t>
        </is>
      </c>
      <c r="L4" t="inlineStr">
        <is>
          <t>OTHER</t>
        </is>
      </c>
    </row>
    <row r="5">
      <c r="D5" t="inlineStr">
        <is>
          <t>BHUSSA</t>
        </is>
      </c>
      <c r="E5" t="inlineStr">
        <is>
          <t>OTHER</t>
        </is>
      </c>
      <c r="F5" t="inlineStr">
        <is>
          <t>PROFIT_TO_CAP</t>
        </is>
      </c>
      <c r="I5" t="inlineStr">
        <is>
          <t>FOOD</t>
        </is>
      </c>
    </row>
    <row r="6">
      <c r="D6" t="inlineStr">
        <is>
          <t>GAWALI</t>
        </is>
      </c>
      <c r="I6" t="inlineStr">
        <is>
          <t>SALARY</t>
        </is>
      </c>
    </row>
    <row r="7">
      <c r="D7" t="inlineStr">
        <is>
          <t>CASH_ADV</t>
        </is>
      </c>
      <c r="I7" t="inlineStr">
        <is>
          <t>BF_DISC</t>
        </is>
      </c>
    </row>
    <row r="8">
      <c r="D8" t="inlineStr">
        <is>
          <t>OTHER</t>
        </is>
      </c>
      <c r="I8" t="inlineStr">
        <is>
          <t>JB_PAID</t>
        </is>
      </c>
    </row>
    <row r="9">
      <c r="I9" t="inlineStr">
        <is>
          <t>JB_WITHDRAW</t>
        </is>
      </c>
    </row>
    <row r="10">
      <c r="I10" t="inlineStr">
        <is>
          <t>KK_WITHDRAW</t>
        </is>
      </c>
    </row>
    <row r="11">
      <c r="I11" t="inlineStr">
        <is>
          <t>COMM_WITHDRAW</t>
        </is>
      </c>
    </row>
    <row r="12">
      <c r="I12" t="inlineStr">
        <is>
          <t>PROFIT_WITHDRAW</t>
        </is>
      </c>
    </row>
    <row r="13">
      <c r="I13" t="inlineStr">
        <is>
          <t>MISC</t>
        </is>
      </c>
    </row>
    <row r="14">
      <c r="I14" t="inlineStr">
        <is>
          <t>OTHER</t>
        </is>
      </c>
    </row>
  </sheetData>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Y52"/>
  <sheetViews>
    <sheetView workbookViewId="0">
      <selection activeCell="A1" sqref="A1"/>
    </sheetView>
  </sheetViews>
  <sheetFormatPr baseColWidth="8" defaultRowHeight="15"/>
  <cols>
    <col width="4" customWidth="1" min="1" max="1"/>
    <col width="22" customWidth="1" min="2" max="2"/>
    <col width="8" customWidth="1" min="3" max="3"/>
    <col width="12" customWidth="1" min="4" max="4"/>
    <col width="14" customWidth="1" min="5" max="5"/>
    <col width="10" customWidth="1" min="6" max="6"/>
    <col width="10" customWidth="1" min="7" max="7"/>
    <col width="2" customWidth="1" min="8" max="8"/>
    <col width="4" customWidth="1" min="9" max="9"/>
    <col width="22" customWidth="1" min="10" max="10"/>
    <col width="14" customWidth="1" min="11" max="11"/>
    <col width="10" customWidth="1" min="12" max="12"/>
    <col width="10" customWidth="1" min="13" max="13"/>
    <col width="2" customWidth="1" min="14" max="14"/>
    <col width="4" customWidth="1" min="15" max="15"/>
    <col width="26" customWidth="1" min="16" max="16"/>
    <col width="14" customWidth="1" min="17" max="17"/>
    <col width="10" customWidth="1" min="18" max="18"/>
    <col width="2" customWidth="1" min="19" max="19"/>
    <col width="4" customWidth="1" min="20" max="20"/>
    <col width="20" customWidth="1" min="21" max="21"/>
    <col width="12" customWidth="1" min="22" max="22"/>
    <col width="2" customWidth="1" min="23" max="23"/>
    <col width="26" customWidth="1" min="24" max="24"/>
    <col width="14" customWidth="1" min="25" max="25"/>
  </cols>
  <sheetData>
    <row r="1">
      <c r="A1" s="1" t="inlineStr">
        <is>
          <t>BEPAARI MASTER</t>
        </is>
      </c>
      <c r="I1" s="1" t="inlineStr">
        <is>
          <t>DUKANDAR MASTER</t>
        </is>
      </c>
      <c r="O1" s="1" t="inlineStr">
        <is>
          <t>CAPITAL/LOAN/AMANAT</t>
        </is>
      </c>
      <c r="T1" s="1" t="inlineStr">
        <is>
          <t>ADVANCE PARTIES</t>
        </is>
      </c>
      <c r="X1" s="1" t="inlineStr">
        <is>
          <t>SETTINGS &amp; OPENING BALANCES</t>
        </is>
      </c>
    </row>
    <row r="2">
      <c r="A2" s="3" t="inlineStr">
        <is>
          <t>Sr</t>
        </is>
      </c>
      <c r="B2" s="3" t="inlineStr">
        <is>
          <t>Bepaari Name</t>
        </is>
      </c>
      <c r="C2" s="3" t="inlineStr">
        <is>
          <t>Comm%</t>
        </is>
      </c>
      <c r="D2" s="3" t="inlineStr">
        <is>
          <t>Flat ₹/Goat</t>
        </is>
      </c>
      <c r="E2" s="3" t="inlineStr">
        <is>
          <t>Opening Bal</t>
        </is>
      </c>
      <c r="F2" s="3" t="inlineStr">
        <is>
          <t>Phone</t>
        </is>
      </c>
      <c r="G2" s="3" t="inlineStr">
        <is>
          <t>Remarks</t>
        </is>
      </c>
      <c r="I2" s="3" t="inlineStr">
        <is>
          <t>Sr</t>
        </is>
      </c>
      <c r="J2" s="3" t="inlineStr">
        <is>
          <t>Dukandar Name</t>
        </is>
      </c>
      <c r="K2" s="3" t="inlineStr">
        <is>
          <t>Opening Bal</t>
        </is>
      </c>
      <c r="L2" s="3" t="inlineStr">
        <is>
          <t>Phone</t>
        </is>
      </c>
      <c r="M2" s="3" t="inlineStr">
        <is>
          <t>Remarks</t>
        </is>
      </c>
      <c r="O2" s="3" t="inlineStr">
        <is>
          <t>Sr</t>
        </is>
      </c>
      <c r="P2" s="3" t="inlineStr">
        <is>
          <t>Party Name</t>
        </is>
      </c>
      <c r="Q2" s="3" t="inlineStr">
        <is>
          <t>Opening Bal</t>
        </is>
      </c>
      <c r="R2" s="3" t="inlineStr">
        <is>
          <t>Type</t>
        </is>
      </c>
      <c r="T2" s="3" t="inlineStr">
        <is>
          <t>Sr</t>
        </is>
      </c>
      <c r="U2" s="3" t="inlineStr">
        <is>
          <t>Party Name</t>
        </is>
      </c>
      <c r="V2" s="3" t="inlineStr">
        <is>
          <t>Opening Bal</t>
        </is>
      </c>
      <c r="X2" s="2" t="inlineStr">
        <is>
          <t>Commission Rate (%)</t>
        </is>
      </c>
      <c r="Y2" s="4" t="n">
        <v>4</v>
      </c>
    </row>
    <row r="3">
      <c r="A3" t="n">
        <v>1</v>
      </c>
      <c r="B3" s="5" t="inlineStr">
        <is>
          <t>ABUL HASAN</t>
        </is>
      </c>
      <c r="C3" s="5" t="n">
        <v>4</v>
      </c>
      <c r="D3" s="6" t="inlineStr"/>
      <c r="E3" s="6" t="n">
        <v>7550</v>
      </c>
      <c r="I3" t="n">
        <v>1</v>
      </c>
      <c r="J3" s="5" t="inlineStr">
        <is>
          <t>SAKIM</t>
        </is>
      </c>
      <c r="K3" s="6" t="n">
        <v>113500</v>
      </c>
      <c r="O3" t="n">
        <v>1</v>
      </c>
      <c r="P3" s="5" t="inlineStr">
        <is>
          <t>MHN CAPITAL</t>
        </is>
      </c>
      <c r="Q3" s="6" t="n">
        <v>4469981</v>
      </c>
      <c r="R3" s="5" t="inlineStr">
        <is>
          <t>CAPITAL</t>
        </is>
      </c>
      <c r="T3" t="n">
        <v>1</v>
      </c>
      <c r="U3" s="5" t="n"/>
      <c r="V3" s="6" t="n"/>
      <c r="X3" s="2" t="inlineStr">
        <is>
          <t>KK Fixed (₹/Bepari)</t>
        </is>
      </c>
      <c r="Y3" s="4" t="n">
        <v>25</v>
      </c>
    </row>
    <row r="4">
      <c r="A4" t="n">
        <v>2</v>
      </c>
      <c r="B4" s="5" t="inlineStr">
        <is>
          <t>SHARAFAT</t>
        </is>
      </c>
      <c r="C4" s="5" t="n">
        <v>4</v>
      </c>
      <c r="D4" s="6" t="inlineStr"/>
      <c r="E4" s="6" t="n">
        <v>0</v>
      </c>
      <c r="I4" t="n">
        <v>2</v>
      </c>
      <c r="J4" s="5" t="inlineStr">
        <is>
          <t>SHARIK</t>
        </is>
      </c>
      <c r="K4" s="6" t="n">
        <v>879000</v>
      </c>
      <c r="O4" t="n">
        <v>2</v>
      </c>
      <c r="P4" s="5" t="inlineStr">
        <is>
          <t>SHAKIL GHODEGAON AMANAT</t>
        </is>
      </c>
      <c r="Q4" s="6" t="n">
        <v>2000000</v>
      </c>
      <c r="R4" s="5" t="inlineStr">
        <is>
          <t>AMANAT</t>
        </is>
      </c>
      <c r="T4" t="n">
        <v>2</v>
      </c>
      <c r="U4" s="5" t="n"/>
      <c r="V4" s="6" t="n"/>
      <c r="X4" s="2" t="inlineStr">
        <is>
          <t>JB Rate (₹/Goat)</t>
        </is>
      </c>
      <c r="Y4" s="4" t="n">
        <v>1</v>
      </c>
    </row>
    <row r="5">
      <c r="A5" t="n">
        <v>3</v>
      </c>
      <c r="B5" s="5" t="inlineStr">
        <is>
          <t>JUNAID</t>
        </is>
      </c>
      <c r="C5" s="5" t="n">
        <v>4</v>
      </c>
      <c r="D5" s="6" t="inlineStr"/>
      <c r="E5" s="6" t="n">
        <v>0</v>
      </c>
      <c r="I5" t="n">
        <v>3</v>
      </c>
      <c r="J5" s="5" t="inlineStr">
        <is>
          <t>YUNUS</t>
        </is>
      </c>
      <c r="K5" s="6" t="n">
        <v>94931</v>
      </c>
      <c r="O5" t="n">
        <v>3</v>
      </c>
      <c r="P5" s="5" t="n"/>
      <c r="Q5" s="6" t="n"/>
      <c r="R5" s="5" t="n"/>
      <c r="T5" t="n">
        <v>3</v>
      </c>
      <c r="U5" s="5" t="n"/>
      <c r="V5" s="6" t="n"/>
      <c r="X5" t="inlineStr"/>
      <c r="Y5" t="inlineStr"/>
    </row>
    <row r="6">
      <c r="A6" t="n">
        <v>4</v>
      </c>
      <c r="B6" s="5" t="inlineStr">
        <is>
          <t>ANNU SHARIF</t>
        </is>
      </c>
      <c r="C6" s="5" t="n">
        <v>4</v>
      </c>
      <c r="D6" s="6" t="inlineStr"/>
      <c r="E6" s="6" t="n">
        <v>0</v>
      </c>
      <c r="I6" t="n">
        <v>4</v>
      </c>
      <c r="J6" s="5" t="inlineStr">
        <is>
          <t>MUDASSIR</t>
        </is>
      </c>
      <c r="K6" s="6" t="n">
        <v>516778</v>
      </c>
      <c r="O6" t="n">
        <v>4</v>
      </c>
      <c r="P6" s="5" t="n"/>
      <c r="Q6" s="6" t="n"/>
      <c r="R6" s="5" t="n"/>
      <c r="T6" t="n">
        <v>4</v>
      </c>
      <c r="U6" s="5" t="n"/>
      <c r="V6" s="6" t="n"/>
      <c r="X6" s="2" t="inlineStr">
        <is>
          <t>Opening Cash</t>
        </is>
      </c>
      <c r="Y6" s="6" t="n">
        <v>394906</v>
      </c>
    </row>
    <row r="7">
      <c r="A7" t="n">
        <v>5</v>
      </c>
      <c r="B7" s="5" t="inlineStr">
        <is>
          <t>GAYYUR</t>
        </is>
      </c>
      <c r="C7" s="5" t="n">
        <v>4</v>
      </c>
      <c r="D7" s="6" t="inlineStr"/>
      <c r="E7" s="6" t="n">
        <v>142530</v>
      </c>
      <c r="I7" t="n">
        <v>5</v>
      </c>
      <c r="J7" s="5" t="inlineStr">
        <is>
          <t>ARIF</t>
        </is>
      </c>
      <c r="K7" s="6" t="n">
        <v>187650</v>
      </c>
      <c r="O7" t="n">
        <v>5</v>
      </c>
      <c r="P7" s="5" t="n"/>
      <c r="Q7" s="6" t="n"/>
      <c r="R7" s="5" t="n"/>
      <c r="T7" t="n">
        <v>5</v>
      </c>
      <c r="U7" s="5" t="n"/>
      <c r="V7" s="6" t="n"/>
      <c r="X7" s="2" t="inlineStr">
        <is>
          <t>Opening Bank</t>
        </is>
      </c>
      <c r="Y7" s="6" t="n">
        <v>724604</v>
      </c>
    </row>
    <row r="8">
      <c r="A8" t="n">
        <v>6</v>
      </c>
      <c r="B8" s="5" t="inlineStr">
        <is>
          <t>KISHOR</t>
        </is>
      </c>
      <c r="C8" s="5" t="n">
        <v>4</v>
      </c>
      <c r="D8" s="6" t="inlineStr"/>
      <c r="E8" s="6" t="n">
        <v>-152964</v>
      </c>
      <c r="I8" t="n">
        <v>6</v>
      </c>
      <c r="J8" s="5" t="inlineStr">
        <is>
          <t>SHOEB BYCULLA</t>
        </is>
      </c>
      <c r="K8" s="6" t="n">
        <v>0</v>
      </c>
      <c r="O8" t="n">
        <v>6</v>
      </c>
      <c r="P8" s="5" t="n"/>
      <c r="Q8" s="6" t="n"/>
      <c r="R8" s="5" t="n"/>
      <c r="T8" t="n">
        <v>6</v>
      </c>
      <c r="U8" s="5" t="n"/>
      <c r="V8" s="6" t="n"/>
      <c r="X8" t="inlineStr"/>
      <c r="Y8" t="inlineStr"/>
    </row>
    <row r="9">
      <c r="A9" t="n">
        <v>7</v>
      </c>
      <c r="B9" s="5" t="inlineStr">
        <is>
          <t>MAULANA</t>
        </is>
      </c>
      <c r="C9" s="5" t="n">
        <v>4</v>
      </c>
      <c r="D9" s="6" t="inlineStr"/>
      <c r="E9" s="6" t="n">
        <v>35330</v>
      </c>
      <c r="I9" t="n">
        <v>7</v>
      </c>
      <c r="J9" s="5" t="inlineStr">
        <is>
          <t>ISLAM D</t>
        </is>
      </c>
      <c r="K9" s="6" t="n">
        <v>100000</v>
      </c>
      <c r="O9" t="n">
        <v>7</v>
      </c>
      <c r="P9" s="5" t="n"/>
      <c r="Q9" s="6" t="n"/>
      <c r="R9" s="5" t="n"/>
      <c r="T9" t="n">
        <v>7</v>
      </c>
      <c r="U9" s="5" t="n"/>
      <c r="V9" s="6" t="n"/>
      <c r="X9" s="7" t="inlineStr">
        <is>
          <t>--- B/F LIABILITIES ---</t>
        </is>
      </c>
      <c r="Y9" t="inlineStr"/>
    </row>
    <row r="10">
      <c r="A10" t="n">
        <v>8</v>
      </c>
      <c r="B10" s="5" t="inlineStr">
        <is>
          <t>SALIM RAJ</t>
        </is>
      </c>
      <c r="C10" s="5" t="n">
        <v>4</v>
      </c>
      <c r="D10" s="6" t="inlineStr"/>
      <c r="E10" s="6" t="n">
        <v>0</v>
      </c>
      <c r="I10" t="n">
        <v>8</v>
      </c>
      <c r="J10" s="5" t="inlineStr">
        <is>
          <t>MEHMOOD MADH</t>
        </is>
      </c>
      <c r="K10" s="6" t="n">
        <v>15000</v>
      </c>
      <c r="O10" t="n">
        <v>8</v>
      </c>
      <c r="P10" s="5" t="n"/>
      <c r="Q10" s="6" t="n"/>
      <c r="R10" s="5" t="n"/>
      <c r="T10" t="n">
        <v>8</v>
      </c>
      <c r="U10" s="5" t="n"/>
      <c r="V10" s="6" t="n"/>
      <c r="X10" s="2" t="inlineStr">
        <is>
          <t>JB Opening (B/F)</t>
        </is>
      </c>
      <c r="Y10" s="6" t="n">
        <v>17100</v>
      </c>
    </row>
    <row r="11">
      <c r="A11" t="n">
        <v>9</v>
      </c>
      <c r="B11" s="5" t="inlineStr">
        <is>
          <t>ANAS RAJ</t>
        </is>
      </c>
      <c r="C11" s="5" t="n">
        <v>4</v>
      </c>
      <c r="D11" s="6" t="inlineStr"/>
      <c r="E11" s="6" t="n">
        <v>0</v>
      </c>
      <c r="I11" t="n">
        <v>9</v>
      </c>
      <c r="J11" s="5" t="inlineStr">
        <is>
          <t>MOBIN CHIPLUN</t>
        </is>
      </c>
      <c r="K11" s="6" t="n">
        <v>486250</v>
      </c>
      <c r="O11" t="n">
        <v>9</v>
      </c>
      <c r="P11" s="5" t="n"/>
      <c r="Q11" s="6" t="n"/>
      <c r="R11" s="5" t="n"/>
      <c r="T11" t="n">
        <v>9</v>
      </c>
      <c r="U11" s="5" t="n"/>
      <c r="V11" s="6" t="n"/>
      <c r="X11" s="2" t="inlineStr">
        <is>
          <t>KK Opening (B/F)</t>
        </is>
      </c>
      <c r="Y11" s="6" t="n">
        <v>10100</v>
      </c>
    </row>
    <row r="12">
      <c r="A12" t="n">
        <v>10</v>
      </c>
      <c r="B12" s="5" t="inlineStr">
        <is>
          <t>AYAZ</t>
        </is>
      </c>
      <c r="C12" s="5" t="n">
        <v>4</v>
      </c>
      <c r="D12" s="6" t="inlineStr"/>
      <c r="E12" s="6" t="n">
        <v>1530</v>
      </c>
      <c r="I12" t="n">
        <v>10</v>
      </c>
      <c r="J12" s="5" t="inlineStr">
        <is>
          <t>JALIL</t>
        </is>
      </c>
      <c r="K12" s="6" t="n">
        <v>90950</v>
      </c>
      <c r="O12" t="n">
        <v>10</v>
      </c>
      <c r="P12" s="5" t="n"/>
      <c r="Q12" s="6" t="n"/>
      <c r="R12" s="5" t="n"/>
      <c r="T12" t="n">
        <v>10</v>
      </c>
      <c r="U12" s="5" t="n"/>
      <c r="V12" s="6" t="n"/>
      <c r="X12" s="2" t="inlineStr">
        <is>
          <t>Zakat Opening (B/F)</t>
        </is>
      </c>
      <c r="Y12" s="6" t="n">
        <v>73111</v>
      </c>
    </row>
    <row r="13">
      <c r="A13" t="n">
        <v>11</v>
      </c>
      <c r="B13" s="5" t="inlineStr">
        <is>
          <t>NEERAJ</t>
        </is>
      </c>
      <c r="C13" s="5" t="n">
        <v>4</v>
      </c>
      <c r="D13" s="6" t="inlineStr"/>
      <c r="E13" s="6" t="n">
        <v>0</v>
      </c>
      <c r="I13" t="n">
        <v>11</v>
      </c>
      <c r="J13" s="5" t="inlineStr">
        <is>
          <t>IRFAN JOGESHWARI</t>
        </is>
      </c>
      <c r="K13" s="6" t="n">
        <v>0</v>
      </c>
      <c r="O13" t="n">
        <v>11</v>
      </c>
      <c r="P13" s="5" t="n"/>
      <c r="Q13" s="6" t="n"/>
      <c r="R13" s="5" t="n"/>
      <c r="T13" t="n">
        <v>11</v>
      </c>
      <c r="U13" s="5" t="n"/>
      <c r="V13" s="6" t="n"/>
      <c r="X13" s="2" t="inlineStr">
        <is>
          <t>Commission Opening (B/F)</t>
        </is>
      </c>
      <c r="Y13" s="6" t="n">
        <v>358808</v>
      </c>
    </row>
    <row r="14">
      <c r="A14" t="n">
        <v>12</v>
      </c>
      <c r="B14" s="5" t="inlineStr">
        <is>
          <t>CHINTU SHUJALPUR</t>
        </is>
      </c>
      <c r="C14" s="5" t="n">
        <v>4</v>
      </c>
      <c r="D14" s="6" t="inlineStr"/>
      <c r="E14" s="6" t="n">
        <v>0</v>
      </c>
      <c r="I14" t="n">
        <v>12</v>
      </c>
      <c r="J14" s="5" t="inlineStr">
        <is>
          <t>YUNUS DOMBIVLI</t>
        </is>
      </c>
      <c r="K14" s="6" t="n">
        <v>59662</v>
      </c>
      <c r="O14" t="n">
        <v>12</v>
      </c>
      <c r="P14" s="5" t="n"/>
      <c r="Q14" s="6" t="n"/>
      <c r="R14" s="5" t="n"/>
      <c r="T14" t="n">
        <v>12</v>
      </c>
      <c r="U14" s="5" t="n"/>
      <c r="V14" s="6" t="n"/>
      <c r="X14" t="inlineStr"/>
      <c r="Y14" t="inlineStr"/>
    </row>
    <row r="15">
      <c r="A15" t="n">
        <v>13</v>
      </c>
      <c r="B15" s="5" t="inlineStr">
        <is>
          <t>SANNA</t>
        </is>
      </c>
      <c r="C15" s="5" t="n">
        <v>4</v>
      </c>
      <c r="D15" s="6" t="inlineStr"/>
      <c r="E15" s="6" t="n">
        <v>-14048</v>
      </c>
      <c r="I15" t="n">
        <v>13</v>
      </c>
      <c r="J15" s="5" t="inlineStr">
        <is>
          <t>IFTEKHAR PUNE</t>
        </is>
      </c>
      <c r="K15" s="6" t="n">
        <v>2000</v>
      </c>
      <c r="O15" t="n">
        <v>13</v>
      </c>
      <c r="P15" s="5" t="n"/>
      <c r="Q15" s="6" t="n"/>
      <c r="R15" s="5" t="n"/>
      <c r="T15" t="n">
        <v>13</v>
      </c>
      <c r="U15" s="5" t="n"/>
      <c r="V15" s="6" t="n"/>
      <c r="X15" s="7" t="inlineStr">
        <is>
          <t>--- B/F ASSETS ---</t>
        </is>
      </c>
      <c r="Y15" t="inlineStr"/>
    </row>
    <row r="16">
      <c r="A16" t="n">
        <v>14</v>
      </c>
      <c r="B16" s="5" t="inlineStr">
        <is>
          <t>WAHID</t>
        </is>
      </c>
      <c r="C16" s="5" t="n">
        <v>4</v>
      </c>
      <c r="D16" s="6" t="inlineStr"/>
      <c r="E16" s="6" t="n">
        <v>-4661</v>
      </c>
      <c r="I16" t="n">
        <v>14</v>
      </c>
      <c r="J16" s="5" t="inlineStr">
        <is>
          <t>LALA/ASIF</t>
        </is>
      </c>
      <c r="K16" s="6" t="n">
        <v>0</v>
      </c>
      <c r="O16" t="n">
        <v>14</v>
      </c>
      <c r="P16" s="5" t="n"/>
      <c r="Q16" s="6" t="n"/>
      <c r="R16" s="5" t="n"/>
      <c r="T16" t="n">
        <v>14</v>
      </c>
      <c r="U16" s="5" t="n"/>
      <c r="V16" s="6" t="n"/>
      <c r="X16" s="2" t="inlineStr">
        <is>
          <t>Mandi Exp Opening (B/F)</t>
        </is>
      </c>
      <c r="Y16" s="6" t="n">
        <v>17450</v>
      </c>
    </row>
    <row r="17">
      <c r="A17" t="n">
        <v>15</v>
      </c>
      <c r="B17" s="5" t="inlineStr">
        <is>
          <t>MANSOOR</t>
        </is>
      </c>
      <c r="C17" s="5" t="n">
        <v>4</v>
      </c>
      <c r="D17" s="6" t="inlineStr"/>
      <c r="E17" s="6" t="n">
        <v>-9845</v>
      </c>
      <c r="I17" t="n">
        <v>15</v>
      </c>
      <c r="J17" s="5" t="inlineStr">
        <is>
          <t>JAFER KASHIMIRA</t>
        </is>
      </c>
      <c r="K17" s="6" t="n">
        <v>92500</v>
      </c>
      <c r="O17" t="n">
        <v>15</v>
      </c>
      <c r="P17" s="5" t="n"/>
      <c r="Q17" s="6" t="n"/>
      <c r="R17" s="5" t="n"/>
      <c r="T17" t="n">
        <v>15</v>
      </c>
      <c r="U17" s="5" t="n"/>
      <c r="V17" s="6" t="n"/>
      <c r="X17" s="2" t="inlineStr">
        <is>
          <t>BF Discount Opening (B/F)</t>
        </is>
      </c>
      <c r="Y17" s="6" t="n">
        <v>24816</v>
      </c>
    </row>
    <row r="18">
      <c r="A18" t="n">
        <v>16</v>
      </c>
      <c r="B18" s="5" t="inlineStr">
        <is>
          <t>AYAZ PREVIOUS BAL</t>
        </is>
      </c>
      <c r="C18" s="5" t="n">
        <v>4</v>
      </c>
      <c r="D18" s="6" t="inlineStr"/>
      <c r="E18" s="6" t="n">
        <v>-88000</v>
      </c>
      <c r="I18" t="n">
        <v>16</v>
      </c>
      <c r="J18" s="5" t="inlineStr">
        <is>
          <t>HANIF KALAM</t>
        </is>
      </c>
      <c r="K18" s="6" t="n">
        <v>0</v>
      </c>
      <c r="O18" t="n">
        <v>16</v>
      </c>
      <c r="P18" s="5" t="n"/>
      <c r="Q18" s="6" t="n"/>
      <c r="R18" s="5" t="n"/>
      <c r="T18" t="n">
        <v>16</v>
      </c>
      <c r="U18" s="5" t="n"/>
      <c r="V18" s="6" t="n"/>
      <c r="X18" s="2" t="inlineStr">
        <is>
          <t>MHN Personal Opening (B/F)</t>
        </is>
      </c>
      <c r="Y18" s="6" t="n">
        <v>294265</v>
      </c>
    </row>
    <row r="19">
      <c r="A19" t="n">
        <v>17</v>
      </c>
      <c r="B19" s="5" t="inlineStr">
        <is>
          <t>SHAKIL SHUJALPUR</t>
        </is>
      </c>
      <c r="C19" s="5" t="n">
        <v>4</v>
      </c>
      <c r="D19" s="6" t="inlineStr"/>
      <c r="E19" s="6" t="n">
        <v>660</v>
      </c>
      <c r="I19" t="n">
        <v>17</v>
      </c>
      <c r="J19" s="5" t="inlineStr">
        <is>
          <t>SAUD K</t>
        </is>
      </c>
      <c r="K19" s="6" t="n">
        <v>0</v>
      </c>
      <c r="O19" t="n">
        <v>17</v>
      </c>
      <c r="P19" s="5" t="n"/>
      <c r="Q19" s="6" t="n"/>
      <c r="R19" s="5" t="n"/>
      <c r="T19" t="n">
        <v>17</v>
      </c>
      <c r="U19" s="5" t="n"/>
      <c r="V19" s="6" t="n"/>
    </row>
    <row r="20">
      <c r="A20" t="n">
        <v>18</v>
      </c>
      <c r="B20" s="5" t="inlineStr">
        <is>
          <t>USMAN</t>
        </is>
      </c>
      <c r="C20" s="5" t="n">
        <v>4</v>
      </c>
      <c r="D20" s="6" t="inlineStr"/>
      <c r="E20" s="6" t="n">
        <v>40440</v>
      </c>
      <c r="I20" t="n">
        <v>18</v>
      </c>
      <c r="J20" s="5" t="inlineStr">
        <is>
          <t>AKRAM</t>
        </is>
      </c>
      <c r="K20" s="6" t="n">
        <v>0</v>
      </c>
      <c r="O20" t="n">
        <v>18</v>
      </c>
      <c r="P20" s="5" t="n"/>
      <c r="Q20" s="6" t="n"/>
      <c r="R20" s="5" t="n"/>
      <c r="T20" t="n">
        <v>18</v>
      </c>
      <c r="U20" s="5" t="n"/>
      <c r="V20" s="6" t="n"/>
    </row>
    <row r="21">
      <c r="A21" t="n">
        <v>19</v>
      </c>
      <c r="B21" s="5" t="n"/>
      <c r="C21" s="5" t="n">
        <v>4</v>
      </c>
      <c r="D21" s="5" t="n"/>
      <c r="E21" s="6" t="n"/>
      <c r="F21" s="5" t="n"/>
      <c r="G21" s="5" t="n"/>
      <c r="I21" t="n">
        <v>19</v>
      </c>
      <c r="J21" s="5" t="inlineStr">
        <is>
          <t>WAHID</t>
        </is>
      </c>
      <c r="K21" s="6" t="n">
        <v>4000</v>
      </c>
      <c r="O21" t="n">
        <v>19</v>
      </c>
      <c r="P21" s="5" t="n"/>
      <c r="Q21" s="6" t="n"/>
      <c r="R21" s="5" t="n"/>
      <c r="T21" t="n">
        <v>19</v>
      </c>
      <c r="U21" s="5" t="n"/>
      <c r="V21" s="6" t="n"/>
    </row>
    <row r="22">
      <c r="A22" t="n">
        <v>20</v>
      </c>
      <c r="B22" s="5" t="n"/>
      <c r="C22" s="5" t="n">
        <v>4</v>
      </c>
      <c r="D22" s="5" t="n"/>
      <c r="E22" s="6" t="n"/>
      <c r="F22" s="5" t="n"/>
      <c r="G22" s="5" t="n"/>
      <c r="I22" t="n">
        <v>20</v>
      </c>
      <c r="J22" s="5" t="inlineStr">
        <is>
          <t>VAZIR</t>
        </is>
      </c>
      <c r="K22" s="6" t="n">
        <v>134750</v>
      </c>
      <c r="O22" t="n">
        <v>20</v>
      </c>
      <c r="P22" s="5" t="n"/>
      <c r="Q22" s="6" t="n"/>
      <c r="R22" s="5" t="n"/>
      <c r="T22" t="n">
        <v>20</v>
      </c>
      <c r="U22" s="5" t="n"/>
      <c r="V22" s="6" t="n"/>
    </row>
    <row r="23">
      <c r="A23" t="n">
        <v>21</v>
      </c>
      <c r="B23" s="5" t="n"/>
      <c r="C23" s="5" t="n">
        <v>4</v>
      </c>
      <c r="D23" s="5" t="n"/>
      <c r="E23" s="6" t="n"/>
      <c r="F23" s="5" t="n"/>
      <c r="G23" s="5" t="n"/>
      <c r="I23" t="n">
        <v>21</v>
      </c>
      <c r="J23" s="5" t="inlineStr">
        <is>
          <t>ISMAIL SOPARA</t>
        </is>
      </c>
      <c r="K23" s="6" t="n">
        <v>0</v>
      </c>
      <c r="O23" t="n">
        <v>21</v>
      </c>
      <c r="P23" s="5" t="n"/>
      <c r="Q23" s="6" t="n"/>
      <c r="R23" s="5" t="n"/>
    </row>
    <row r="24">
      <c r="A24" t="n">
        <v>22</v>
      </c>
      <c r="B24" s="5" t="n"/>
      <c r="C24" s="5" t="n">
        <v>4</v>
      </c>
      <c r="D24" s="5" t="n"/>
      <c r="E24" s="6" t="n"/>
      <c r="F24" s="5" t="n"/>
      <c r="G24" s="5" t="n"/>
      <c r="I24" t="n">
        <v>22</v>
      </c>
      <c r="J24" s="5" t="inlineStr">
        <is>
          <t>ARIF CHINCHOTI</t>
        </is>
      </c>
      <c r="K24" s="6" t="n">
        <v>0</v>
      </c>
      <c r="O24" t="n">
        <v>22</v>
      </c>
      <c r="P24" s="5" t="n"/>
      <c r="Q24" s="6" t="n"/>
      <c r="R24" s="5" t="n"/>
    </row>
    <row r="25">
      <c r="A25" t="n">
        <v>23</v>
      </c>
      <c r="B25" s="5" t="n"/>
      <c r="C25" s="5" t="n">
        <v>4</v>
      </c>
      <c r="D25" s="5" t="n"/>
      <c r="E25" s="6" t="n"/>
      <c r="F25" s="5" t="n"/>
      <c r="G25" s="5" t="n"/>
      <c r="I25" t="n">
        <v>23</v>
      </c>
      <c r="J25" s="5" t="inlineStr">
        <is>
          <t>NADEEM BHIWANDI</t>
        </is>
      </c>
      <c r="K25" s="6" t="n">
        <v>265000</v>
      </c>
      <c r="O25" t="n">
        <v>23</v>
      </c>
      <c r="P25" s="5" t="n"/>
      <c r="Q25" s="6" t="n"/>
      <c r="R25" s="5" t="n"/>
    </row>
    <row r="26">
      <c r="A26" t="n">
        <v>24</v>
      </c>
      <c r="B26" s="5" t="n"/>
      <c r="C26" s="5" t="n">
        <v>4</v>
      </c>
      <c r="D26" s="5" t="n"/>
      <c r="E26" s="6" t="n"/>
      <c r="F26" s="5" t="n"/>
      <c r="G26" s="5" t="n"/>
      <c r="I26" t="n">
        <v>24</v>
      </c>
      <c r="J26" s="5" t="inlineStr">
        <is>
          <t>GABBAR</t>
        </is>
      </c>
      <c r="K26" s="6" t="n">
        <v>33050</v>
      </c>
      <c r="O26" t="n">
        <v>24</v>
      </c>
      <c r="P26" s="5" t="n"/>
      <c r="Q26" s="6" t="n"/>
      <c r="R26" s="5" t="n"/>
    </row>
    <row r="27">
      <c r="A27" t="n">
        <v>25</v>
      </c>
      <c r="B27" s="5" t="n"/>
      <c r="C27" s="5" t="n">
        <v>4</v>
      </c>
      <c r="D27" s="5" t="n"/>
      <c r="E27" s="6" t="n"/>
      <c r="F27" s="5" t="n"/>
      <c r="G27" s="5" t="n"/>
      <c r="I27" t="n">
        <v>25</v>
      </c>
      <c r="J27" s="5" t="inlineStr">
        <is>
          <t>BABU GABBAR</t>
        </is>
      </c>
      <c r="K27" s="6" t="n">
        <v>50000</v>
      </c>
      <c r="O27" t="n">
        <v>25</v>
      </c>
      <c r="P27" s="5" t="n"/>
      <c r="Q27" s="6" t="n"/>
      <c r="R27" s="5" t="n"/>
    </row>
    <row r="28">
      <c r="A28" t="n">
        <v>26</v>
      </c>
      <c r="B28" s="5" t="n"/>
      <c r="C28" s="5" t="n">
        <v>4</v>
      </c>
      <c r="D28" s="5" t="n"/>
      <c r="E28" s="6" t="n"/>
      <c r="F28" s="5" t="n"/>
      <c r="G28" s="5" t="n"/>
      <c r="I28" t="n">
        <v>26</v>
      </c>
      <c r="J28" s="5" t="inlineStr">
        <is>
          <t>BABU TALOJA</t>
        </is>
      </c>
      <c r="K28" s="6" t="n">
        <v>2600</v>
      </c>
      <c r="O28" t="n">
        <v>26</v>
      </c>
      <c r="P28" s="5" t="n"/>
      <c r="Q28" s="6" t="n"/>
      <c r="R28" s="5" t="n"/>
    </row>
    <row r="29">
      <c r="A29" t="n">
        <v>27</v>
      </c>
      <c r="B29" s="5" t="n"/>
      <c r="C29" s="5" t="n">
        <v>4</v>
      </c>
      <c r="D29" s="5" t="n"/>
      <c r="E29" s="6" t="n"/>
      <c r="F29" s="5" t="n"/>
      <c r="G29" s="5" t="n"/>
      <c r="I29" t="n">
        <v>27</v>
      </c>
      <c r="J29" s="5" t="inlineStr">
        <is>
          <t>SHAKIL KON</t>
        </is>
      </c>
      <c r="K29" s="6" t="n">
        <v>34000</v>
      </c>
      <c r="O29" t="n">
        <v>27</v>
      </c>
      <c r="P29" s="5" t="n"/>
      <c r="Q29" s="6" t="n"/>
      <c r="R29" s="5" t="n"/>
    </row>
    <row r="30">
      <c r="A30" t="n">
        <v>28</v>
      </c>
      <c r="B30" s="5" t="n"/>
      <c r="C30" s="5" t="n">
        <v>4</v>
      </c>
      <c r="D30" s="5" t="n"/>
      <c r="E30" s="6" t="n"/>
      <c r="F30" s="5" t="n"/>
      <c r="G30" s="5" t="n"/>
      <c r="I30" t="n">
        <v>28</v>
      </c>
      <c r="J30" s="5" t="inlineStr">
        <is>
          <t>PARVEZ</t>
        </is>
      </c>
      <c r="K30" s="6" t="n">
        <v>0</v>
      </c>
      <c r="O30" t="n">
        <v>28</v>
      </c>
      <c r="P30" s="5" t="n"/>
      <c r="Q30" s="6" t="n"/>
      <c r="R30" s="5" t="n"/>
    </row>
    <row r="31">
      <c r="A31" t="n">
        <v>29</v>
      </c>
      <c r="B31" s="5" t="n"/>
      <c r="C31" s="5" t="n">
        <v>4</v>
      </c>
      <c r="D31" s="5" t="n"/>
      <c r="E31" s="6" t="n"/>
      <c r="F31" s="5" t="n"/>
      <c r="G31" s="5" t="n"/>
      <c r="I31" t="n">
        <v>29</v>
      </c>
      <c r="J31" s="5" t="inlineStr">
        <is>
          <t>I CHO CHO</t>
        </is>
      </c>
      <c r="K31" s="6" t="n">
        <v>20500</v>
      </c>
      <c r="O31" t="n">
        <v>29</v>
      </c>
      <c r="P31" s="5" t="n"/>
      <c r="Q31" s="6" t="n"/>
      <c r="R31" s="5" t="n"/>
    </row>
    <row r="32">
      <c r="A32" t="n">
        <v>30</v>
      </c>
      <c r="B32" s="5" t="n"/>
      <c r="C32" s="5" t="n">
        <v>4</v>
      </c>
      <c r="D32" s="5" t="n"/>
      <c r="E32" s="6" t="n"/>
      <c r="F32" s="5" t="n"/>
      <c r="G32" s="5" t="n"/>
      <c r="I32" t="n">
        <v>30</v>
      </c>
      <c r="J32" s="5" t="inlineStr">
        <is>
          <t>MD VIRAR</t>
        </is>
      </c>
      <c r="K32" s="6" t="n">
        <v>1900</v>
      </c>
      <c r="O32" t="n">
        <v>30</v>
      </c>
      <c r="P32" s="5" t="n"/>
      <c r="Q32" s="6" t="n"/>
      <c r="R32" s="5" t="n"/>
    </row>
    <row r="33">
      <c r="A33" t="n">
        <v>31</v>
      </c>
      <c r="B33" s="5" t="n"/>
      <c r="C33" s="5" t="n">
        <v>4</v>
      </c>
      <c r="D33" s="5" t="n"/>
      <c r="E33" s="6" t="n"/>
      <c r="F33" s="5" t="n"/>
      <c r="G33" s="5" t="n"/>
      <c r="I33" t="n">
        <v>31</v>
      </c>
      <c r="J33" s="5" t="inlineStr">
        <is>
          <t>MAYA</t>
        </is>
      </c>
      <c r="K33" s="6" t="n">
        <v>11000</v>
      </c>
    </row>
    <row r="34">
      <c r="A34" t="n">
        <v>32</v>
      </c>
      <c r="B34" s="5" t="n"/>
      <c r="C34" s="5" t="n">
        <v>4</v>
      </c>
      <c r="D34" s="5" t="n"/>
      <c r="E34" s="6" t="n"/>
      <c r="F34" s="5" t="n"/>
      <c r="G34" s="5" t="n"/>
      <c r="I34" t="n">
        <v>32</v>
      </c>
      <c r="J34" s="5" t="inlineStr">
        <is>
          <t>NAEEM THORPE</t>
        </is>
      </c>
      <c r="K34" s="6" t="n">
        <v>0</v>
      </c>
    </row>
    <row r="35">
      <c r="A35" t="n">
        <v>33</v>
      </c>
      <c r="B35" s="5" t="n"/>
      <c r="C35" s="5" t="n">
        <v>4</v>
      </c>
      <c r="D35" s="5" t="n"/>
      <c r="E35" s="6" t="n"/>
      <c r="F35" s="5" t="n"/>
      <c r="G35" s="5" t="n"/>
      <c r="I35" t="n">
        <v>33</v>
      </c>
      <c r="J35" s="5" t="inlineStr">
        <is>
          <t>CHAND</t>
        </is>
      </c>
      <c r="K35" s="6" t="n">
        <v>59000</v>
      </c>
    </row>
    <row r="36">
      <c r="A36" t="n">
        <v>34</v>
      </c>
      <c r="B36" s="5" t="n"/>
      <c r="C36" s="5" t="n">
        <v>4</v>
      </c>
      <c r="D36" s="5" t="n"/>
      <c r="E36" s="6" t="n"/>
      <c r="F36" s="5" t="n"/>
      <c r="G36" s="5" t="n"/>
      <c r="I36" t="n">
        <v>34</v>
      </c>
      <c r="J36" s="5" t="inlineStr">
        <is>
          <t>ASIF GOREGAON</t>
        </is>
      </c>
      <c r="K36" s="6" t="n">
        <v>57550</v>
      </c>
    </row>
    <row r="37">
      <c r="A37" t="n">
        <v>35</v>
      </c>
      <c r="B37" s="5" t="n"/>
      <c r="C37" s="5" t="n">
        <v>4</v>
      </c>
      <c r="D37" s="5" t="n"/>
      <c r="E37" s="6" t="n"/>
      <c r="F37" s="5" t="n"/>
      <c r="G37" s="5" t="n"/>
      <c r="I37" t="n">
        <v>35</v>
      </c>
      <c r="J37" s="5" t="inlineStr">
        <is>
          <t>SOHAIL MAROL</t>
        </is>
      </c>
      <c r="K37" s="6" t="n">
        <v>0</v>
      </c>
    </row>
    <row r="38">
      <c r="A38" t="n">
        <v>36</v>
      </c>
      <c r="B38" s="5" t="n"/>
      <c r="C38" s="5" t="n">
        <v>4</v>
      </c>
      <c r="D38" s="5" t="n"/>
      <c r="E38" s="6" t="n"/>
      <c r="F38" s="5" t="n"/>
      <c r="G38" s="5" t="n"/>
      <c r="I38" t="n">
        <v>36</v>
      </c>
      <c r="J38" s="5" t="inlineStr">
        <is>
          <t>ANEES KM</t>
        </is>
      </c>
      <c r="K38" s="6" t="n">
        <v>70000</v>
      </c>
    </row>
    <row r="39">
      <c r="A39" t="n">
        <v>37</v>
      </c>
      <c r="B39" s="5" t="n"/>
      <c r="C39" s="5" t="n">
        <v>4</v>
      </c>
      <c r="D39" s="5" t="n"/>
      <c r="E39" s="6" t="n"/>
      <c r="F39" s="5" t="n"/>
      <c r="G39" s="5" t="n"/>
      <c r="I39" t="n">
        <v>37</v>
      </c>
      <c r="J39" s="5" t="inlineStr">
        <is>
          <t>RAFIQ AHMED HAJI</t>
        </is>
      </c>
      <c r="K39" s="6" t="n">
        <v>356250</v>
      </c>
    </row>
    <row r="40">
      <c r="A40" t="n">
        <v>38</v>
      </c>
      <c r="B40" s="5" t="n"/>
      <c r="C40" s="5" t="n">
        <v>4</v>
      </c>
      <c r="D40" s="5" t="n"/>
      <c r="E40" s="6" t="n"/>
      <c r="F40" s="5" t="n"/>
      <c r="G40" s="5" t="n"/>
      <c r="I40" t="n">
        <v>38</v>
      </c>
      <c r="J40" s="5" t="inlineStr">
        <is>
          <t>ABP - MAJEED THANA</t>
        </is>
      </c>
      <c r="K40" s="6" t="n">
        <v>0</v>
      </c>
    </row>
    <row r="41">
      <c r="A41" t="n">
        <v>39</v>
      </c>
      <c r="B41" s="5" t="n"/>
      <c r="C41" s="5" t="n">
        <v>4</v>
      </c>
      <c r="D41" s="5" t="n"/>
      <c r="E41" s="6" t="n"/>
      <c r="F41" s="5" t="n"/>
      <c r="G41" s="5" t="n"/>
      <c r="I41" t="n">
        <v>39</v>
      </c>
      <c r="J41" s="5" t="inlineStr">
        <is>
          <t>ABP - MAJNU</t>
        </is>
      </c>
      <c r="K41" s="6" t="n">
        <v>0</v>
      </c>
    </row>
    <row r="42">
      <c r="A42" t="n">
        <v>40</v>
      </c>
      <c r="B42" s="5" t="n"/>
      <c r="C42" s="5" t="n">
        <v>4</v>
      </c>
      <c r="D42" s="5" t="n"/>
      <c r="E42" s="6" t="n"/>
      <c r="F42" s="5" t="n"/>
      <c r="G42" s="5" t="n"/>
      <c r="I42" t="n">
        <v>40</v>
      </c>
      <c r="J42" s="5" t="inlineStr">
        <is>
          <t>MEHBOOB JOG</t>
        </is>
      </c>
      <c r="K42" s="6" t="n">
        <v>98500</v>
      </c>
    </row>
    <row r="43">
      <c r="A43" t="n">
        <v>41</v>
      </c>
      <c r="B43" s="5" t="n"/>
      <c r="C43" s="5" t="n">
        <v>4</v>
      </c>
      <c r="D43" s="5" t="n"/>
      <c r="E43" s="6" t="n"/>
      <c r="F43" s="5" t="n"/>
      <c r="G43" s="5" t="n"/>
      <c r="I43" t="n">
        <v>41</v>
      </c>
      <c r="J43" s="5" t="inlineStr">
        <is>
          <t>SIRAJ KURLA</t>
        </is>
      </c>
      <c r="K43" s="6" t="n">
        <v>388000</v>
      </c>
    </row>
    <row r="44">
      <c r="A44" t="n">
        <v>42</v>
      </c>
      <c r="B44" s="5" t="n"/>
      <c r="C44" s="5" t="n">
        <v>4</v>
      </c>
      <c r="D44" s="5" t="n"/>
      <c r="E44" s="6" t="n"/>
      <c r="F44" s="5" t="n"/>
      <c r="G44" s="5" t="n"/>
      <c r="I44" t="n">
        <v>42</v>
      </c>
      <c r="J44" s="5" t="inlineStr">
        <is>
          <t>ZUBAIR AZEEZ</t>
        </is>
      </c>
      <c r="K44" s="6" t="n">
        <v>30000</v>
      </c>
    </row>
    <row r="45">
      <c r="A45" t="n">
        <v>43</v>
      </c>
      <c r="B45" s="5" t="n"/>
      <c r="C45" s="5" t="n">
        <v>4</v>
      </c>
      <c r="D45" s="5" t="n"/>
      <c r="E45" s="6" t="n"/>
      <c r="F45" s="5" t="n"/>
      <c r="G45" s="5" t="n"/>
      <c r="I45" t="n">
        <v>43</v>
      </c>
      <c r="J45" s="5" t="inlineStr">
        <is>
          <t>BABBU BYC</t>
        </is>
      </c>
      <c r="K45" s="6" t="n">
        <v>192000</v>
      </c>
    </row>
    <row r="46">
      <c r="A46" t="n">
        <v>44</v>
      </c>
      <c r="B46" s="5" t="n"/>
      <c r="C46" s="5" t="n">
        <v>4</v>
      </c>
      <c r="D46" s="5" t="n"/>
      <c r="E46" s="6" t="n"/>
      <c r="F46" s="5" t="n"/>
      <c r="G46" s="5" t="n"/>
      <c r="I46" t="n">
        <v>44</v>
      </c>
      <c r="J46" s="5" t="inlineStr">
        <is>
          <t>NAWAZ V</t>
        </is>
      </c>
      <c r="K46" s="6" t="n">
        <v>148800</v>
      </c>
    </row>
    <row r="47">
      <c r="A47" t="n">
        <v>45</v>
      </c>
      <c r="B47" s="5" t="n"/>
      <c r="C47" s="5" t="n">
        <v>4</v>
      </c>
      <c r="D47" s="5" t="n"/>
      <c r="E47" s="6" t="n"/>
      <c r="F47" s="5" t="n"/>
      <c r="G47" s="5" t="n"/>
      <c r="I47" t="n">
        <v>45</v>
      </c>
      <c r="J47" s="5" t="inlineStr">
        <is>
          <t>LIYAQAT</t>
        </is>
      </c>
      <c r="K47" s="6" t="n">
        <v>7500</v>
      </c>
    </row>
    <row r="48">
      <c r="A48" t="n">
        <v>46</v>
      </c>
      <c r="B48" s="5" t="n"/>
      <c r="C48" s="5" t="n">
        <v>4</v>
      </c>
      <c r="D48" s="5" t="n"/>
      <c r="E48" s="6" t="n"/>
      <c r="F48" s="5" t="n"/>
      <c r="G48" s="5" t="n"/>
      <c r="I48" t="n">
        <v>46</v>
      </c>
      <c r="J48" s="5" t="n"/>
      <c r="K48" s="6" t="n"/>
      <c r="L48" s="5" t="n"/>
      <c r="M48" s="5" t="n"/>
    </row>
    <row r="49">
      <c r="A49" t="n">
        <v>47</v>
      </c>
      <c r="B49" s="5" t="n"/>
      <c r="C49" s="5" t="n">
        <v>4</v>
      </c>
      <c r="D49" s="5" t="n"/>
      <c r="E49" s="6" t="n"/>
      <c r="F49" s="5" t="n"/>
      <c r="G49" s="5" t="n"/>
      <c r="I49" t="n">
        <v>47</v>
      </c>
      <c r="J49" s="5" t="n"/>
      <c r="K49" s="6" t="n"/>
      <c r="L49" s="5" t="n"/>
      <c r="M49" s="5" t="n"/>
    </row>
    <row r="50">
      <c r="A50" t="n">
        <v>48</v>
      </c>
      <c r="B50" s="5" t="n"/>
      <c r="C50" s="5" t="n">
        <v>4</v>
      </c>
      <c r="D50" s="5" t="n"/>
      <c r="E50" s="6" t="n"/>
      <c r="F50" s="5" t="n"/>
      <c r="G50" s="5" t="n"/>
      <c r="I50" t="n">
        <v>48</v>
      </c>
      <c r="J50" s="5" t="n"/>
      <c r="K50" s="6" t="n"/>
      <c r="L50" s="5" t="n"/>
      <c r="M50" s="5" t="n"/>
    </row>
    <row r="51">
      <c r="A51" t="n">
        <v>49</v>
      </c>
      <c r="B51" s="5" t="n"/>
      <c r="C51" s="5" t="n">
        <v>4</v>
      </c>
      <c r="D51" s="5" t="n"/>
      <c r="E51" s="6" t="n"/>
      <c r="F51" s="5" t="n"/>
      <c r="G51" s="5" t="n"/>
      <c r="I51" t="n">
        <v>49</v>
      </c>
      <c r="J51" s="5" t="n"/>
      <c r="K51" s="6" t="n"/>
      <c r="L51" s="5" t="n"/>
      <c r="M51" s="5" t="n"/>
    </row>
    <row r="52">
      <c r="A52" t="n">
        <v>50</v>
      </c>
      <c r="B52" s="5" t="n"/>
      <c r="C52" s="5" t="n">
        <v>4</v>
      </c>
      <c r="D52" s="5" t="n"/>
      <c r="E52" s="6" t="n"/>
      <c r="F52" s="5" t="n"/>
      <c r="G52" s="5" t="n"/>
      <c r="I52" t="n">
        <v>50</v>
      </c>
      <c r="J52" s="5" t="n"/>
      <c r="K52" s="6" t="n"/>
      <c r="L52" s="5" t="n"/>
      <c r="M52" s="5" t="n"/>
    </row>
  </sheetData>
  <dataValidations count="1">
    <dataValidation sqref="R3:R32" showDropDown="0" showInputMessage="0" showErrorMessage="0" allowBlank="1" type="list">
      <formula1>"CAPITAL,LOAN,AMANAT"</formula1>
    </dataValidation>
  </dataValidation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I503"/>
  <sheetViews>
    <sheetView workbookViewId="0">
      <selection activeCell="A1" sqref="A1"/>
    </sheetView>
  </sheetViews>
  <sheetFormatPr baseColWidth="8" defaultRowHeight="15"/>
  <cols>
    <col width="4" customWidth="1" min="1" max="1"/>
    <col width="11" customWidth="1" min="2" max="2"/>
    <col width="22" customWidth="1" min="3" max="3"/>
    <col width="22" customWidth="1" min="4" max="4"/>
    <col width="6" customWidth="1" min="5" max="5"/>
    <col width="10" customWidth="1" min="6" max="6"/>
    <col width="12" customWidth="1" min="7" max="7"/>
    <col width="10" customWidth="1" min="8" max="8"/>
    <col width="12" customWidth="1" min="9" max="9"/>
  </cols>
  <sheetData>
    <row r="1">
      <c r="A1" s="1" t="inlineStr">
        <is>
          <t>DAILY SALES (Bepaari to Dukandar)</t>
        </is>
      </c>
    </row>
    <row r="3">
      <c r="A3" s="3" t="inlineStr">
        <is>
          <t>Sr</t>
        </is>
      </c>
      <c r="B3" s="3" t="inlineStr">
        <is>
          <t>Date</t>
        </is>
      </c>
      <c r="C3" s="3" t="inlineStr">
        <is>
          <t>Bepaari</t>
        </is>
      </c>
      <c r="D3" s="3" t="inlineStr">
        <is>
          <t>Dukandar</t>
        </is>
      </c>
      <c r="E3" s="3" t="inlineStr">
        <is>
          <t>Qty</t>
        </is>
      </c>
      <c r="F3" s="3" t="inlineStr">
        <is>
          <t>Rate</t>
        </is>
      </c>
      <c r="G3" s="3" t="inlineStr">
        <is>
          <t>Gross</t>
        </is>
      </c>
      <c r="H3" s="3" t="inlineStr">
        <is>
          <t>Discount</t>
        </is>
      </c>
      <c r="I3" s="3" t="inlineStr">
        <is>
          <t>Net</t>
        </is>
      </c>
    </row>
    <row r="4">
      <c r="A4" t="n">
        <v>1</v>
      </c>
      <c r="B4" s="8" t="n"/>
      <c r="C4" s="5" t="n"/>
      <c r="D4" s="5" t="n"/>
      <c r="E4" s="5" t="n"/>
      <c r="F4" s="6" t="n"/>
      <c r="G4" s="9">
        <f>IF(E4="","",E4*F4)</f>
        <v/>
      </c>
      <c r="H4" s="6" t="n"/>
      <c r="I4" s="9">
        <f>IF(G4="","",G4-IF(H4="",0,H4))</f>
        <v/>
      </c>
    </row>
    <row r="5">
      <c r="A5" t="n">
        <v>2</v>
      </c>
      <c r="B5" s="8" t="n"/>
      <c r="C5" s="5" t="n"/>
      <c r="D5" s="5" t="n"/>
      <c r="E5" s="5" t="n"/>
      <c r="F5" s="6" t="n"/>
      <c r="G5" s="9">
        <f>IF(E5="","",E5*F5)</f>
        <v/>
      </c>
      <c r="H5" s="6" t="n"/>
      <c r="I5" s="9">
        <f>IF(G5="","",G5-IF(H5="",0,H5))</f>
        <v/>
      </c>
    </row>
    <row r="6">
      <c r="A6" t="n">
        <v>3</v>
      </c>
      <c r="B6" s="8" t="n"/>
      <c r="C6" s="5" t="n"/>
      <c r="D6" s="5" t="n"/>
      <c r="E6" s="5" t="n"/>
      <c r="F6" s="6" t="n"/>
      <c r="G6" s="9">
        <f>IF(E6="","",E6*F6)</f>
        <v/>
      </c>
      <c r="H6" s="6" t="n"/>
      <c r="I6" s="9">
        <f>IF(G6="","",G6-IF(H6="",0,H6))</f>
        <v/>
      </c>
    </row>
    <row r="7">
      <c r="A7" t="n">
        <v>4</v>
      </c>
      <c r="B7" s="8" t="n"/>
      <c r="C7" s="5" t="n"/>
      <c r="D7" s="5" t="n"/>
      <c r="E7" s="5" t="n"/>
      <c r="F7" s="6" t="n"/>
      <c r="G7" s="9">
        <f>IF(E7="","",E7*F7)</f>
        <v/>
      </c>
      <c r="H7" s="6" t="n"/>
      <c r="I7" s="9">
        <f>IF(G7="","",G7-IF(H7="",0,H7))</f>
        <v/>
      </c>
    </row>
    <row r="8">
      <c r="A8" t="n">
        <v>5</v>
      </c>
      <c r="B8" s="8" t="n"/>
      <c r="C8" s="5" t="n"/>
      <c r="D8" s="5" t="n"/>
      <c r="E8" s="5" t="n"/>
      <c r="F8" s="6" t="n"/>
      <c r="G8" s="9">
        <f>IF(E8="","",E8*F8)</f>
        <v/>
      </c>
      <c r="H8" s="6" t="n"/>
      <c r="I8" s="9">
        <f>IF(G8="","",G8-IF(H8="",0,H8))</f>
        <v/>
      </c>
    </row>
    <row r="9">
      <c r="A9" t="n">
        <v>6</v>
      </c>
      <c r="B9" s="8" t="n"/>
      <c r="C9" s="5" t="n"/>
      <c r="D9" s="5" t="n"/>
      <c r="E9" s="5" t="n"/>
      <c r="F9" s="6" t="n"/>
      <c r="G9" s="9">
        <f>IF(E9="","",E9*F9)</f>
        <v/>
      </c>
      <c r="H9" s="6" t="n"/>
      <c r="I9" s="9">
        <f>IF(G9="","",G9-IF(H9="",0,H9))</f>
        <v/>
      </c>
    </row>
    <row r="10">
      <c r="A10" t="n">
        <v>7</v>
      </c>
      <c r="B10" s="8" t="n"/>
      <c r="C10" s="5" t="n"/>
      <c r="D10" s="5" t="n"/>
      <c r="E10" s="5" t="n"/>
      <c r="F10" s="6" t="n"/>
      <c r="G10" s="9">
        <f>IF(E10="","",E10*F10)</f>
        <v/>
      </c>
      <c r="H10" s="6" t="n"/>
      <c r="I10" s="9">
        <f>IF(G10="","",G10-IF(H10="",0,H10))</f>
        <v/>
      </c>
    </row>
    <row r="11">
      <c r="A11" t="n">
        <v>8</v>
      </c>
      <c r="B11" s="8" t="n"/>
      <c r="C11" s="5" t="n"/>
      <c r="D11" s="5" t="n"/>
      <c r="E11" s="5" t="n"/>
      <c r="F11" s="6" t="n"/>
      <c r="G11" s="9">
        <f>IF(E11="","",E11*F11)</f>
        <v/>
      </c>
      <c r="H11" s="6" t="n"/>
      <c r="I11" s="9">
        <f>IF(G11="","",G11-IF(H11="",0,H11))</f>
        <v/>
      </c>
    </row>
    <row r="12">
      <c r="A12" t="n">
        <v>9</v>
      </c>
      <c r="B12" s="8" t="n"/>
      <c r="C12" s="5" t="n"/>
      <c r="D12" s="5" t="n"/>
      <c r="E12" s="5" t="n"/>
      <c r="F12" s="6" t="n"/>
      <c r="G12" s="9">
        <f>IF(E12="","",E12*F12)</f>
        <v/>
      </c>
      <c r="H12" s="6" t="n"/>
      <c r="I12" s="9">
        <f>IF(G12="","",G12-IF(H12="",0,H12))</f>
        <v/>
      </c>
    </row>
    <row r="13">
      <c r="A13" t="n">
        <v>10</v>
      </c>
      <c r="B13" s="8" t="n"/>
      <c r="C13" s="5" t="n"/>
      <c r="D13" s="5" t="n"/>
      <c r="E13" s="5" t="n"/>
      <c r="F13" s="6" t="n"/>
      <c r="G13" s="9">
        <f>IF(E13="","",E13*F13)</f>
        <v/>
      </c>
      <c r="H13" s="6" t="n"/>
      <c r="I13" s="9">
        <f>IF(G13="","",G13-IF(H13="",0,H13))</f>
        <v/>
      </c>
    </row>
    <row r="14">
      <c r="A14" t="n">
        <v>11</v>
      </c>
      <c r="B14" s="8" t="n"/>
      <c r="C14" s="5" t="n"/>
      <c r="D14" s="5" t="n"/>
      <c r="E14" s="5" t="n"/>
      <c r="F14" s="6" t="n"/>
      <c r="G14" s="9">
        <f>IF(E14="","",E14*F14)</f>
        <v/>
      </c>
      <c r="H14" s="6" t="n"/>
      <c r="I14" s="9">
        <f>IF(G14="","",G14-IF(H14="",0,H14))</f>
        <v/>
      </c>
    </row>
    <row r="15">
      <c r="A15" t="n">
        <v>12</v>
      </c>
      <c r="B15" s="8" t="n"/>
      <c r="C15" s="5" t="n"/>
      <c r="D15" s="5" t="n"/>
      <c r="E15" s="5" t="n"/>
      <c r="F15" s="6" t="n"/>
      <c r="G15" s="9">
        <f>IF(E15="","",E15*F15)</f>
        <v/>
      </c>
      <c r="H15" s="6" t="n"/>
      <c r="I15" s="9">
        <f>IF(G15="","",G15-IF(H15="",0,H15))</f>
        <v/>
      </c>
    </row>
    <row r="16">
      <c r="A16" t="n">
        <v>13</v>
      </c>
      <c r="B16" s="8" t="n"/>
      <c r="C16" s="5" t="n"/>
      <c r="D16" s="5" t="n"/>
      <c r="E16" s="5" t="n"/>
      <c r="F16" s="6" t="n"/>
      <c r="G16" s="9">
        <f>IF(E16="","",E16*F16)</f>
        <v/>
      </c>
      <c r="H16" s="6" t="n"/>
      <c r="I16" s="9">
        <f>IF(G16="","",G16-IF(H16="",0,H16))</f>
        <v/>
      </c>
    </row>
    <row r="17">
      <c r="A17" t="n">
        <v>14</v>
      </c>
      <c r="B17" s="8" t="n"/>
      <c r="C17" s="5" t="n"/>
      <c r="D17" s="5" t="n"/>
      <c r="E17" s="5" t="n"/>
      <c r="F17" s="6" t="n"/>
      <c r="G17" s="9">
        <f>IF(E17="","",E17*F17)</f>
        <v/>
      </c>
      <c r="H17" s="6" t="n"/>
      <c r="I17" s="9">
        <f>IF(G17="","",G17-IF(H17="",0,H17))</f>
        <v/>
      </c>
    </row>
    <row r="18">
      <c r="A18" t="n">
        <v>15</v>
      </c>
      <c r="B18" s="8" t="n"/>
      <c r="C18" s="5" t="n"/>
      <c r="D18" s="5" t="n"/>
      <c r="E18" s="5" t="n"/>
      <c r="F18" s="6" t="n"/>
      <c r="G18" s="9">
        <f>IF(E18="","",E18*F18)</f>
        <v/>
      </c>
      <c r="H18" s="6" t="n"/>
      <c r="I18" s="9">
        <f>IF(G18="","",G18-IF(H18="",0,H18))</f>
        <v/>
      </c>
    </row>
    <row r="19">
      <c r="A19" t="n">
        <v>16</v>
      </c>
      <c r="B19" s="8" t="n"/>
      <c r="C19" s="5" t="n"/>
      <c r="D19" s="5" t="n"/>
      <c r="E19" s="5" t="n"/>
      <c r="F19" s="6" t="n"/>
      <c r="G19" s="9">
        <f>IF(E19="","",E19*F19)</f>
        <v/>
      </c>
      <c r="H19" s="6" t="n"/>
      <c r="I19" s="9">
        <f>IF(G19="","",G19-IF(H19="",0,H19))</f>
        <v/>
      </c>
    </row>
    <row r="20">
      <c r="A20" t="n">
        <v>17</v>
      </c>
      <c r="B20" s="8" t="n"/>
      <c r="C20" s="5" t="n"/>
      <c r="D20" s="5" t="n"/>
      <c r="E20" s="5" t="n"/>
      <c r="F20" s="6" t="n"/>
      <c r="G20" s="9">
        <f>IF(E20="","",E20*F20)</f>
        <v/>
      </c>
      <c r="H20" s="6" t="n"/>
      <c r="I20" s="9">
        <f>IF(G20="","",G20-IF(H20="",0,H20))</f>
        <v/>
      </c>
    </row>
    <row r="21">
      <c r="A21" t="n">
        <v>18</v>
      </c>
      <c r="B21" s="8" t="n"/>
      <c r="C21" s="5" t="n"/>
      <c r="D21" s="5" t="n"/>
      <c r="E21" s="5" t="n"/>
      <c r="F21" s="6" t="n"/>
      <c r="G21" s="9">
        <f>IF(E21="","",E21*F21)</f>
        <v/>
      </c>
      <c r="H21" s="6" t="n"/>
      <c r="I21" s="9">
        <f>IF(G21="","",G21-IF(H21="",0,H21))</f>
        <v/>
      </c>
    </row>
    <row r="22">
      <c r="A22" t="n">
        <v>19</v>
      </c>
      <c r="B22" s="8" t="n"/>
      <c r="C22" s="5" t="n"/>
      <c r="D22" s="5" t="n"/>
      <c r="E22" s="5" t="n"/>
      <c r="F22" s="6" t="n"/>
      <c r="G22" s="9">
        <f>IF(E22="","",E22*F22)</f>
        <v/>
      </c>
      <c r="H22" s="6" t="n"/>
      <c r="I22" s="9">
        <f>IF(G22="","",G22-IF(H22="",0,H22))</f>
        <v/>
      </c>
    </row>
    <row r="23">
      <c r="A23" t="n">
        <v>20</v>
      </c>
      <c r="B23" s="8" t="n"/>
      <c r="C23" s="5" t="n"/>
      <c r="D23" s="5" t="n"/>
      <c r="E23" s="5" t="n"/>
      <c r="F23" s="6" t="n"/>
      <c r="G23" s="9">
        <f>IF(E23="","",E23*F23)</f>
        <v/>
      </c>
      <c r="H23" s="6" t="n"/>
      <c r="I23" s="9">
        <f>IF(G23="","",G23-IF(H23="",0,H23))</f>
        <v/>
      </c>
    </row>
    <row r="24">
      <c r="A24" t="n">
        <v>21</v>
      </c>
      <c r="B24" s="8" t="n"/>
      <c r="C24" s="5" t="n"/>
      <c r="D24" s="5" t="n"/>
      <c r="E24" s="5" t="n"/>
      <c r="F24" s="6" t="n"/>
      <c r="G24" s="9">
        <f>IF(E24="","",E24*F24)</f>
        <v/>
      </c>
      <c r="H24" s="6" t="n"/>
      <c r="I24" s="9">
        <f>IF(G24="","",G24-IF(H24="",0,H24))</f>
        <v/>
      </c>
    </row>
    <row r="25">
      <c r="A25" t="n">
        <v>22</v>
      </c>
      <c r="B25" s="8" t="n"/>
      <c r="C25" s="5" t="n"/>
      <c r="D25" s="5" t="n"/>
      <c r="E25" s="5" t="n"/>
      <c r="F25" s="6" t="n"/>
      <c r="G25" s="9">
        <f>IF(E25="","",E25*F25)</f>
        <v/>
      </c>
      <c r="H25" s="6" t="n"/>
      <c r="I25" s="9">
        <f>IF(G25="","",G25-IF(H25="",0,H25))</f>
        <v/>
      </c>
    </row>
    <row r="26">
      <c r="A26" t="n">
        <v>23</v>
      </c>
      <c r="B26" s="8" t="n"/>
      <c r="C26" s="5" t="n"/>
      <c r="D26" s="5" t="n"/>
      <c r="E26" s="5" t="n"/>
      <c r="F26" s="6" t="n"/>
      <c r="G26" s="9">
        <f>IF(E26="","",E26*F26)</f>
        <v/>
      </c>
      <c r="H26" s="6" t="n"/>
      <c r="I26" s="9">
        <f>IF(G26="","",G26-IF(H26="",0,H26))</f>
        <v/>
      </c>
    </row>
    <row r="27">
      <c r="A27" t="n">
        <v>24</v>
      </c>
      <c r="B27" s="8" t="n"/>
      <c r="C27" s="5" t="n"/>
      <c r="D27" s="5" t="n"/>
      <c r="E27" s="5" t="n"/>
      <c r="F27" s="6" t="n"/>
      <c r="G27" s="9">
        <f>IF(E27="","",E27*F27)</f>
        <v/>
      </c>
      <c r="H27" s="6" t="n"/>
      <c r="I27" s="9">
        <f>IF(G27="","",G27-IF(H27="",0,H27))</f>
        <v/>
      </c>
    </row>
    <row r="28">
      <c r="A28" t="n">
        <v>25</v>
      </c>
      <c r="B28" s="8" t="n"/>
      <c r="C28" s="5" t="n"/>
      <c r="D28" s="5" t="n"/>
      <c r="E28" s="5" t="n"/>
      <c r="F28" s="6" t="n"/>
      <c r="G28" s="9">
        <f>IF(E28="","",E28*F28)</f>
        <v/>
      </c>
      <c r="H28" s="6" t="n"/>
      <c r="I28" s="9">
        <f>IF(G28="","",G28-IF(H28="",0,H28))</f>
        <v/>
      </c>
    </row>
    <row r="29">
      <c r="A29" t="n">
        <v>26</v>
      </c>
      <c r="B29" s="8" t="n"/>
      <c r="C29" s="5" t="n"/>
      <c r="D29" s="5" t="n"/>
      <c r="E29" s="5" t="n"/>
      <c r="F29" s="6" t="n"/>
      <c r="G29" s="9">
        <f>IF(E29="","",E29*F29)</f>
        <v/>
      </c>
      <c r="H29" s="6" t="n"/>
      <c r="I29" s="9">
        <f>IF(G29="","",G29-IF(H29="",0,H29))</f>
        <v/>
      </c>
    </row>
    <row r="30">
      <c r="A30" t="n">
        <v>27</v>
      </c>
      <c r="B30" s="8" t="n"/>
      <c r="C30" s="5" t="n"/>
      <c r="D30" s="5" t="n"/>
      <c r="E30" s="5" t="n"/>
      <c r="F30" s="6" t="n"/>
      <c r="G30" s="9">
        <f>IF(E30="","",E30*F30)</f>
        <v/>
      </c>
      <c r="H30" s="6" t="n"/>
      <c r="I30" s="9">
        <f>IF(G30="","",G30-IF(H30="",0,H30))</f>
        <v/>
      </c>
    </row>
    <row r="31">
      <c r="A31" t="n">
        <v>28</v>
      </c>
      <c r="B31" s="8" t="n"/>
      <c r="C31" s="5" t="n"/>
      <c r="D31" s="5" t="n"/>
      <c r="E31" s="5" t="n"/>
      <c r="F31" s="6" t="n"/>
      <c r="G31" s="9">
        <f>IF(E31="","",E31*F31)</f>
        <v/>
      </c>
      <c r="H31" s="6" t="n"/>
      <c r="I31" s="9">
        <f>IF(G31="","",G31-IF(H31="",0,H31))</f>
        <v/>
      </c>
    </row>
    <row r="32">
      <c r="A32" t="n">
        <v>29</v>
      </c>
      <c r="B32" s="8" t="n"/>
      <c r="C32" s="5" t="n"/>
      <c r="D32" s="5" t="n"/>
      <c r="E32" s="5" t="n"/>
      <c r="F32" s="6" t="n"/>
      <c r="G32" s="9">
        <f>IF(E32="","",E32*F32)</f>
        <v/>
      </c>
      <c r="H32" s="6" t="n"/>
      <c r="I32" s="9">
        <f>IF(G32="","",G32-IF(H32="",0,H32))</f>
        <v/>
      </c>
    </row>
    <row r="33">
      <c r="A33" t="n">
        <v>30</v>
      </c>
      <c r="B33" s="8" t="n"/>
      <c r="C33" s="5" t="n"/>
      <c r="D33" s="5" t="n"/>
      <c r="E33" s="5" t="n"/>
      <c r="F33" s="6" t="n"/>
      <c r="G33" s="9">
        <f>IF(E33="","",E33*F33)</f>
        <v/>
      </c>
      <c r="H33" s="6" t="n"/>
      <c r="I33" s="9">
        <f>IF(G33="","",G33-IF(H33="",0,H33))</f>
        <v/>
      </c>
    </row>
    <row r="34">
      <c r="A34" t="n">
        <v>31</v>
      </c>
      <c r="B34" s="8" t="n"/>
      <c r="C34" s="5" t="n"/>
      <c r="D34" s="5" t="n"/>
      <c r="E34" s="5" t="n"/>
      <c r="F34" s="6" t="n"/>
      <c r="G34" s="9">
        <f>IF(E34="","",E34*F34)</f>
        <v/>
      </c>
      <c r="H34" s="6" t="n"/>
      <c r="I34" s="9">
        <f>IF(G34="","",G34-IF(H34="",0,H34))</f>
        <v/>
      </c>
    </row>
    <row r="35">
      <c r="A35" t="n">
        <v>32</v>
      </c>
      <c r="B35" s="8" t="n"/>
      <c r="C35" s="5" t="n"/>
      <c r="D35" s="5" t="n"/>
      <c r="E35" s="5" t="n"/>
      <c r="F35" s="6" t="n"/>
      <c r="G35" s="9">
        <f>IF(E35="","",E35*F35)</f>
        <v/>
      </c>
      <c r="H35" s="6" t="n"/>
      <c r="I35" s="9">
        <f>IF(G35="","",G35-IF(H35="",0,H35))</f>
        <v/>
      </c>
    </row>
    <row r="36">
      <c r="A36" t="n">
        <v>33</v>
      </c>
      <c r="B36" s="8" t="n"/>
      <c r="C36" s="5" t="n"/>
      <c r="D36" s="5" t="n"/>
      <c r="E36" s="5" t="n"/>
      <c r="F36" s="6" t="n"/>
      <c r="G36" s="9">
        <f>IF(E36="","",E36*F36)</f>
        <v/>
      </c>
      <c r="H36" s="6" t="n"/>
      <c r="I36" s="9">
        <f>IF(G36="","",G36-IF(H36="",0,H36))</f>
        <v/>
      </c>
    </row>
    <row r="37">
      <c r="A37" t="n">
        <v>34</v>
      </c>
      <c r="B37" s="8" t="n"/>
      <c r="C37" s="5" t="n"/>
      <c r="D37" s="5" t="n"/>
      <c r="E37" s="5" t="n"/>
      <c r="F37" s="6" t="n"/>
      <c r="G37" s="9">
        <f>IF(E37="","",E37*F37)</f>
        <v/>
      </c>
      <c r="H37" s="6" t="n"/>
      <c r="I37" s="9">
        <f>IF(G37="","",G37-IF(H37="",0,H37))</f>
        <v/>
      </c>
    </row>
    <row r="38">
      <c r="A38" t="n">
        <v>35</v>
      </c>
      <c r="B38" s="8" t="n"/>
      <c r="C38" s="5" t="n"/>
      <c r="D38" s="5" t="n"/>
      <c r="E38" s="5" t="n"/>
      <c r="F38" s="6" t="n"/>
      <c r="G38" s="9">
        <f>IF(E38="","",E38*F38)</f>
        <v/>
      </c>
      <c r="H38" s="6" t="n"/>
      <c r="I38" s="9">
        <f>IF(G38="","",G38-IF(H38="",0,H38))</f>
        <v/>
      </c>
    </row>
    <row r="39">
      <c r="A39" t="n">
        <v>36</v>
      </c>
      <c r="B39" s="8" t="n"/>
      <c r="C39" s="5" t="n"/>
      <c r="D39" s="5" t="n"/>
      <c r="E39" s="5" t="n"/>
      <c r="F39" s="6" t="n"/>
      <c r="G39" s="9">
        <f>IF(E39="","",E39*F39)</f>
        <v/>
      </c>
      <c r="H39" s="6" t="n"/>
      <c r="I39" s="9">
        <f>IF(G39="","",G39-IF(H39="",0,H39))</f>
        <v/>
      </c>
    </row>
    <row r="40">
      <c r="A40" t="n">
        <v>37</v>
      </c>
      <c r="B40" s="8" t="n"/>
      <c r="C40" s="5" t="n"/>
      <c r="D40" s="5" t="n"/>
      <c r="E40" s="5" t="n"/>
      <c r="F40" s="6" t="n"/>
      <c r="G40" s="9">
        <f>IF(E40="","",E40*F40)</f>
        <v/>
      </c>
      <c r="H40" s="6" t="n"/>
      <c r="I40" s="9">
        <f>IF(G40="","",G40-IF(H40="",0,H40))</f>
        <v/>
      </c>
    </row>
    <row r="41">
      <c r="A41" t="n">
        <v>38</v>
      </c>
      <c r="B41" s="8" t="n"/>
      <c r="C41" s="5" t="n"/>
      <c r="D41" s="5" t="n"/>
      <c r="E41" s="5" t="n"/>
      <c r="F41" s="6" t="n"/>
      <c r="G41" s="9">
        <f>IF(E41="","",E41*F41)</f>
        <v/>
      </c>
      <c r="H41" s="6" t="n"/>
      <c r="I41" s="9">
        <f>IF(G41="","",G41-IF(H41="",0,H41))</f>
        <v/>
      </c>
    </row>
    <row r="42">
      <c r="A42" t="n">
        <v>39</v>
      </c>
      <c r="B42" s="8" t="n"/>
      <c r="C42" s="5" t="n"/>
      <c r="D42" s="5" t="n"/>
      <c r="E42" s="5" t="n"/>
      <c r="F42" s="6" t="n"/>
      <c r="G42" s="9">
        <f>IF(E42="","",E42*F42)</f>
        <v/>
      </c>
      <c r="H42" s="6" t="n"/>
      <c r="I42" s="9">
        <f>IF(G42="","",G42-IF(H42="",0,H42))</f>
        <v/>
      </c>
    </row>
    <row r="43">
      <c r="A43" t="n">
        <v>40</v>
      </c>
      <c r="B43" s="8" t="n"/>
      <c r="C43" s="5" t="n"/>
      <c r="D43" s="5" t="n"/>
      <c r="E43" s="5" t="n"/>
      <c r="F43" s="6" t="n"/>
      <c r="G43" s="9">
        <f>IF(E43="","",E43*F43)</f>
        <v/>
      </c>
      <c r="H43" s="6" t="n"/>
      <c r="I43" s="9">
        <f>IF(G43="","",G43-IF(H43="",0,H43))</f>
        <v/>
      </c>
    </row>
    <row r="44">
      <c r="A44" t="n">
        <v>41</v>
      </c>
      <c r="B44" s="8" t="n"/>
      <c r="C44" s="5" t="n"/>
      <c r="D44" s="5" t="n"/>
      <c r="E44" s="5" t="n"/>
      <c r="F44" s="6" t="n"/>
      <c r="G44" s="9">
        <f>IF(E44="","",E44*F44)</f>
        <v/>
      </c>
      <c r="H44" s="6" t="n"/>
      <c r="I44" s="9">
        <f>IF(G44="","",G44-IF(H44="",0,H44))</f>
        <v/>
      </c>
    </row>
    <row r="45">
      <c r="A45" t="n">
        <v>42</v>
      </c>
      <c r="B45" s="8" t="n"/>
      <c r="C45" s="5" t="n"/>
      <c r="D45" s="5" t="n"/>
      <c r="E45" s="5" t="n"/>
      <c r="F45" s="6" t="n"/>
      <c r="G45" s="9">
        <f>IF(E45="","",E45*F45)</f>
        <v/>
      </c>
      <c r="H45" s="6" t="n"/>
      <c r="I45" s="9">
        <f>IF(G45="","",G45-IF(H45="",0,H45))</f>
        <v/>
      </c>
    </row>
    <row r="46">
      <c r="A46" t="n">
        <v>43</v>
      </c>
      <c r="B46" s="8" t="n"/>
      <c r="C46" s="5" t="n"/>
      <c r="D46" s="5" t="n"/>
      <c r="E46" s="5" t="n"/>
      <c r="F46" s="6" t="n"/>
      <c r="G46" s="9">
        <f>IF(E46="","",E46*F46)</f>
        <v/>
      </c>
      <c r="H46" s="6" t="n"/>
      <c r="I46" s="9">
        <f>IF(G46="","",G46-IF(H46="",0,H46))</f>
        <v/>
      </c>
    </row>
    <row r="47">
      <c r="A47" t="n">
        <v>44</v>
      </c>
      <c r="B47" s="8" t="n"/>
      <c r="C47" s="5" t="n"/>
      <c r="D47" s="5" t="n"/>
      <c r="E47" s="5" t="n"/>
      <c r="F47" s="6" t="n"/>
      <c r="G47" s="9">
        <f>IF(E47="","",E47*F47)</f>
        <v/>
      </c>
      <c r="H47" s="6" t="n"/>
      <c r="I47" s="9">
        <f>IF(G47="","",G47-IF(H47="",0,H47))</f>
        <v/>
      </c>
    </row>
    <row r="48">
      <c r="A48" t="n">
        <v>45</v>
      </c>
      <c r="B48" s="8" t="n"/>
      <c r="C48" s="5" t="n"/>
      <c r="D48" s="5" t="n"/>
      <c r="E48" s="5" t="n"/>
      <c r="F48" s="6" t="n"/>
      <c r="G48" s="9">
        <f>IF(E48="","",E48*F48)</f>
        <v/>
      </c>
      <c r="H48" s="6" t="n"/>
      <c r="I48" s="9">
        <f>IF(G48="","",G48-IF(H48="",0,H48))</f>
        <v/>
      </c>
    </row>
    <row r="49">
      <c r="A49" t="n">
        <v>46</v>
      </c>
      <c r="B49" s="8" t="n"/>
      <c r="C49" s="5" t="n"/>
      <c r="D49" s="5" t="n"/>
      <c r="E49" s="5" t="n"/>
      <c r="F49" s="6" t="n"/>
      <c r="G49" s="9">
        <f>IF(E49="","",E49*F49)</f>
        <v/>
      </c>
      <c r="H49" s="6" t="n"/>
      <c r="I49" s="9">
        <f>IF(G49="","",G49-IF(H49="",0,H49))</f>
        <v/>
      </c>
    </row>
    <row r="50">
      <c r="A50" t="n">
        <v>47</v>
      </c>
      <c r="B50" s="8" t="n"/>
      <c r="C50" s="5" t="n"/>
      <c r="D50" s="5" t="n"/>
      <c r="E50" s="5" t="n"/>
      <c r="F50" s="6" t="n"/>
      <c r="G50" s="9">
        <f>IF(E50="","",E50*F50)</f>
        <v/>
      </c>
      <c r="H50" s="6" t="n"/>
      <c r="I50" s="9">
        <f>IF(G50="","",G50-IF(H50="",0,H50))</f>
        <v/>
      </c>
    </row>
    <row r="51">
      <c r="A51" t="n">
        <v>48</v>
      </c>
      <c r="B51" s="8" t="n"/>
      <c r="C51" s="5" t="n"/>
      <c r="D51" s="5" t="n"/>
      <c r="E51" s="5" t="n"/>
      <c r="F51" s="6" t="n"/>
      <c r="G51" s="9">
        <f>IF(E51="","",E51*F51)</f>
        <v/>
      </c>
      <c r="H51" s="6" t="n"/>
      <c r="I51" s="9">
        <f>IF(G51="","",G51-IF(H51="",0,H51))</f>
        <v/>
      </c>
    </row>
    <row r="52">
      <c r="A52" t="n">
        <v>49</v>
      </c>
      <c r="B52" s="8" t="n"/>
      <c r="C52" s="5" t="n"/>
      <c r="D52" s="5" t="n"/>
      <c r="E52" s="5" t="n"/>
      <c r="F52" s="6" t="n"/>
      <c r="G52" s="9">
        <f>IF(E52="","",E52*F52)</f>
        <v/>
      </c>
      <c r="H52" s="6" t="n"/>
      <c r="I52" s="9">
        <f>IF(G52="","",G52-IF(H52="",0,H52))</f>
        <v/>
      </c>
    </row>
    <row r="53">
      <c r="A53" t="n">
        <v>50</v>
      </c>
      <c r="B53" s="8" t="n"/>
      <c r="C53" s="5" t="n"/>
      <c r="D53" s="5" t="n"/>
      <c r="E53" s="5" t="n"/>
      <c r="F53" s="6" t="n"/>
      <c r="G53" s="9">
        <f>IF(E53="","",E53*F53)</f>
        <v/>
      </c>
      <c r="H53" s="6" t="n"/>
      <c r="I53" s="9">
        <f>IF(G53="","",G53-IF(H53="",0,H53))</f>
        <v/>
      </c>
    </row>
    <row r="54">
      <c r="A54" t="n">
        <v>51</v>
      </c>
      <c r="B54" s="8" t="n"/>
      <c r="C54" s="5" t="n"/>
      <c r="D54" s="5" t="n"/>
      <c r="E54" s="5" t="n"/>
      <c r="F54" s="6" t="n"/>
      <c r="G54" s="9">
        <f>IF(E54="","",E54*F54)</f>
        <v/>
      </c>
      <c r="H54" s="6" t="n"/>
      <c r="I54" s="9">
        <f>IF(G54="","",G54-IF(H54="",0,H54))</f>
        <v/>
      </c>
    </row>
    <row r="55">
      <c r="A55" t="n">
        <v>52</v>
      </c>
      <c r="B55" s="8" t="n"/>
      <c r="C55" s="5" t="n"/>
      <c r="D55" s="5" t="n"/>
      <c r="E55" s="5" t="n"/>
      <c r="F55" s="6" t="n"/>
      <c r="G55" s="9">
        <f>IF(E55="","",E55*F55)</f>
        <v/>
      </c>
      <c r="H55" s="6" t="n"/>
      <c r="I55" s="9">
        <f>IF(G55="","",G55-IF(H55="",0,H55))</f>
        <v/>
      </c>
    </row>
    <row r="56">
      <c r="A56" t="n">
        <v>53</v>
      </c>
      <c r="B56" s="8" t="n"/>
      <c r="C56" s="5" t="n"/>
      <c r="D56" s="5" t="n"/>
      <c r="E56" s="5" t="n"/>
      <c r="F56" s="6" t="n"/>
      <c r="G56" s="9">
        <f>IF(E56="","",E56*F56)</f>
        <v/>
      </c>
      <c r="H56" s="6" t="n"/>
      <c r="I56" s="9">
        <f>IF(G56="","",G56-IF(H56="",0,H56))</f>
        <v/>
      </c>
    </row>
    <row r="57">
      <c r="A57" t="n">
        <v>54</v>
      </c>
      <c r="B57" s="8" t="n"/>
      <c r="C57" s="5" t="n"/>
      <c r="D57" s="5" t="n"/>
      <c r="E57" s="5" t="n"/>
      <c r="F57" s="6" t="n"/>
      <c r="G57" s="9">
        <f>IF(E57="","",E57*F57)</f>
        <v/>
      </c>
      <c r="H57" s="6" t="n"/>
      <c r="I57" s="9">
        <f>IF(G57="","",G57-IF(H57="",0,H57))</f>
        <v/>
      </c>
    </row>
    <row r="58">
      <c r="A58" t="n">
        <v>55</v>
      </c>
      <c r="B58" s="8" t="n"/>
      <c r="C58" s="5" t="n"/>
      <c r="D58" s="5" t="n"/>
      <c r="E58" s="5" t="n"/>
      <c r="F58" s="6" t="n"/>
      <c r="G58" s="9">
        <f>IF(E58="","",E58*F58)</f>
        <v/>
      </c>
      <c r="H58" s="6" t="n"/>
      <c r="I58" s="9">
        <f>IF(G58="","",G58-IF(H58="",0,H58))</f>
        <v/>
      </c>
    </row>
    <row r="59">
      <c r="A59" t="n">
        <v>56</v>
      </c>
      <c r="B59" s="8" t="n"/>
      <c r="C59" s="5" t="n"/>
      <c r="D59" s="5" t="n"/>
      <c r="E59" s="5" t="n"/>
      <c r="F59" s="6" t="n"/>
      <c r="G59" s="9">
        <f>IF(E59="","",E59*F59)</f>
        <v/>
      </c>
      <c r="H59" s="6" t="n"/>
      <c r="I59" s="9">
        <f>IF(G59="","",G59-IF(H59="",0,H59))</f>
        <v/>
      </c>
    </row>
    <row r="60">
      <c r="A60" t="n">
        <v>57</v>
      </c>
      <c r="B60" s="8" t="n"/>
      <c r="C60" s="5" t="n"/>
      <c r="D60" s="5" t="n"/>
      <c r="E60" s="5" t="n"/>
      <c r="F60" s="6" t="n"/>
      <c r="G60" s="9">
        <f>IF(E60="","",E60*F60)</f>
        <v/>
      </c>
      <c r="H60" s="6" t="n"/>
      <c r="I60" s="9">
        <f>IF(G60="","",G60-IF(H60="",0,H60))</f>
        <v/>
      </c>
    </row>
    <row r="61">
      <c r="A61" t="n">
        <v>58</v>
      </c>
      <c r="B61" s="8" t="n"/>
      <c r="C61" s="5" t="n"/>
      <c r="D61" s="5" t="n"/>
      <c r="E61" s="5" t="n"/>
      <c r="F61" s="6" t="n"/>
      <c r="G61" s="9">
        <f>IF(E61="","",E61*F61)</f>
        <v/>
      </c>
      <c r="H61" s="6" t="n"/>
      <c r="I61" s="9">
        <f>IF(G61="","",G61-IF(H61="",0,H61))</f>
        <v/>
      </c>
    </row>
    <row r="62">
      <c r="A62" t="n">
        <v>59</v>
      </c>
      <c r="B62" s="8" t="n"/>
      <c r="C62" s="5" t="n"/>
      <c r="D62" s="5" t="n"/>
      <c r="E62" s="5" t="n"/>
      <c r="F62" s="6" t="n"/>
      <c r="G62" s="9">
        <f>IF(E62="","",E62*F62)</f>
        <v/>
      </c>
      <c r="H62" s="6" t="n"/>
      <c r="I62" s="9">
        <f>IF(G62="","",G62-IF(H62="",0,H62))</f>
        <v/>
      </c>
    </row>
    <row r="63">
      <c r="A63" t="n">
        <v>60</v>
      </c>
      <c r="B63" s="8" t="n"/>
      <c r="C63" s="5" t="n"/>
      <c r="D63" s="5" t="n"/>
      <c r="E63" s="5" t="n"/>
      <c r="F63" s="6" t="n"/>
      <c r="G63" s="9">
        <f>IF(E63="","",E63*F63)</f>
        <v/>
      </c>
      <c r="H63" s="6" t="n"/>
      <c r="I63" s="9">
        <f>IF(G63="","",G63-IF(H63="",0,H63))</f>
        <v/>
      </c>
    </row>
    <row r="64">
      <c r="A64" t="n">
        <v>61</v>
      </c>
      <c r="B64" s="8" t="n"/>
      <c r="C64" s="5" t="n"/>
      <c r="D64" s="5" t="n"/>
      <c r="E64" s="5" t="n"/>
      <c r="F64" s="6" t="n"/>
      <c r="G64" s="9">
        <f>IF(E64="","",E64*F64)</f>
        <v/>
      </c>
      <c r="H64" s="6" t="n"/>
      <c r="I64" s="9">
        <f>IF(G64="","",G64-IF(H64="",0,H64))</f>
        <v/>
      </c>
    </row>
    <row r="65">
      <c r="A65" t="n">
        <v>62</v>
      </c>
      <c r="B65" s="8" t="n"/>
      <c r="C65" s="5" t="n"/>
      <c r="D65" s="5" t="n"/>
      <c r="E65" s="5" t="n"/>
      <c r="F65" s="6" t="n"/>
      <c r="G65" s="9">
        <f>IF(E65="","",E65*F65)</f>
        <v/>
      </c>
      <c r="H65" s="6" t="n"/>
      <c r="I65" s="9">
        <f>IF(G65="","",G65-IF(H65="",0,H65))</f>
        <v/>
      </c>
    </row>
    <row r="66">
      <c r="A66" t="n">
        <v>63</v>
      </c>
      <c r="B66" s="8" t="n"/>
      <c r="C66" s="5" t="n"/>
      <c r="D66" s="5" t="n"/>
      <c r="E66" s="5" t="n"/>
      <c r="F66" s="6" t="n"/>
      <c r="G66" s="9">
        <f>IF(E66="","",E66*F66)</f>
        <v/>
      </c>
      <c r="H66" s="6" t="n"/>
      <c r="I66" s="9">
        <f>IF(G66="","",G66-IF(H66="",0,H66))</f>
        <v/>
      </c>
    </row>
    <row r="67">
      <c r="A67" t="n">
        <v>64</v>
      </c>
      <c r="B67" s="8" t="n"/>
      <c r="C67" s="5" t="n"/>
      <c r="D67" s="5" t="n"/>
      <c r="E67" s="5" t="n"/>
      <c r="F67" s="6" t="n"/>
      <c r="G67" s="9">
        <f>IF(E67="","",E67*F67)</f>
        <v/>
      </c>
      <c r="H67" s="6" t="n"/>
      <c r="I67" s="9">
        <f>IF(G67="","",G67-IF(H67="",0,H67))</f>
        <v/>
      </c>
    </row>
    <row r="68">
      <c r="A68" t="n">
        <v>65</v>
      </c>
      <c r="B68" s="8" t="n"/>
      <c r="C68" s="5" t="n"/>
      <c r="D68" s="5" t="n"/>
      <c r="E68" s="5" t="n"/>
      <c r="F68" s="6" t="n"/>
      <c r="G68" s="9">
        <f>IF(E68="","",E68*F68)</f>
        <v/>
      </c>
      <c r="H68" s="6" t="n"/>
      <c r="I68" s="9">
        <f>IF(G68="","",G68-IF(H68="",0,H68))</f>
        <v/>
      </c>
    </row>
    <row r="69">
      <c r="A69" t="n">
        <v>66</v>
      </c>
      <c r="B69" s="8" t="n"/>
      <c r="C69" s="5" t="n"/>
      <c r="D69" s="5" t="n"/>
      <c r="E69" s="5" t="n"/>
      <c r="F69" s="6" t="n"/>
      <c r="G69" s="9">
        <f>IF(E69="","",E69*F69)</f>
        <v/>
      </c>
      <c r="H69" s="6" t="n"/>
      <c r="I69" s="9">
        <f>IF(G69="","",G69-IF(H69="",0,H69))</f>
        <v/>
      </c>
    </row>
    <row r="70">
      <c r="A70" t="n">
        <v>67</v>
      </c>
      <c r="B70" s="8" t="n"/>
      <c r="C70" s="5" t="n"/>
      <c r="D70" s="5" t="n"/>
      <c r="E70" s="5" t="n"/>
      <c r="F70" s="6" t="n"/>
      <c r="G70" s="9">
        <f>IF(E70="","",E70*F70)</f>
        <v/>
      </c>
      <c r="H70" s="6" t="n"/>
      <c r="I70" s="9">
        <f>IF(G70="","",G70-IF(H70="",0,H70))</f>
        <v/>
      </c>
    </row>
    <row r="71">
      <c r="A71" t="n">
        <v>68</v>
      </c>
      <c r="B71" s="8" t="n"/>
      <c r="C71" s="5" t="n"/>
      <c r="D71" s="5" t="n"/>
      <c r="E71" s="5" t="n"/>
      <c r="F71" s="6" t="n"/>
      <c r="G71" s="9">
        <f>IF(E71="","",E71*F71)</f>
        <v/>
      </c>
      <c r="H71" s="6" t="n"/>
      <c r="I71" s="9">
        <f>IF(G71="","",G71-IF(H71="",0,H71))</f>
        <v/>
      </c>
    </row>
    <row r="72">
      <c r="A72" t="n">
        <v>69</v>
      </c>
      <c r="B72" s="8" t="n"/>
      <c r="C72" s="5" t="n"/>
      <c r="D72" s="5" t="n"/>
      <c r="E72" s="5" t="n"/>
      <c r="F72" s="6" t="n"/>
      <c r="G72" s="9">
        <f>IF(E72="","",E72*F72)</f>
        <v/>
      </c>
      <c r="H72" s="6" t="n"/>
      <c r="I72" s="9">
        <f>IF(G72="","",G72-IF(H72="",0,H72))</f>
        <v/>
      </c>
    </row>
    <row r="73">
      <c r="A73" t="n">
        <v>70</v>
      </c>
      <c r="B73" s="8" t="n"/>
      <c r="C73" s="5" t="n"/>
      <c r="D73" s="5" t="n"/>
      <c r="E73" s="5" t="n"/>
      <c r="F73" s="6" t="n"/>
      <c r="G73" s="9">
        <f>IF(E73="","",E73*F73)</f>
        <v/>
      </c>
      <c r="H73" s="6" t="n"/>
      <c r="I73" s="9">
        <f>IF(G73="","",G73-IF(H73="",0,H73))</f>
        <v/>
      </c>
    </row>
    <row r="74">
      <c r="A74" t="n">
        <v>71</v>
      </c>
      <c r="B74" s="8" t="n"/>
      <c r="C74" s="5" t="n"/>
      <c r="D74" s="5" t="n"/>
      <c r="E74" s="5" t="n"/>
      <c r="F74" s="6" t="n"/>
      <c r="G74" s="9">
        <f>IF(E74="","",E74*F74)</f>
        <v/>
      </c>
      <c r="H74" s="6" t="n"/>
      <c r="I74" s="9">
        <f>IF(G74="","",G74-IF(H74="",0,H74))</f>
        <v/>
      </c>
    </row>
    <row r="75">
      <c r="A75" t="n">
        <v>72</v>
      </c>
      <c r="B75" s="8" t="n"/>
      <c r="C75" s="5" t="n"/>
      <c r="D75" s="5" t="n"/>
      <c r="E75" s="5" t="n"/>
      <c r="F75" s="6" t="n"/>
      <c r="G75" s="9">
        <f>IF(E75="","",E75*F75)</f>
        <v/>
      </c>
      <c r="H75" s="6" t="n"/>
      <c r="I75" s="9">
        <f>IF(G75="","",G75-IF(H75="",0,H75))</f>
        <v/>
      </c>
    </row>
    <row r="76">
      <c r="A76" t="n">
        <v>73</v>
      </c>
      <c r="B76" s="8" t="n"/>
      <c r="C76" s="5" t="n"/>
      <c r="D76" s="5" t="n"/>
      <c r="E76" s="5" t="n"/>
      <c r="F76" s="6" t="n"/>
      <c r="G76" s="9">
        <f>IF(E76="","",E76*F76)</f>
        <v/>
      </c>
      <c r="H76" s="6" t="n"/>
      <c r="I76" s="9">
        <f>IF(G76="","",G76-IF(H76="",0,H76))</f>
        <v/>
      </c>
    </row>
    <row r="77">
      <c r="A77" t="n">
        <v>74</v>
      </c>
      <c r="B77" s="8" t="n"/>
      <c r="C77" s="5" t="n"/>
      <c r="D77" s="5" t="n"/>
      <c r="E77" s="5" t="n"/>
      <c r="F77" s="6" t="n"/>
      <c r="G77" s="9">
        <f>IF(E77="","",E77*F77)</f>
        <v/>
      </c>
      <c r="H77" s="6" t="n"/>
      <c r="I77" s="9">
        <f>IF(G77="","",G77-IF(H77="",0,H77))</f>
        <v/>
      </c>
    </row>
    <row r="78">
      <c r="A78" t="n">
        <v>75</v>
      </c>
      <c r="B78" s="8" t="n"/>
      <c r="C78" s="5" t="n"/>
      <c r="D78" s="5" t="n"/>
      <c r="E78" s="5" t="n"/>
      <c r="F78" s="6" t="n"/>
      <c r="G78" s="9">
        <f>IF(E78="","",E78*F78)</f>
        <v/>
      </c>
      <c r="H78" s="6" t="n"/>
      <c r="I78" s="9">
        <f>IF(G78="","",G78-IF(H78="",0,H78))</f>
        <v/>
      </c>
    </row>
    <row r="79">
      <c r="A79" t="n">
        <v>76</v>
      </c>
      <c r="B79" s="8" t="n"/>
      <c r="C79" s="5" t="n"/>
      <c r="D79" s="5" t="n"/>
      <c r="E79" s="5" t="n"/>
      <c r="F79" s="6" t="n"/>
      <c r="G79" s="9">
        <f>IF(E79="","",E79*F79)</f>
        <v/>
      </c>
      <c r="H79" s="6" t="n"/>
      <c r="I79" s="9">
        <f>IF(G79="","",G79-IF(H79="",0,H79))</f>
        <v/>
      </c>
    </row>
    <row r="80">
      <c r="A80" t="n">
        <v>77</v>
      </c>
      <c r="B80" s="8" t="n"/>
      <c r="C80" s="5" t="n"/>
      <c r="D80" s="5" t="n"/>
      <c r="E80" s="5" t="n"/>
      <c r="F80" s="6" t="n"/>
      <c r="G80" s="9">
        <f>IF(E80="","",E80*F80)</f>
        <v/>
      </c>
      <c r="H80" s="6" t="n"/>
      <c r="I80" s="9">
        <f>IF(G80="","",G80-IF(H80="",0,H80))</f>
        <v/>
      </c>
    </row>
    <row r="81">
      <c r="A81" t="n">
        <v>78</v>
      </c>
      <c r="B81" s="8" t="n"/>
      <c r="C81" s="5" t="n"/>
      <c r="D81" s="5" t="n"/>
      <c r="E81" s="5" t="n"/>
      <c r="F81" s="6" t="n"/>
      <c r="G81" s="9">
        <f>IF(E81="","",E81*F81)</f>
        <v/>
      </c>
      <c r="H81" s="6" t="n"/>
      <c r="I81" s="9">
        <f>IF(G81="","",G81-IF(H81="",0,H81))</f>
        <v/>
      </c>
    </row>
    <row r="82">
      <c r="A82" t="n">
        <v>79</v>
      </c>
      <c r="B82" s="8" t="n"/>
      <c r="C82" s="5" t="n"/>
      <c r="D82" s="5" t="n"/>
      <c r="E82" s="5" t="n"/>
      <c r="F82" s="6" t="n"/>
      <c r="G82" s="9">
        <f>IF(E82="","",E82*F82)</f>
        <v/>
      </c>
      <c r="H82" s="6" t="n"/>
      <c r="I82" s="9">
        <f>IF(G82="","",G82-IF(H82="",0,H82))</f>
        <v/>
      </c>
    </row>
    <row r="83">
      <c r="A83" t="n">
        <v>80</v>
      </c>
      <c r="B83" s="8" t="n"/>
      <c r="C83" s="5" t="n"/>
      <c r="D83" s="5" t="n"/>
      <c r="E83" s="5" t="n"/>
      <c r="F83" s="6" t="n"/>
      <c r="G83" s="9">
        <f>IF(E83="","",E83*F83)</f>
        <v/>
      </c>
      <c r="H83" s="6" t="n"/>
      <c r="I83" s="9">
        <f>IF(G83="","",G83-IF(H83="",0,H83))</f>
        <v/>
      </c>
    </row>
    <row r="84">
      <c r="A84" t="n">
        <v>81</v>
      </c>
      <c r="B84" s="8" t="n"/>
      <c r="C84" s="5" t="n"/>
      <c r="D84" s="5" t="n"/>
      <c r="E84" s="5" t="n"/>
      <c r="F84" s="6" t="n"/>
      <c r="G84" s="9">
        <f>IF(E84="","",E84*F84)</f>
        <v/>
      </c>
      <c r="H84" s="6" t="n"/>
      <c r="I84" s="9">
        <f>IF(G84="","",G84-IF(H84="",0,H84))</f>
        <v/>
      </c>
    </row>
    <row r="85">
      <c r="A85" t="n">
        <v>82</v>
      </c>
      <c r="B85" s="8" t="n"/>
      <c r="C85" s="5" t="n"/>
      <c r="D85" s="5" t="n"/>
      <c r="E85" s="5" t="n"/>
      <c r="F85" s="6" t="n"/>
      <c r="G85" s="9">
        <f>IF(E85="","",E85*F85)</f>
        <v/>
      </c>
      <c r="H85" s="6" t="n"/>
      <c r="I85" s="9">
        <f>IF(G85="","",G85-IF(H85="",0,H85))</f>
        <v/>
      </c>
    </row>
    <row r="86">
      <c r="A86" t="n">
        <v>83</v>
      </c>
      <c r="B86" s="8" t="n"/>
      <c r="C86" s="5" t="n"/>
      <c r="D86" s="5" t="n"/>
      <c r="E86" s="5" t="n"/>
      <c r="F86" s="6" t="n"/>
      <c r="G86" s="9">
        <f>IF(E86="","",E86*F86)</f>
        <v/>
      </c>
      <c r="H86" s="6" t="n"/>
      <c r="I86" s="9">
        <f>IF(G86="","",G86-IF(H86="",0,H86))</f>
        <v/>
      </c>
    </row>
    <row r="87">
      <c r="A87" t="n">
        <v>84</v>
      </c>
      <c r="B87" s="8" t="n"/>
      <c r="C87" s="5" t="n"/>
      <c r="D87" s="5" t="n"/>
      <c r="E87" s="5" t="n"/>
      <c r="F87" s="6" t="n"/>
      <c r="G87" s="9">
        <f>IF(E87="","",E87*F87)</f>
        <v/>
      </c>
      <c r="H87" s="6" t="n"/>
      <c r="I87" s="9">
        <f>IF(G87="","",G87-IF(H87="",0,H87))</f>
        <v/>
      </c>
    </row>
    <row r="88">
      <c r="A88" t="n">
        <v>85</v>
      </c>
      <c r="B88" s="8" t="n"/>
      <c r="C88" s="5" t="n"/>
      <c r="D88" s="5" t="n"/>
      <c r="E88" s="5" t="n"/>
      <c r="F88" s="6" t="n"/>
      <c r="G88" s="9">
        <f>IF(E88="","",E88*F88)</f>
        <v/>
      </c>
      <c r="H88" s="6" t="n"/>
      <c r="I88" s="9">
        <f>IF(G88="","",G88-IF(H88="",0,H88))</f>
        <v/>
      </c>
    </row>
    <row r="89">
      <c r="A89" t="n">
        <v>86</v>
      </c>
      <c r="B89" s="8" t="n"/>
      <c r="C89" s="5" t="n"/>
      <c r="D89" s="5" t="n"/>
      <c r="E89" s="5" t="n"/>
      <c r="F89" s="6" t="n"/>
      <c r="G89" s="9">
        <f>IF(E89="","",E89*F89)</f>
        <v/>
      </c>
      <c r="H89" s="6" t="n"/>
      <c r="I89" s="9">
        <f>IF(G89="","",G89-IF(H89="",0,H89))</f>
        <v/>
      </c>
    </row>
    <row r="90">
      <c r="A90" t="n">
        <v>87</v>
      </c>
      <c r="B90" s="8" t="n"/>
      <c r="C90" s="5" t="n"/>
      <c r="D90" s="5" t="n"/>
      <c r="E90" s="5" t="n"/>
      <c r="F90" s="6" t="n"/>
      <c r="G90" s="9">
        <f>IF(E90="","",E90*F90)</f>
        <v/>
      </c>
      <c r="H90" s="6" t="n"/>
      <c r="I90" s="9">
        <f>IF(G90="","",G90-IF(H90="",0,H90))</f>
        <v/>
      </c>
    </row>
    <row r="91">
      <c r="A91" t="n">
        <v>88</v>
      </c>
      <c r="B91" s="8" t="n"/>
      <c r="C91" s="5" t="n"/>
      <c r="D91" s="5" t="n"/>
      <c r="E91" s="5" t="n"/>
      <c r="F91" s="6" t="n"/>
      <c r="G91" s="9">
        <f>IF(E91="","",E91*F91)</f>
        <v/>
      </c>
      <c r="H91" s="6" t="n"/>
      <c r="I91" s="9">
        <f>IF(G91="","",G91-IF(H91="",0,H91))</f>
        <v/>
      </c>
    </row>
    <row r="92">
      <c r="A92" t="n">
        <v>89</v>
      </c>
      <c r="B92" s="8" t="n"/>
      <c r="C92" s="5" t="n"/>
      <c r="D92" s="5" t="n"/>
      <c r="E92" s="5" t="n"/>
      <c r="F92" s="6" t="n"/>
      <c r="G92" s="9">
        <f>IF(E92="","",E92*F92)</f>
        <v/>
      </c>
      <c r="H92" s="6" t="n"/>
      <c r="I92" s="9">
        <f>IF(G92="","",G92-IF(H92="",0,H92))</f>
        <v/>
      </c>
    </row>
    <row r="93">
      <c r="A93" t="n">
        <v>90</v>
      </c>
      <c r="B93" s="8" t="n"/>
      <c r="C93" s="5" t="n"/>
      <c r="D93" s="5" t="n"/>
      <c r="E93" s="5" t="n"/>
      <c r="F93" s="6" t="n"/>
      <c r="G93" s="9">
        <f>IF(E93="","",E93*F93)</f>
        <v/>
      </c>
      <c r="H93" s="6" t="n"/>
      <c r="I93" s="9">
        <f>IF(G93="","",G93-IF(H93="",0,H93))</f>
        <v/>
      </c>
    </row>
    <row r="94">
      <c r="A94" t="n">
        <v>91</v>
      </c>
      <c r="B94" s="8" t="n"/>
      <c r="C94" s="5" t="n"/>
      <c r="D94" s="5" t="n"/>
      <c r="E94" s="5" t="n"/>
      <c r="F94" s="6" t="n"/>
      <c r="G94" s="9">
        <f>IF(E94="","",E94*F94)</f>
        <v/>
      </c>
      <c r="H94" s="6" t="n"/>
      <c r="I94" s="9">
        <f>IF(G94="","",G94-IF(H94="",0,H94))</f>
        <v/>
      </c>
    </row>
    <row r="95">
      <c r="A95" t="n">
        <v>92</v>
      </c>
      <c r="B95" s="8" t="n"/>
      <c r="C95" s="5" t="n"/>
      <c r="D95" s="5" t="n"/>
      <c r="E95" s="5" t="n"/>
      <c r="F95" s="6" t="n"/>
      <c r="G95" s="9">
        <f>IF(E95="","",E95*F95)</f>
        <v/>
      </c>
      <c r="H95" s="6" t="n"/>
      <c r="I95" s="9">
        <f>IF(G95="","",G95-IF(H95="",0,H95))</f>
        <v/>
      </c>
    </row>
    <row r="96">
      <c r="A96" t="n">
        <v>93</v>
      </c>
      <c r="B96" s="8" t="n"/>
      <c r="C96" s="5" t="n"/>
      <c r="D96" s="5" t="n"/>
      <c r="E96" s="5" t="n"/>
      <c r="F96" s="6" t="n"/>
      <c r="G96" s="9">
        <f>IF(E96="","",E96*F96)</f>
        <v/>
      </c>
      <c r="H96" s="6" t="n"/>
      <c r="I96" s="9">
        <f>IF(G96="","",G96-IF(H96="",0,H96))</f>
        <v/>
      </c>
    </row>
    <row r="97">
      <c r="A97" t="n">
        <v>94</v>
      </c>
      <c r="B97" s="8" t="n"/>
      <c r="C97" s="5" t="n"/>
      <c r="D97" s="5" t="n"/>
      <c r="E97" s="5" t="n"/>
      <c r="F97" s="6" t="n"/>
      <c r="G97" s="9">
        <f>IF(E97="","",E97*F97)</f>
        <v/>
      </c>
      <c r="H97" s="6" t="n"/>
      <c r="I97" s="9">
        <f>IF(G97="","",G97-IF(H97="",0,H97))</f>
        <v/>
      </c>
    </row>
    <row r="98">
      <c r="A98" t="n">
        <v>95</v>
      </c>
      <c r="B98" s="8" t="n"/>
      <c r="C98" s="5" t="n"/>
      <c r="D98" s="5" t="n"/>
      <c r="E98" s="5" t="n"/>
      <c r="F98" s="6" t="n"/>
      <c r="G98" s="9">
        <f>IF(E98="","",E98*F98)</f>
        <v/>
      </c>
      <c r="H98" s="6" t="n"/>
      <c r="I98" s="9">
        <f>IF(G98="","",G98-IF(H98="",0,H98))</f>
        <v/>
      </c>
    </row>
    <row r="99">
      <c r="A99" t="n">
        <v>96</v>
      </c>
      <c r="B99" s="8" t="n"/>
      <c r="C99" s="5" t="n"/>
      <c r="D99" s="5" t="n"/>
      <c r="E99" s="5" t="n"/>
      <c r="F99" s="6" t="n"/>
      <c r="G99" s="9">
        <f>IF(E99="","",E99*F99)</f>
        <v/>
      </c>
      <c r="H99" s="6" t="n"/>
      <c r="I99" s="9">
        <f>IF(G99="","",G99-IF(H99="",0,H99))</f>
        <v/>
      </c>
    </row>
    <row r="100">
      <c r="A100" t="n">
        <v>97</v>
      </c>
      <c r="B100" s="8" t="n"/>
      <c r="C100" s="5" t="n"/>
      <c r="D100" s="5" t="n"/>
      <c r="E100" s="5" t="n"/>
      <c r="F100" s="6" t="n"/>
      <c r="G100" s="9">
        <f>IF(E100="","",E100*F100)</f>
        <v/>
      </c>
      <c r="H100" s="6" t="n"/>
      <c r="I100" s="9">
        <f>IF(G100="","",G100-IF(H100="",0,H100))</f>
        <v/>
      </c>
    </row>
    <row r="101">
      <c r="A101" t="n">
        <v>98</v>
      </c>
      <c r="B101" s="8" t="n"/>
      <c r="C101" s="5" t="n"/>
      <c r="D101" s="5" t="n"/>
      <c r="E101" s="5" t="n"/>
      <c r="F101" s="6" t="n"/>
      <c r="G101" s="9">
        <f>IF(E101="","",E101*F101)</f>
        <v/>
      </c>
      <c r="H101" s="6" t="n"/>
      <c r="I101" s="9">
        <f>IF(G101="","",G101-IF(H101="",0,H101))</f>
        <v/>
      </c>
    </row>
    <row r="102">
      <c r="A102" t="n">
        <v>99</v>
      </c>
      <c r="B102" s="8" t="n"/>
      <c r="C102" s="5" t="n"/>
      <c r="D102" s="5" t="n"/>
      <c r="E102" s="5" t="n"/>
      <c r="F102" s="6" t="n"/>
      <c r="G102" s="9">
        <f>IF(E102="","",E102*F102)</f>
        <v/>
      </c>
      <c r="H102" s="6" t="n"/>
      <c r="I102" s="9">
        <f>IF(G102="","",G102-IF(H102="",0,H102))</f>
        <v/>
      </c>
    </row>
    <row r="103">
      <c r="A103" t="n">
        <v>100</v>
      </c>
      <c r="B103" s="8" t="n"/>
      <c r="C103" s="5" t="n"/>
      <c r="D103" s="5" t="n"/>
      <c r="E103" s="5" t="n"/>
      <c r="F103" s="6" t="n"/>
      <c r="G103" s="9">
        <f>IF(E103="","",E103*F103)</f>
        <v/>
      </c>
      <c r="H103" s="6" t="n"/>
      <c r="I103" s="9">
        <f>IF(G103="","",G103-IF(H103="",0,H103))</f>
        <v/>
      </c>
    </row>
    <row r="104">
      <c r="A104" t="n">
        <v>101</v>
      </c>
      <c r="B104" s="8" t="n"/>
      <c r="C104" s="5" t="n"/>
      <c r="D104" s="5" t="n"/>
      <c r="E104" s="5" t="n"/>
      <c r="F104" s="6" t="n"/>
      <c r="G104" s="9">
        <f>IF(E104="","",E104*F104)</f>
        <v/>
      </c>
      <c r="H104" s="6" t="n"/>
      <c r="I104" s="9">
        <f>IF(G104="","",G104-IF(H104="",0,H104))</f>
        <v/>
      </c>
    </row>
    <row r="105">
      <c r="A105" t="n">
        <v>102</v>
      </c>
      <c r="B105" s="8" t="n"/>
      <c r="C105" s="5" t="n"/>
      <c r="D105" s="5" t="n"/>
      <c r="E105" s="5" t="n"/>
      <c r="F105" s="6" t="n"/>
      <c r="G105" s="9">
        <f>IF(E105="","",E105*F105)</f>
        <v/>
      </c>
      <c r="H105" s="6" t="n"/>
      <c r="I105" s="9">
        <f>IF(G105="","",G105-IF(H105="",0,H105))</f>
        <v/>
      </c>
    </row>
    <row r="106">
      <c r="A106" t="n">
        <v>103</v>
      </c>
      <c r="B106" s="8" t="n"/>
      <c r="C106" s="5" t="n"/>
      <c r="D106" s="5" t="n"/>
      <c r="E106" s="5" t="n"/>
      <c r="F106" s="6" t="n"/>
      <c r="G106" s="9">
        <f>IF(E106="","",E106*F106)</f>
        <v/>
      </c>
      <c r="H106" s="6" t="n"/>
      <c r="I106" s="9">
        <f>IF(G106="","",G106-IF(H106="",0,H106))</f>
        <v/>
      </c>
    </row>
    <row r="107">
      <c r="A107" t="n">
        <v>104</v>
      </c>
      <c r="B107" s="8" t="n"/>
      <c r="C107" s="5" t="n"/>
      <c r="D107" s="5" t="n"/>
      <c r="E107" s="5" t="n"/>
      <c r="F107" s="6" t="n"/>
      <c r="G107" s="9">
        <f>IF(E107="","",E107*F107)</f>
        <v/>
      </c>
      <c r="H107" s="6" t="n"/>
      <c r="I107" s="9">
        <f>IF(G107="","",G107-IF(H107="",0,H107))</f>
        <v/>
      </c>
    </row>
    <row r="108">
      <c r="A108" t="n">
        <v>105</v>
      </c>
      <c r="B108" s="8" t="n"/>
      <c r="C108" s="5" t="n"/>
      <c r="D108" s="5" t="n"/>
      <c r="E108" s="5" t="n"/>
      <c r="F108" s="6" t="n"/>
      <c r="G108" s="9">
        <f>IF(E108="","",E108*F108)</f>
        <v/>
      </c>
      <c r="H108" s="6" t="n"/>
      <c r="I108" s="9">
        <f>IF(G108="","",G108-IF(H108="",0,H108))</f>
        <v/>
      </c>
    </row>
    <row r="109">
      <c r="A109" t="n">
        <v>106</v>
      </c>
      <c r="B109" s="8" t="n"/>
      <c r="C109" s="5" t="n"/>
      <c r="D109" s="5" t="n"/>
      <c r="E109" s="5" t="n"/>
      <c r="F109" s="6" t="n"/>
      <c r="G109" s="9">
        <f>IF(E109="","",E109*F109)</f>
        <v/>
      </c>
      <c r="H109" s="6" t="n"/>
      <c r="I109" s="9">
        <f>IF(G109="","",G109-IF(H109="",0,H109))</f>
        <v/>
      </c>
    </row>
    <row r="110">
      <c r="A110" t="n">
        <v>107</v>
      </c>
      <c r="B110" s="8" t="n"/>
      <c r="C110" s="5" t="n"/>
      <c r="D110" s="5" t="n"/>
      <c r="E110" s="5" t="n"/>
      <c r="F110" s="6" t="n"/>
      <c r="G110" s="9">
        <f>IF(E110="","",E110*F110)</f>
        <v/>
      </c>
      <c r="H110" s="6" t="n"/>
      <c r="I110" s="9">
        <f>IF(G110="","",G110-IF(H110="",0,H110))</f>
        <v/>
      </c>
    </row>
    <row r="111">
      <c r="A111" t="n">
        <v>108</v>
      </c>
      <c r="B111" s="8" t="n"/>
      <c r="C111" s="5" t="n"/>
      <c r="D111" s="5" t="n"/>
      <c r="E111" s="5" t="n"/>
      <c r="F111" s="6" t="n"/>
      <c r="G111" s="9">
        <f>IF(E111="","",E111*F111)</f>
        <v/>
      </c>
      <c r="H111" s="6" t="n"/>
      <c r="I111" s="9">
        <f>IF(G111="","",G111-IF(H111="",0,H111))</f>
        <v/>
      </c>
    </row>
    <row r="112">
      <c r="A112" t="n">
        <v>109</v>
      </c>
      <c r="B112" s="8" t="n"/>
      <c r="C112" s="5" t="n"/>
      <c r="D112" s="5" t="n"/>
      <c r="E112" s="5" t="n"/>
      <c r="F112" s="6" t="n"/>
      <c r="G112" s="9">
        <f>IF(E112="","",E112*F112)</f>
        <v/>
      </c>
      <c r="H112" s="6" t="n"/>
      <c r="I112" s="9">
        <f>IF(G112="","",G112-IF(H112="",0,H112))</f>
        <v/>
      </c>
    </row>
    <row r="113">
      <c r="A113" t="n">
        <v>110</v>
      </c>
      <c r="B113" s="8" t="n"/>
      <c r="C113" s="5" t="n"/>
      <c r="D113" s="5" t="n"/>
      <c r="E113" s="5" t="n"/>
      <c r="F113" s="6" t="n"/>
      <c r="G113" s="9">
        <f>IF(E113="","",E113*F113)</f>
        <v/>
      </c>
      <c r="H113" s="6" t="n"/>
      <c r="I113" s="9">
        <f>IF(G113="","",G113-IF(H113="",0,H113))</f>
        <v/>
      </c>
    </row>
    <row r="114">
      <c r="A114" t="n">
        <v>111</v>
      </c>
      <c r="B114" s="8" t="n"/>
      <c r="C114" s="5" t="n"/>
      <c r="D114" s="5" t="n"/>
      <c r="E114" s="5" t="n"/>
      <c r="F114" s="6" t="n"/>
      <c r="G114" s="9">
        <f>IF(E114="","",E114*F114)</f>
        <v/>
      </c>
      <c r="H114" s="6" t="n"/>
      <c r="I114" s="9">
        <f>IF(G114="","",G114-IF(H114="",0,H114))</f>
        <v/>
      </c>
    </row>
    <row r="115">
      <c r="A115" t="n">
        <v>112</v>
      </c>
      <c r="B115" s="8" t="n"/>
      <c r="C115" s="5" t="n"/>
      <c r="D115" s="5" t="n"/>
      <c r="E115" s="5" t="n"/>
      <c r="F115" s="6" t="n"/>
      <c r="G115" s="9">
        <f>IF(E115="","",E115*F115)</f>
        <v/>
      </c>
      <c r="H115" s="6" t="n"/>
      <c r="I115" s="9">
        <f>IF(G115="","",G115-IF(H115="",0,H115))</f>
        <v/>
      </c>
    </row>
    <row r="116">
      <c r="A116" t="n">
        <v>113</v>
      </c>
      <c r="B116" s="8" t="n"/>
      <c r="C116" s="5" t="n"/>
      <c r="D116" s="5" t="n"/>
      <c r="E116" s="5" t="n"/>
      <c r="F116" s="6" t="n"/>
      <c r="G116" s="9">
        <f>IF(E116="","",E116*F116)</f>
        <v/>
      </c>
      <c r="H116" s="6" t="n"/>
      <c r="I116" s="9">
        <f>IF(G116="","",G116-IF(H116="",0,H116))</f>
        <v/>
      </c>
    </row>
    <row r="117">
      <c r="A117" t="n">
        <v>114</v>
      </c>
      <c r="B117" s="8" t="n"/>
      <c r="C117" s="5" t="n"/>
      <c r="D117" s="5" t="n"/>
      <c r="E117" s="5" t="n"/>
      <c r="F117" s="6" t="n"/>
      <c r="G117" s="9">
        <f>IF(E117="","",E117*F117)</f>
        <v/>
      </c>
      <c r="H117" s="6" t="n"/>
      <c r="I117" s="9">
        <f>IF(G117="","",G117-IF(H117="",0,H117))</f>
        <v/>
      </c>
    </row>
    <row r="118">
      <c r="A118" t="n">
        <v>115</v>
      </c>
      <c r="B118" s="8" t="n"/>
      <c r="C118" s="5" t="n"/>
      <c r="D118" s="5" t="n"/>
      <c r="E118" s="5" t="n"/>
      <c r="F118" s="6" t="n"/>
      <c r="G118" s="9">
        <f>IF(E118="","",E118*F118)</f>
        <v/>
      </c>
      <c r="H118" s="6" t="n"/>
      <c r="I118" s="9">
        <f>IF(G118="","",G118-IF(H118="",0,H118))</f>
        <v/>
      </c>
    </row>
    <row r="119">
      <c r="A119" t="n">
        <v>116</v>
      </c>
      <c r="B119" s="8" t="n"/>
      <c r="C119" s="5" t="n"/>
      <c r="D119" s="5" t="n"/>
      <c r="E119" s="5" t="n"/>
      <c r="F119" s="6" t="n"/>
      <c r="G119" s="9">
        <f>IF(E119="","",E119*F119)</f>
        <v/>
      </c>
      <c r="H119" s="6" t="n"/>
      <c r="I119" s="9">
        <f>IF(G119="","",G119-IF(H119="",0,H119))</f>
        <v/>
      </c>
    </row>
    <row r="120">
      <c r="A120" t="n">
        <v>117</v>
      </c>
      <c r="B120" s="8" t="n"/>
      <c r="C120" s="5" t="n"/>
      <c r="D120" s="5" t="n"/>
      <c r="E120" s="5" t="n"/>
      <c r="F120" s="6" t="n"/>
      <c r="G120" s="9">
        <f>IF(E120="","",E120*F120)</f>
        <v/>
      </c>
      <c r="H120" s="6" t="n"/>
      <c r="I120" s="9">
        <f>IF(G120="","",G120-IF(H120="",0,H120))</f>
        <v/>
      </c>
    </row>
    <row r="121">
      <c r="A121" t="n">
        <v>118</v>
      </c>
      <c r="B121" s="8" t="n"/>
      <c r="C121" s="5" t="n"/>
      <c r="D121" s="5" t="n"/>
      <c r="E121" s="5" t="n"/>
      <c r="F121" s="6" t="n"/>
      <c r="G121" s="9">
        <f>IF(E121="","",E121*F121)</f>
        <v/>
      </c>
      <c r="H121" s="6" t="n"/>
      <c r="I121" s="9">
        <f>IF(G121="","",G121-IF(H121="",0,H121))</f>
        <v/>
      </c>
    </row>
    <row r="122">
      <c r="A122" t="n">
        <v>119</v>
      </c>
      <c r="B122" s="8" t="n"/>
      <c r="C122" s="5" t="n"/>
      <c r="D122" s="5" t="n"/>
      <c r="E122" s="5" t="n"/>
      <c r="F122" s="6" t="n"/>
      <c r="G122" s="9">
        <f>IF(E122="","",E122*F122)</f>
        <v/>
      </c>
      <c r="H122" s="6" t="n"/>
      <c r="I122" s="9">
        <f>IF(G122="","",G122-IF(H122="",0,H122))</f>
        <v/>
      </c>
    </row>
    <row r="123">
      <c r="A123" t="n">
        <v>120</v>
      </c>
      <c r="B123" s="8" t="n"/>
      <c r="C123" s="5" t="n"/>
      <c r="D123" s="5" t="n"/>
      <c r="E123" s="5" t="n"/>
      <c r="F123" s="6" t="n"/>
      <c r="G123" s="9">
        <f>IF(E123="","",E123*F123)</f>
        <v/>
      </c>
      <c r="H123" s="6" t="n"/>
      <c r="I123" s="9">
        <f>IF(G123="","",G123-IF(H123="",0,H123))</f>
        <v/>
      </c>
    </row>
    <row r="124">
      <c r="A124" t="n">
        <v>121</v>
      </c>
      <c r="B124" s="8" t="n"/>
      <c r="C124" s="5" t="n"/>
      <c r="D124" s="5" t="n"/>
      <c r="E124" s="5" t="n"/>
      <c r="F124" s="6" t="n"/>
      <c r="G124" s="9">
        <f>IF(E124="","",E124*F124)</f>
        <v/>
      </c>
      <c r="H124" s="6" t="n"/>
      <c r="I124" s="9">
        <f>IF(G124="","",G124-IF(H124="",0,H124))</f>
        <v/>
      </c>
    </row>
    <row r="125">
      <c r="A125" t="n">
        <v>122</v>
      </c>
      <c r="B125" s="8" t="n"/>
      <c r="C125" s="5" t="n"/>
      <c r="D125" s="5" t="n"/>
      <c r="E125" s="5" t="n"/>
      <c r="F125" s="6" t="n"/>
      <c r="G125" s="9">
        <f>IF(E125="","",E125*F125)</f>
        <v/>
      </c>
      <c r="H125" s="6" t="n"/>
      <c r="I125" s="9">
        <f>IF(G125="","",G125-IF(H125="",0,H125))</f>
        <v/>
      </c>
    </row>
    <row r="126">
      <c r="A126" t="n">
        <v>123</v>
      </c>
      <c r="B126" s="8" t="n"/>
      <c r="C126" s="5" t="n"/>
      <c r="D126" s="5" t="n"/>
      <c r="E126" s="5" t="n"/>
      <c r="F126" s="6" t="n"/>
      <c r="G126" s="9">
        <f>IF(E126="","",E126*F126)</f>
        <v/>
      </c>
      <c r="H126" s="6" t="n"/>
      <c r="I126" s="9">
        <f>IF(G126="","",G126-IF(H126="",0,H126))</f>
        <v/>
      </c>
    </row>
    <row r="127">
      <c r="A127" t="n">
        <v>124</v>
      </c>
      <c r="B127" s="8" t="n"/>
      <c r="C127" s="5" t="n"/>
      <c r="D127" s="5" t="n"/>
      <c r="E127" s="5" t="n"/>
      <c r="F127" s="6" t="n"/>
      <c r="G127" s="9">
        <f>IF(E127="","",E127*F127)</f>
        <v/>
      </c>
      <c r="H127" s="6" t="n"/>
      <c r="I127" s="9">
        <f>IF(G127="","",G127-IF(H127="",0,H127))</f>
        <v/>
      </c>
    </row>
    <row r="128">
      <c r="A128" t="n">
        <v>125</v>
      </c>
      <c r="B128" s="8" t="n"/>
      <c r="C128" s="5" t="n"/>
      <c r="D128" s="5" t="n"/>
      <c r="E128" s="5" t="n"/>
      <c r="F128" s="6" t="n"/>
      <c r="G128" s="9">
        <f>IF(E128="","",E128*F128)</f>
        <v/>
      </c>
      <c r="H128" s="6" t="n"/>
      <c r="I128" s="9">
        <f>IF(G128="","",G128-IF(H128="",0,H128))</f>
        <v/>
      </c>
    </row>
    <row r="129">
      <c r="A129" t="n">
        <v>126</v>
      </c>
      <c r="B129" s="8" t="n"/>
      <c r="C129" s="5" t="n"/>
      <c r="D129" s="5" t="n"/>
      <c r="E129" s="5" t="n"/>
      <c r="F129" s="6" t="n"/>
      <c r="G129" s="9">
        <f>IF(E129="","",E129*F129)</f>
        <v/>
      </c>
      <c r="H129" s="6" t="n"/>
      <c r="I129" s="9">
        <f>IF(G129="","",G129-IF(H129="",0,H129))</f>
        <v/>
      </c>
    </row>
    <row r="130">
      <c r="A130" t="n">
        <v>127</v>
      </c>
      <c r="B130" s="8" t="n"/>
      <c r="C130" s="5" t="n"/>
      <c r="D130" s="5" t="n"/>
      <c r="E130" s="5" t="n"/>
      <c r="F130" s="6" t="n"/>
      <c r="G130" s="9">
        <f>IF(E130="","",E130*F130)</f>
        <v/>
      </c>
      <c r="H130" s="6" t="n"/>
      <c r="I130" s="9">
        <f>IF(G130="","",G130-IF(H130="",0,H130))</f>
        <v/>
      </c>
    </row>
    <row r="131">
      <c r="A131" t="n">
        <v>128</v>
      </c>
      <c r="B131" s="8" t="n"/>
      <c r="C131" s="5" t="n"/>
      <c r="D131" s="5" t="n"/>
      <c r="E131" s="5" t="n"/>
      <c r="F131" s="6" t="n"/>
      <c r="G131" s="9">
        <f>IF(E131="","",E131*F131)</f>
        <v/>
      </c>
      <c r="H131" s="6" t="n"/>
      <c r="I131" s="9">
        <f>IF(G131="","",G131-IF(H131="",0,H131))</f>
        <v/>
      </c>
    </row>
    <row r="132">
      <c r="A132" t="n">
        <v>129</v>
      </c>
      <c r="B132" s="8" t="n"/>
      <c r="C132" s="5" t="n"/>
      <c r="D132" s="5" t="n"/>
      <c r="E132" s="5" t="n"/>
      <c r="F132" s="6" t="n"/>
      <c r="G132" s="9">
        <f>IF(E132="","",E132*F132)</f>
        <v/>
      </c>
      <c r="H132" s="6" t="n"/>
      <c r="I132" s="9">
        <f>IF(G132="","",G132-IF(H132="",0,H132))</f>
        <v/>
      </c>
    </row>
    <row r="133">
      <c r="A133" t="n">
        <v>130</v>
      </c>
      <c r="B133" s="8" t="n"/>
      <c r="C133" s="5" t="n"/>
      <c r="D133" s="5" t="n"/>
      <c r="E133" s="5" t="n"/>
      <c r="F133" s="6" t="n"/>
      <c r="G133" s="9">
        <f>IF(E133="","",E133*F133)</f>
        <v/>
      </c>
      <c r="H133" s="6" t="n"/>
      <c r="I133" s="9">
        <f>IF(G133="","",G133-IF(H133="",0,H133))</f>
        <v/>
      </c>
    </row>
    <row r="134">
      <c r="A134" t="n">
        <v>131</v>
      </c>
      <c r="B134" s="8" t="n"/>
      <c r="C134" s="5" t="n"/>
      <c r="D134" s="5" t="n"/>
      <c r="E134" s="5" t="n"/>
      <c r="F134" s="6" t="n"/>
      <c r="G134" s="9">
        <f>IF(E134="","",E134*F134)</f>
        <v/>
      </c>
      <c r="H134" s="6" t="n"/>
      <c r="I134" s="9">
        <f>IF(G134="","",G134-IF(H134="",0,H134))</f>
        <v/>
      </c>
    </row>
    <row r="135">
      <c r="A135" t="n">
        <v>132</v>
      </c>
      <c r="B135" s="8" t="n"/>
      <c r="C135" s="5" t="n"/>
      <c r="D135" s="5" t="n"/>
      <c r="E135" s="5" t="n"/>
      <c r="F135" s="6" t="n"/>
      <c r="G135" s="9">
        <f>IF(E135="","",E135*F135)</f>
        <v/>
      </c>
      <c r="H135" s="6" t="n"/>
      <c r="I135" s="9">
        <f>IF(G135="","",G135-IF(H135="",0,H135))</f>
        <v/>
      </c>
    </row>
    <row r="136">
      <c r="A136" t="n">
        <v>133</v>
      </c>
      <c r="B136" s="8" t="n"/>
      <c r="C136" s="5" t="n"/>
      <c r="D136" s="5" t="n"/>
      <c r="E136" s="5" t="n"/>
      <c r="F136" s="6" t="n"/>
      <c r="G136" s="9">
        <f>IF(E136="","",E136*F136)</f>
        <v/>
      </c>
      <c r="H136" s="6" t="n"/>
      <c r="I136" s="9">
        <f>IF(G136="","",G136-IF(H136="",0,H136))</f>
        <v/>
      </c>
    </row>
    <row r="137">
      <c r="A137" t="n">
        <v>134</v>
      </c>
      <c r="B137" s="8" t="n"/>
      <c r="C137" s="5" t="n"/>
      <c r="D137" s="5" t="n"/>
      <c r="E137" s="5" t="n"/>
      <c r="F137" s="6" t="n"/>
      <c r="G137" s="9">
        <f>IF(E137="","",E137*F137)</f>
        <v/>
      </c>
      <c r="H137" s="6" t="n"/>
      <c r="I137" s="9">
        <f>IF(G137="","",G137-IF(H137="",0,H137))</f>
        <v/>
      </c>
    </row>
    <row r="138">
      <c r="A138" t="n">
        <v>135</v>
      </c>
      <c r="B138" s="8" t="n"/>
      <c r="C138" s="5" t="n"/>
      <c r="D138" s="5" t="n"/>
      <c r="E138" s="5" t="n"/>
      <c r="F138" s="6" t="n"/>
      <c r="G138" s="9">
        <f>IF(E138="","",E138*F138)</f>
        <v/>
      </c>
      <c r="H138" s="6" t="n"/>
      <c r="I138" s="9">
        <f>IF(G138="","",G138-IF(H138="",0,H138))</f>
        <v/>
      </c>
    </row>
    <row r="139">
      <c r="A139" t="n">
        <v>136</v>
      </c>
      <c r="B139" s="8" t="n"/>
      <c r="C139" s="5" t="n"/>
      <c r="D139" s="5" t="n"/>
      <c r="E139" s="5" t="n"/>
      <c r="F139" s="6" t="n"/>
      <c r="G139" s="9">
        <f>IF(E139="","",E139*F139)</f>
        <v/>
      </c>
      <c r="H139" s="6" t="n"/>
      <c r="I139" s="9">
        <f>IF(G139="","",G139-IF(H139="",0,H139))</f>
        <v/>
      </c>
    </row>
    <row r="140">
      <c r="A140" t="n">
        <v>137</v>
      </c>
      <c r="B140" s="8" t="n"/>
      <c r="C140" s="5" t="n"/>
      <c r="D140" s="5" t="n"/>
      <c r="E140" s="5" t="n"/>
      <c r="F140" s="6" t="n"/>
      <c r="G140" s="9">
        <f>IF(E140="","",E140*F140)</f>
        <v/>
      </c>
      <c r="H140" s="6" t="n"/>
      <c r="I140" s="9">
        <f>IF(G140="","",G140-IF(H140="",0,H140))</f>
        <v/>
      </c>
    </row>
    <row r="141">
      <c r="A141" t="n">
        <v>138</v>
      </c>
      <c r="B141" s="8" t="n"/>
      <c r="C141" s="5" t="n"/>
      <c r="D141" s="5" t="n"/>
      <c r="E141" s="5" t="n"/>
      <c r="F141" s="6" t="n"/>
      <c r="G141" s="9">
        <f>IF(E141="","",E141*F141)</f>
        <v/>
      </c>
      <c r="H141" s="6" t="n"/>
      <c r="I141" s="9">
        <f>IF(G141="","",G141-IF(H141="",0,H141))</f>
        <v/>
      </c>
    </row>
    <row r="142">
      <c r="A142" t="n">
        <v>139</v>
      </c>
      <c r="B142" s="8" t="n"/>
      <c r="C142" s="5" t="n"/>
      <c r="D142" s="5" t="n"/>
      <c r="E142" s="5" t="n"/>
      <c r="F142" s="6" t="n"/>
      <c r="G142" s="9">
        <f>IF(E142="","",E142*F142)</f>
        <v/>
      </c>
      <c r="H142" s="6" t="n"/>
      <c r="I142" s="9">
        <f>IF(G142="","",G142-IF(H142="",0,H142))</f>
        <v/>
      </c>
    </row>
    <row r="143">
      <c r="A143" t="n">
        <v>140</v>
      </c>
      <c r="B143" s="8" t="n"/>
      <c r="C143" s="5" t="n"/>
      <c r="D143" s="5" t="n"/>
      <c r="E143" s="5" t="n"/>
      <c r="F143" s="6" t="n"/>
      <c r="G143" s="9">
        <f>IF(E143="","",E143*F143)</f>
        <v/>
      </c>
      <c r="H143" s="6" t="n"/>
      <c r="I143" s="9">
        <f>IF(G143="","",G143-IF(H143="",0,H143))</f>
        <v/>
      </c>
    </row>
    <row r="144">
      <c r="A144" t="n">
        <v>141</v>
      </c>
      <c r="B144" s="8" t="n"/>
      <c r="C144" s="5" t="n"/>
      <c r="D144" s="5" t="n"/>
      <c r="E144" s="5" t="n"/>
      <c r="F144" s="6" t="n"/>
      <c r="G144" s="9">
        <f>IF(E144="","",E144*F144)</f>
        <v/>
      </c>
      <c r="H144" s="6" t="n"/>
      <c r="I144" s="9">
        <f>IF(G144="","",G144-IF(H144="",0,H144))</f>
        <v/>
      </c>
    </row>
    <row r="145">
      <c r="A145" t="n">
        <v>142</v>
      </c>
      <c r="B145" s="8" t="n"/>
      <c r="C145" s="5" t="n"/>
      <c r="D145" s="5" t="n"/>
      <c r="E145" s="5" t="n"/>
      <c r="F145" s="6" t="n"/>
      <c r="G145" s="9">
        <f>IF(E145="","",E145*F145)</f>
        <v/>
      </c>
      <c r="H145" s="6" t="n"/>
      <c r="I145" s="9">
        <f>IF(G145="","",G145-IF(H145="",0,H145))</f>
        <v/>
      </c>
    </row>
    <row r="146">
      <c r="A146" t="n">
        <v>143</v>
      </c>
      <c r="B146" s="8" t="n"/>
      <c r="C146" s="5" t="n"/>
      <c r="D146" s="5" t="n"/>
      <c r="E146" s="5" t="n"/>
      <c r="F146" s="6" t="n"/>
      <c r="G146" s="9">
        <f>IF(E146="","",E146*F146)</f>
        <v/>
      </c>
      <c r="H146" s="6" t="n"/>
      <c r="I146" s="9">
        <f>IF(G146="","",G146-IF(H146="",0,H146))</f>
        <v/>
      </c>
    </row>
    <row r="147">
      <c r="A147" t="n">
        <v>144</v>
      </c>
      <c r="B147" s="8" t="n"/>
      <c r="C147" s="5" t="n"/>
      <c r="D147" s="5" t="n"/>
      <c r="E147" s="5" t="n"/>
      <c r="F147" s="6" t="n"/>
      <c r="G147" s="9">
        <f>IF(E147="","",E147*F147)</f>
        <v/>
      </c>
      <c r="H147" s="6" t="n"/>
      <c r="I147" s="9">
        <f>IF(G147="","",G147-IF(H147="",0,H147))</f>
        <v/>
      </c>
    </row>
    <row r="148">
      <c r="A148" t="n">
        <v>145</v>
      </c>
      <c r="B148" s="8" t="n"/>
      <c r="C148" s="5" t="n"/>
      <c r="D148" s="5" t="n"/>
      <c r="E148" s="5" t="n"/>
      <c r="F148" s="6" t="n"/>
      <c r="G148" s="9">
        <f>IF(E148="","",E148*F148)</f>
        <v/>
      </c>
      <c r="H148" s="6" t="n"/>
      <c r="I148" s="9">
        <f>IF(G148="","",G148-IF(H148="",0,H148))</f>
        <v/>
      </c>
    </row>
    <row r="149">
      <c r="A149" t="n">
        <v>146</v>
      </c>
      <c r="B149" s="8" t="n"/>
      <c r="C149" s="5" t="n"/>
      <c r="D149" s="5" t="n"/>
      <c r="E149" s="5" t="n"/>
      <c r="F149" s="6" t="n"/>
      <c r="G149" s="9">
        <f>IF(E149="","",E149*F149)</f>
        <v/>
      </c>
      <c r="H149" s="6" t="n"/>
      <c r="I149" s="9">
        <f>IF(G149="","",G149-IF(H149="",0,H149))</f>
        <v/>
      </c>
    </row>
    <row r="150">
      <c r="A150" t="n">
        <v>147</v>
      </c>
      <c r="B150" s="8" t="n"/>
      <c r="C150" s="5" t="n"/>
      <c r="D150" s="5" t="n"/>
      <c r="E150" s="5" t="n"/>
      <c r="F150" s="6" t="n"/>
      <c r="G150" s="9">
        <f>IF(E150="","",E150*F150)</f>
        <v/>
      </c>
      <c r="H150" s="6" t="n"/>
      <c r="I150" s="9">
        <f>IF(G150="","",G150-IF(H150="",0,H150))</f>
        <v/>
      </c>
    </row>
    <row r="151">
      <c r="A151" t="n">
        <v>148</v>
      </c>
      <c r="B151" s="8" t="n"/>
      <c r="C151" s="5" t="n"/>
      <c r="D151" s="5" t="n"/>
      <c r="E151" s="5" t="n"/>
      <c r="F151" s="6" t="n"/>
      <c r="G151" s="9">
        <f>IF(E151="","",E151*F151)</f>
        <v/>
      </c>
      <c r="H151" s="6" t="n"/>
      <c r="I151" s="9">
        <f>IF(G151="","",G151-IF(H151="",0,H151))</f>
        <v/>
      </c>
    </row>
    <row r="152">
      <c r="A152" t="n">
        <v>149</v>
      </c>
      <c r="B152" s="8" t="n"/>
      <c r="C152" s="5" t="n"/>
      <c r="D152" s="5" t="n"/>
      <c r="E152" s="5" t="n"/>
      <c r="F152" s="6" t="n"/>
      <c r="G152" s="9">
        <f>IF(E152="","",E152*F152)</f>
        <v/>
      </c>
      <c r="H152" s="6" t="n"/>
      <c r="I152" s="9">
        <f>IF(G152="","",G152-IF(H152="",0,H152))</f>
        <v/>
      </c>
    </row>
    <row r="153">
      <c r="A153" t="n">
        <v>150</v>
      </c>
      <c r="B153" s="8" t="n"/>
      <c r="C153" s="5" t="n"/>
      <c r="D153" s="5" t="n"/>
      <c r="E153" s="5" t="n"/>
      <c r="F153" s="6" t="n"/>
      <c r="G153" s="9">
        <f>IF(E153="","",E153*F153)</f>
        <v/>
      </c>
      <c r="H153" s="6" t="n"/>
      <c r="I153" s="9">
        <f>IF(G153="","",G153-IF(H153="",0,H153))</f>
        <v/>
      </c>
    </row>
    <row r="154">
      <c r="A154" t="n">
        <v>151</v>
      </c>
      <c r="B154" s="8" t="n"/>
      <c r="C154" s="5" t="n"/>
      <c r="D154" s="5" t="n"/>
      <c r="E154" s="5" t="n"/>
      <c r="F154" s="6" t="n"/>
      <c r="G154" s="9">
        <f>IF(E154="","",E154*F154)</f>
        <v/>
      </c>
      <c r="H154" s="6" t="n"/>
      <c r="I154" s="9">
        <f>IF(G154="","",G154-IF(H154="",0,H154))</f>
        <v/>
      </c>
    </row>
    <row r="155">
      <c r="A155" t="n">
        <v>152</v>
      </c>
      <c r="B155" s="8" t="n"/>
      <c r="C155" s="5" t="n"/>
      <c r="D155" s="5" t="n"/>
      <c r="E155" s="5" t="n"/>
      <c r="F155" s="6" t="n"/>
      <c r="G155" s="9">
        <f>IF(E155="","",E155*F155)</f>
        <v/>
      </c>
      <c r="H155" s="6" t="n"/>
      <c r="I155" s="9">
        <f>IF(G155="","",G155-IF(H155="",0,H155))</f>
        <v/>
      </c>
    </row>
    <row r="156">
      <c r="A156" t="n">
        <v>153</v>
      </c>
      <c r="B156" s="8" t="n"/>
      <c r="C156" s="5" t="n"/>
      <c r="D156" s="5" t="n"/>
      <c r="E156" s="5" t="n"/>
      <c r="F156" s="6" t="n"/>
      <c r="G156" s="9">
        <f>IF(E156="","",E156*F156)</f>
        <v/>
      </c>
      <c r="H156" s="6" t="n"/>
      <c r="I156" s="9">
        <f>IF(G156="","",G156-IF(H156="",0,H156))</f>
        <v/>
      </c>
    </row>
    <row r="157">
      <c r="A157" t="n">
        <v>154</v>
      </c>
      <c r="B157" s="8" t="n"/>
      <c r="C157" s="5" t="n"/>
      <c r="D157" s="5" t="n"/>
      <c r="E157" s="5" t="n"/>
      <c r="F157" s="6" t="n"/>
      <c r="G157" s="9">
        <f>IF(E157="","",E157*F157)</f>
        <v/>
      </c>
      <c r="H157" s="6" t="n"/>
      <c r="I157" s="9">
        <f>IF(G157="","",G157-IF(H157="",0,H157))</f>
        <v/>
      </c>
    </row>
    <row r="158">
      <c r="A158" t="n">
        <v>155</v>
      </c>
      <c r="B158" s="8" t="n"/>
      <c r="C158" s="5" t="n"/>
      <c r="D158" s="5" t="n"/>
      <c r="E158" s="5" t="n"/>
      <c r="F158" s="6" t="n"/>
      <c r="G158" s="9">
        <f>IF(E158="","",E158*F158)</f>
        <v/>
      </c>
      <c r="H158" s="6" t="n"/>
      <c r="I158" s="9">
        <f>IF(G158="","",G158-IF(H158="",0,H158))</f>
        <v/>
      </c>
    </row>
    <row r="159">
      <c r="A159" t="n">
        <v>156</v>
      </c>
      <c r="B159" s="8" t="n"/>
      <c r="C159" s="5" t="n"/>
      <c r="D159" s="5" t="n"/>
      <c r="E159" s="5" t="n"/>
      <c r="F159" s="6" t="n"/>
      <c r="G159" s="9">
        <f>IF(E159="","",E159*F159)</f>
        <v/>
      </c>
      <c r="H159" s="6" t="n"/>
      <c r="I159" s="9">
        <f>IF(G159="","",G159-IF(H159="",0,H159))</f>
        <v/>
      </c>
    </row>
    <row r="160">
      <c r="A160" t="n">
        <v>157</v>
      </c>
      <c r="B160" s="8" t="n"/>
      <c r="C160" s="5" t="n"/>
      <c r="D160" s="5" t="n"/>
      <c r="E160" s="5" t="n"/>
      <c r="F160" s="6" t="n"/>
      <c r="G160" s="9">
        <f>IF(E160="","",E160*F160)</f>
        <v/>
      </c>
      <c r="H160" s="6" t="n"/>
      <c r="I160" s="9">
        <f>IF(G160="","",G160-IF(H160="",0,H160))</f>
        <v/>
      </c>
    </row>
    <row r="161">
      <c r="A161" t="n">
        <v>158</v>
      </c>
      <c r="B161" s="8" t="n"/>
      <c r="C161" s="5" t="n"/>
      <c r="D161" s="5" t="n"/>
      <c r="E161" s="5" t="n"/>
      <c r="F161" s="6" t="n"/>
      <c r="G161" s="9">
        <f>IF(E161="","",E161*F161)</f>
        <v/>
      </c>
      <c r="H161" s="6" t="n"/>
      <c r="I161" s="9">
        <f>IF(G161="","",G161-IF(H161="",0,H161))</f>
        <v/>
      </c>
    </row>
    <row r="162">
      <c r="A162" t="n">
        <v>159</v>
      </c>
      <c r="B162" s="8" t="n"/>
      <c r="C162" s="5" t="n"/>
      <c r="D162" s="5" t="n"/>
      <c r="E162" s="5" t="n"/>
      <c r="F162" s="6" t="n"/>
      <c r="G162" s="9">
        <f>IF(E162="","",E162*F162)</f>
        <v/>
      </c>
      <c r="H162" s="6" t="n"/>
      <c r="I162" s="9">
        <f>IF(G162="","",G162-IF(H162="",0,H162))</f>
        <v/>
      </c>
    </row>
    <row r="163">
      <c r="A163" t="n">
        <v>160</v>
      </c>
      <c r="B163" s="8" t="n"/>
      <c r="C163" s="5" t="n"/>
      <c r="D163" s="5" t="n"/>
      <c r="E163" s="5" t="n"/>
      <c r="F163" s="6" t="n"/>
      <c r="G163" s="9">
        <f>IF(E163="","",E163*F163)</f>
        <v/>
      </c>
      <c r="H163" s="6" t="n"/>
      <c r="I163" s="9">
        <f>IF(G163="","",G163-IF(H163="",0,H163))</f>
        <v/>
      </c>
    </row>
    <row r="164">
      <c r="A164" t="n">
        <v>161</v>
      </c>
      <c r="B164" s="8" t="n"/>
      <c r="C164" s="5" t="n"/>
      <c r="D164" s="5" t="n"/>
      <c r="E164" s="5" t="n"/>
      <c r="F164" s="6" t="n"/>
      <c r="G164" s="9">
        <f>IF(E164="","",E164*F164)</f>
        <v/>
      </c>
      <c r="H164" s="6" t="n"/>
      <c r="I164" s="9">
        <f>IF(G164="","",G164-IF(H164="",0,H164))</f>
        <v/>
      </c>
    </row>
    <row r="165">
      <c r="A165" t="n">
        <v>162</v>
      </c>
      <c r="B165" s="8" t="n"/>
      <c r="C165" s="5" t="n"/>
      <c r="D165" s="5" t="n"/>
      <c r="E165" s="5" t="n"/>
      <c r="F165" s="6" t="n"/>
      <c r="G165" s="9">
        <f>IF(E165="","",E165*F165)</f>
        <v/>
      </c>
      <c r="H165" s="6" t="n"/>
      <c r="I165" s="9">
        <f>IF(G165="","",G165-IF(H165="",0,H165))</f>
        <v/>
      </c>
    </row>
    <row r="166">
      <c r="A166" t="n">
        <v>163</v>
      </c>
      <c r="B166" s="8" t="n"/>
      <c r="C166" s="5" t="n"/>
      <c r="D166" s="5" t="n"/>
      <c r="E166" s="5" t="n"/>
      <c r="F166" s="6" t="n"/>
      <c r="G166" s="9">
        <f>IF(E166="","",E166*F166)</f>
        <v/>
      </c>
      <c r="H166" s="6" t="n"/>
      <c r="I166" s="9">
        <f>IF(G166="","",G166-IF(H166="",0,H166))</f>
        <v/>
      </c>
    </row>
    <row r="167">
      <c r="A167" t="n">
        <v>164</v>
      </c>
      <c r="B167" s="8" t="n"/>
      <c r="C167" s="5" t="n"/>
      <c r="D167" s="5" t="n"/>
      <c r="E167" s="5" t="n"/>
      <c r="F167" s="6" t="n"/>
      <c r="G167" s="9">
        <f>IF(E167="","",E167*F167)</f>
        <v/>
      </c>
      <c r="H167" s="6" t="n"/>
      <c r="I167" s="9">
        <f>IF(G167="","",G167-IF(H167="",0,H167))</f>
        <v/>
      </c>
    </row>
    <row r="168">
      <c r="A168" t="n">
        <v>165</v>
      </c>
      <c r="B168" s="8" t="n"/>
      <c r="C168" s="5" t="n"/>
      <c r="D168" s="5" t="n"/>
      <c r="E168" s="5" t="n"/>
      <c r="F168" s="6" t="n"/>
      <c r="G168" s="9">
        <f>IF(E168="","",E168*F168)</f>
        <v/>
      </c>
      <c r="H168" s="6" t="n"/>
      <c r="I168" s="9">
        <f>IF(G168="","",G168-IF(H168="",0,H168))</f>
        <v/>
      </c>
    </row>
    <row r="169">
      <c r="A169" t="n">
        <v>166</v>
      </c>
      <c r="B169" s="8" t="n"/>
      <c r="C169" s="5" t="n"/>
      <c r="D169" s="5" t="n"/>
      <c r="E169" s="5" t="n"/>
      <c r="F169" s="6" t="n"/>
      <c r="G169" s="9">
        <f>IF(E169="","",E169*F169)</f>
        <v/>
      </c>
      <c r="H169" s="6" t="n"/>
      <c r="I169" s="9">
        <f>IF(G169="","",G169-IF(H169="",0,H169))</f>
        <v/>
      </c>
    </row>
    <row r="170">
      <c r="A170" t="n">
        <v>167</v>
      </c>
      <c r="B170" s="8" t="n"/>
      <c r="C170" s="5" t="n"/>
      <c r="D170" s="5" t="n"/>
      <c r="E170" s="5" t="n"/>
      <c r="F170" s="6" t="n"/>
      <c r="G170" s="9">
        <f>IF(E170="","",E170*F170)</f>
        <v/>
      </c>
      <c r="H170" s="6" t="n"/>
      <c r="I170" s="9">
        <f>IF(G170="","",G170-IF(H170="",0,H170))</f>
        <v/>
      </c>
    </row>
    <row r="171">
      <c r="A171" t="n">
        <v>168</v>
      </c>
      <c r="B171" s="8" t="n"/>
      <c r="C171" s="5" t="n"/>
      <c r="D171" s="5" t="n"/>
      <c r="E171" s="5" t="n"/>
      <c r="F171" s="6" t="n"/>
      <c r="G171" s="9">
        <f>IF(E171="","",E171*F171)</f>
        <v/>
      </c>
      <c r="H171" s="6" t="n"/>
      <c r="I171" s="9">
        <f>IF(G171="","",G171-IF(H171="",0,H171))</f>
        <v/>
      </c>
    </row>
    <row r="172">
      <c r="A172" t="n">
        <v>169</v>
      </c>
      <c r="B172" s="8" t="n"/>
      <c r="C172" s="5" t="n"/>
      <c r="D172" s="5" t="n"/>
      <c r="E172" s="5" t="n"/>
      <c r="F172" s="6" t="n"/>
      <c r="G172" s="9">
        <f>IF(E172="","",E172*F172)</f>
        <v/>
      </c>
      <c r="H172" s="6" t="n"/>
      <c r="I172" s="9">
        <f>IF(G172="","",G172-IF(H172="",0,H172))</f>
        <v/>
      </c>
    </row>
    <row r="173">
      <c r="A173" t="n">
        <v>170</v>
      </c>
      <c r="B173" s="8" t="n"/>
      <c r="C173" s="5" t="n"/>
      <c r="D173" s="5" t="n"/>
      <c r="E173" s="5" t="n"/>
      <c r="F173" s="6" t="n"/>
      <c r="G173" s="9">
        <f>IF(E173="","",E173*F173)</f>
        <v/>
      </c>
      <c r="H173" s="6" t="n"/>
      <c r="I173" s="9">
        <f>IF(G173="","",G173-IF(H173="",0,H173))</f>
        <v/>
      </c>
    </row>
    <row r="174">
      <c r="A174" t="n">
        <v>171</v>
      </c>
      <c r="B174" s="8" t="n"/>
      <c r="C174" s="5" t="n"/>
      <c r="D174" s="5" t="n"/>
      <c r="E174" s="5" t="n"/>
      <c r="F174" s="6" t="n"/>
      <c r="G174" s="9">
        <f>IF(E174="","",E174*F174)</f>
        <v/>
      </c>
      <c r="H174" s="6" t="n"/>
      <c r="I174" s="9">
        <f>IF(G174="","",G174-IF(H174="",0,H174))</f>
        <v/>
      </c>
    </row>
    <row r="175">
      <c r="A175" t="n">
        <v>172</v>
      </c>
      <c r="B175" s="8" t="n"/>
      <c r="C175" s="5" t="n"/>
      <c r="D175" s="5" t="n"/>
      <c r="E175" s="5" t="n"/>
      <c r="F175" s="6" t="n"/>
      <c r="G175" s="9">
        <f>IF(E175="","",E175*F175)</f>
        <v/>
      </c>
      <c r="H175" s="6" t="n"/>
      <c r="I175" s="9">
        <f>IF(G175="","",G175-IF(H175="",0,H175))</f>
        <v/>
      </c>
    </row>
    <row r="176">
      <c r="A176" t="n">
        <v>173</v>
      </c>
      <c r="B176" s="8" t="n"/>
      <c r="C176" s="5" t="n"/>
      <c r="D176" s="5" t="n"/>
      <c r="E176" s="5" t="n"/>
      <c r="F176" s="6" t="n"/>
      <c r="G176" s="9">
        <f>IF(E176="","",E176*F176)</f>
        <v/>
      </c>
      <c r="H176" s="6" t="n"/>
      <c r="I176" s="9">
        <f>IF(G176="","",G176-IF(H176="",0,H176))</f>
        <v/>
      </c>
    </row>
    <row r="177">
      <c r="A177" t="n">
        <v>174</v>
      </c>
      <c r="B177" s="8" t="n"/>
      <c r="C177" s="5" t="n"/>
      <c r="D177" s="5" t="n"/>
      <c r="E177" s="5" t="n"/>
      <c r="F177" s="6" t="n"/>
      <c r="G177" s="9">
        <f>IF(E177="","",E177*F177)</f>
        <v/>
      </c>
      <c r="H177" s="6" t="n"/>
      <c r="I177" s="9">
        <f>IF(G177="","",G177-IF(H177="",0,H177))</f>
        <v/>
      </c>
    </row>
    <row r="178">
      <c r="A178" t="n">
        <v>175</v>
      </c>
      <c r="B178" s="8" t="n"/>
      <c r="C178" s="5" t="n"/>
      <c r="D178" s="5" t="n"/>
      <c r="E178" s="5" t="n"/>
      <c r="F178" s="6" t="n"/>
      <c r="G178" s="9">
        <f>IF(E178="","",E178*F178)</f>
        <v/>
      </c>
      <c r="H178" s="6" t="n"/>
      <c r="I178" s="9">
        <f>IF(G178="","",G178-IF(H178="",0,H178))</f>
        <v/>
      </c>
    </row>
    <row r="179">
      <c r="A179" t="n">
        <v>176</v>
      </c>
      <c r="B179" s="8" t="n"/>
      <c r="C179" s="5" t="n"/>
      <c r="D179" s="5" t="n"/>
      <c r="E179" s="5" t="n"/>
      <c r="F179" s="6" t="n"/>
      <c r="G179" s="9">
        <f>IF(E179="","",E179*F179)</f>
        <v/>
      </c>
      <c r="H179" s="6" t="n"/>
      <c r="I179" s="9">
        <f>IF(G179="","",G179-IF(H179="",0,H179))</f>
        <v/>
      </c>
    </row>
    <row r="180">
      <c r="A180" t="n">
        <v>177</v>
      </c>
      <c r="B180" s="8" t="n"/>
      <c r="C180" s="5" t="n"/>
      <c r="D180" s="5" t="n"/>
      <c r="E180" s="5" t="n"/>
      <c r="F180" s="6" t="n"/>
      <c r="G180" s="9">
        <f>IF(E180="","",E180*F180)</f>
        <v/>
      </c>
      <c r="H180" s="6" t="n"/>
      <c r="I180" s="9">
        <f>IF(G180="","",G180-IF(H180="",0,H180))</f>
        <v/>
      </c>
    </row>
    <row r="181">
      <c r="A181" t="n">
        <v>178</v>
      </c>
      <c r="B181" s="8" t="n"/>
      <c r="C181" s="5" t="n"/>
      <c r="D181" s="5" t="n"/>
      <c r="E181" s="5" t="n"/>
      <c r="F181" s="6" t="n"/>
      <c r="G181" s="9">
        <f>IF(E181="","",E181*F181)</f>
        <v/>
      </c>
      <c r="H181" s="6" t="n"/>
      <c r="I181" s="9">
        <f>IF(G181="","",G181-IF(H181="",0,H181))</f>
        <v/>
      </c>
    </row>
    <row r="182">
      <c r="A182" t="n">
        <v>179</v>
      </c>
      <c r="B182" s="8" t="n"/>
      <c r="C182" s="5" t="n"/>
      <c r="D182" s="5" t="n"/>
      <c r="E182" s="5" t="n"/>
      <c r="F182" s="6" t="n"/>
      <c r="G182" s="9">
        <f>IF(E182="","",E182*F182)</f>
        <v/>
      </c>
      <c r="H182" s="6" t="n"/>
      <c r="I182" s="9">
        <f>IF(G182="","",G182-IF(H182="",0,H182))</f>
        <v/>
      </c>
    </row>
    <row r="183">
      <c r="A183" t="n">
        <v>180</v>
      </c>
      <c r="B183" s="8" t="n"/>
      <c r="C183" s="5" t="n"/>
      <c r="D183" s="5" t="n"/>
      <c r="E183" s="5" t="n"/>
      <c r="F183" s="6" t="n"/>
      <c r="G183" s="9">
        <f>IF(E183="","",E183*F183)</f>
        <v/>
      </c>
      <c r="H183" s="6" t="n"/>
      <c r="I183" s="9">
        <f>IF(G183="","",G183-IF(H183="",0,H183))</f>
        <v/>
      </c>
    </row>
    <row r="184">
      <c r="A184" t="n">
        <v>181</v>
      </c>
      <c r="B184" s="8" t="n"/>
      <c r="C184" s="5" t="n"/>
      <c r="D184" s="5" t="n"/>
      <c r="E184" s="5" t="n"/>
      <c r="F184" s="6" t="n"/>
      <c r="G184" s="9">
        <f>IF(E184="","",E184*F184)</f>
        <v/>
      </c>
      <c r="H184" s="6" t="n"/>
      <c r="I184" s="9">
        <f>IF(G184="","",G184-IF(H184="",0,H184))</f>
        <v/>
      </c>
    </row>
    <row r="185">
      <c r="A185" t="n">
        <v>182</v>
      </c>
      <c r="B185" s="8" t="n"/>
      <c r="C185" s="5" t="n"/>
      <c r="D185" s="5" t="n"/>
      <c r="E185" s="5" t="n"/>
      <c r="F185" s="6" t="n"/>
      <c r="G185" s="9">
        <f>IF(E185="","",E185*F185)</f>
        <v/>
      </c>
      <c r="H185" s="6" t="n"/>
      <c r="I185" s="9">
        <f>IF(G185="","",G185-IF(H185="",0,H185))</f>
        <v/>
      </c>
    </row>
    <row r="186">
      <c r="A186" t="n">
        <v>183</v>
      </c>
      <c r="B186" s="8" t="n"/>
      <c r="C186" s="5" t="n"/>
      <c r="D186" s="5" t="n"/>
      <c r="E186" s="5" t="n"/>
      <c r="F186" s="6" t="n"/>
      <c r="G186" s="9">
        <f>IF(E186="","",E186*F186)</f>
        <v/>
      </c>
      <c r="H186" s="6" t="n"/>
      <c r="I186" s="9">
        <f>IF(G186="","",G186-IF(H186="",0,H186))</f>
        <v/>
      </c>
    </row>
    <row r="187">
      <c r="A187" t="n">
        <v>184</v>
      </c>
      <c r="B187" s="8" t="n"/>
      <c r="C187" s="5" t="n"/>
      <c r="D187" s="5" t="n"/>
      <c r="E187" s="5" t="n"/>
      <c r="F187" s="6" t="n"/>
      <c r="G187" s="9">
        <f>IF(E187="","",E187*F187)</f>
        <v/>
      </c>
      <c r="H187" s="6" t="n"/>
      <c r="I187" s="9">
        <f>IF(G187="","",G187-IF(H187="",0,H187))</f>
        <v/>
      </c>
    </row>
    <row r="188">
      <c r="A188" t="n">
        <v>185</v>
      </c>
      <c r="B188" s="8" t="n"/>
      <c r="C188" s="5" t="n"/>
      <c r="D188" s="5" t="n"/>
      <c r="E188" s="5" t="n"/>
      <c r="F188" s="6" t="n"/>
      <c r="G188" s="9">
        <f>IF(E188="","",E188*F188)</f>
        <v/>
      </c>
      <c r="H188" s="6" t="n"/>
      <c r="I188" s="9">
        <f>IF(G188="","",G188-IF(H188="",0,H188))</f>
        <v/>
      </c>
    </row>
    <row r="189">
      <c r="A189" t="n">
        <v>186</v>
      </c>
      <c r="B189" s="8" t="n"/>
      <c r="C189" s="5" t="n"/>
      <c r="D189" s="5" t="n"/>
      <c r="E189" s="5" t="n"/>
      <c r="F189" s="6" t="n"/>
      <c r="G189" s="9">
        <f>IF(E189="","",E189*F189)</f>
        <v/>
      </c>
      <c r="H189" s="6" t="n"/>
      <c r="I189" s="9">
        <f>IF(G189="","",G189-IF(H189="",0,H189))</f>
        <v/>
      </c>
    </row>
    <row r="190">
      <c r="A190" t="n">
        <v>187</v>
      </c>
      <c r="B190" s="8" t="n"/>
      <c r="C190" s="5" t="n"/>
      <c r="D190" s="5" t="n"/>
      <c r="E190" s="5" t="n"/>
      <c r="F190" s="6" t="n"/>
      <c r="G190" s="9">
        <f>IF(E190="","",E190*F190)</f>
        <v/>
      </c>
      <c r="H190" s="6" t="n"/>
      <c r="I190" s="9">
        <f>IF(G190="","",G190-IF(H190="",0,H190))</f>
        <v/>
      </c>
    </row>
    <row r="191">
      <c r="A191" t="n">
        <v>188</v>
      </c>
      <c r="B191" s="8" t="n"/>
      <c r="C191" s="5" t="n"/>
      <c r="D191" s="5" t="n"/>
      <c r="E191" s="5" t="n"/>
      <c r="F191" s="6" t="n"/>
      <c r="G191" s="9">
        <f>IF(E191="","",E191*F191)</f>
        <v/>
      </c>
      <c r="H191" s="6" t="n"/>
      <c r="I191" s="9">
        <f>IF(G191="","",G191-IF(H191="",0,H191))</f>
        <v/>
      </c>
    </row>
    <row r="192">
      <c r="A192" t="n">
        <v>189</v>
      </c>
      <c r="B192" s="8" t="n"/>
      <c r="C192" s="5" t="n"/>
      <c r="D192" s="5" t="n"/>
      <c r="E192" s="5" t="n"/>
      <c r="F192" s="6" t="n"/>
      <c r="G192" s="9">
        <f>IF(E192="","",E192*F192)</f>
        <v/>
      </c>
      <c r="H192" s="6" t="n"/>
      <c r="I192" s="9">
        <f>IF(G192="","",G192-IF(H192="",0,H192))</f>
        <v/>
      </c>
    </row>
    <row r="193">
      <c r="A193" t="n">
        <v>190</v>
      </c>
      <c r="B193" s="8" t="n"/>
      <c r="C193" s="5" t="n"/>
      <c r="D193" s="5" t="n"/>
      <c r="E193" s="5" t="n"/>
      <c r="F193" s="6" t="n"/>
      <c r="G193" s="9">
        <f>IF(E193="","",E193*F193)</f>
        <v/>
      </c>
      <c r="H193" s="6" t="n"/>
      <c r="I193" s="9">
        <f>IF(G193="","",G193-IF(H193="",0,H193))</f>
        <v/>
      </c>
    </row>
    <row r="194">
      <c r="A194" t="n">
        <v>191</v>
      </c>
      <c r="B194" s="8" t="n"/>
      <c r="C194" s="5" t="n"/>
      <c r="D194" s="5" t="n"/>
      <c r="E194" s="5" t="n"/>
      <c r="F194" s="6" t="n"/>
      <c r="G194" s="9">
        <f>IF(E194="","",E194*F194)</f>
        <v/>
      </c>
      <c r="H194" s="6" t="n"/>
      <c r="I194" s="9">
        <f>IF(G194="","",G194-IF(H194="",0,H194))</f>
        <v/>
      </c>
    </row>
    <row r="195">
      <c r="A195" t="n">
        <v>192</v>
      </c>
      <c r="B195" s="8" t="n"/>
      <c r="C195" s="5" t="n"/>
      <c r="D195" s="5" t="n"/>
      <c r="E195" s="5" t="n"/>
      <c r="F195" s="6" t="n"/>
      <c r="G195" s="9">
        <f>IF(E195="","",E195*F195)</f>
        <v/>
      </c>
      <c r="H195" s="6" t="n"/>
      <c r="I195" s="9">
        <f>IF(G195="","",G195-IF(H195="",0,H195))</f>
        <v/>
      </c>
    </row>
    <row r="196">
      <c r="A196" t="n">
        <v>193</v>
      </c>
      <c r="B196" s="8" t="n"/>
      <c r="C196" s="5" t="n"/>
      <c r="D196" s="5" t="n"/>
      <c r="E196" s="5" t="n"/>
      <c r="F196" s="6" t="n"/>
      <c r="G196" s="9">
        <f>IF(E196="","",E196*F196)</f>
        <v/>
      </c>
      <c r="H196" s="6" t="n"/>
      <c r="I196" s="9">
        <f>IF(G196="","",G196-IF(H196="",0,H196))</f>
        <v/>
      </c>
    </row>
    <row r="197">
      <c r="A197" t="n">
        <v>194</v>
      </c>
      <c r="B197" s="8" t="n"/>
      <c r="C197" s="5" t="n"/>
      <c r="D197" s="5" t="n"/>
      <c r="E197" s="5" t="n"/>
      <c r="F197" s="6" t="n"/>
      <c r="G197" s="9">
        <f>IF(E197="","",E197*F197)</f>
        <v/>
      </c>
      <c r="H197" s="6" t="n"/>
      <c r="I197" s="9">
        <f>IF(G197="","",G197-IF(H197="",0,H197))</f>
        <v/>
      </c>
    </row>
    <row r="198">
      <c r="A198" t="n">
        <v>195</v>
      </c>
      <c r="B198" s="8" t="n"/>
      <c r="C198" s="5" t="n"/>
      <c r="D198" s="5" t="n"/>
      <c r="E198" s="5" t="n"/>
      <c r="F198" s="6" t="n"/>
      <c r="G198" s="9">
        <f>IF(E198="","",E198*F198)</f>
        <v/>
      </c>
      <c r="H198" s="6" t="n"/>
      <c r="I198" s="9">
        <f>IF(G198="","",G198-IF(H198="",0,H198))</f>
        <v/>
      </c>
    </row>
    <row r="199">
      <c r="A199" t="n">
        <v>196</v>
      </c>
      <c r="B199" s="8" t="n"/>
      <c r="C199" s="5" t="n"/>
      <c r="D199" s="5" t="n"/>
      <c r="E199" s="5" t="n"/>
      <c r="F199" s="6" t="n"/>
      <c r="G199" s="9">
        <f>IF(E199="","",E199*F199)</f>
        <v/>
      </c>
      <c r="H199" s="6" t="n"/>
      <c r="I199" s="9">
        <f>IF(G199="","",G199-IF(H199="",0,H199))</f>
        <v/>
      </c>
    </row>
    <row r="200">
      <c r="A200" t="n">
        <v>197</v>
      </c>
      <c r="B200" s="8" t="n"/>
      <c r="C200" s="5" t="n"/>
      <c r="D200" s="5" t="n"/>
      <c r="E200" s="5" t="n"/>
      <c r="F200" s="6" t="n"/>
      <c r="G200" s="9">
        <f>IF(E200="","",E200*F200)</f>
        <v/>
      </c>
      <c r="H200" s="6" t="n"/>
      <c r="I200" s="9">
        <f>IF(G200="","",G200-IF(H200="",0,H200))</f>
        <v/>
      </c>
    </row>
    <row r="201">
      <c r="A201" t="n">
        <v>198</v>
      </c>
      <c r="B201" s="8" t="n"/>
      <c r="C201" s="5" t="n"/>
      <c r="D201" s="5" t="n"/>
      <c r="E201" s="5" t="n"/>
      <c r="F201" s="6" t="n"/>
      <c r="G201" s="9">
        <f>IF(E201="","",E201*F201)</f>
        <v/>
      </c>
      <c r="H201" s="6" t="n"/>
      <c r="I201" s="9">
        <f>IF(G201="","",G201-IF(H201="",0,H201))</f>
        <v/>
      </c>
    </row>
    <row r="202">
      <c r="A202" t="n">
        <v>199</v>
      </c>
      <c r="B202" s="8" t="n"/>
      <c r="C202" s="5" t="n"/>
      <c r="D202" s="5" t="n"/>
      <c r="E202" s="5" t="n"/>
      <c r="F202" s="6" t="n"/>
      <c r="G202" s="9">
        <f>IF(E202="","",E202*F202)</f>
        <v/>
      </c>
      <c r="H202" s="6" t="n"/>
      <c r="I202" s="9">
        <f>IF(G202="","",G202-IF(H202="",0,H202))</f>
        <v/>
      </c>
    </row>
    <row r="203">
      <c r="A203" t="n">
        <v>200</v>
      </c>
      <c r="B203" s="8" t="n"/>
      <c r="C203" s="5" t="n"/>
      <c r="D203" s="5" t="n"/>
      <c r="E203" s="5" t="n"/>
      <c r="F203" s="6" t="n"/>
      <c r="G203" s="9">
        <f>IF(E203="","",E203*F203)</f>
        <v/>
      </c>
      <c r="H203" s="6" t="n"/>
      <c r="I203" s="9">
        <f>IF(G203="","",G203-IF(H203="",0,H203))</f>
        <v/>
      </c>
    </row>
    <row r="204">
      <c r="A204" t="n">
        <v>201</v>
      </c>
      <c r="B204" s="8" t="n"/>
      <c r="C204" s="5" t="n"/>
      <c r="D204" s="5" t="n"/>
      <c r="E204" s="5" t="n"/>
      <c r="F204" s="6" t="n"/>
      <c r="G204" s="9">
        <f>IF(E204="","",E204*F204)</f>
        <v/>
      </c>
      <c r="H204" s="6" t="n"/>
      <c r="I204" s="9">
        <f>IF(G204="","",G204-IF(H204="",0,H204))</f>
        <v/>
      </c>
    </row>
    <row r="205">
      <c r="A205" t="n">
        <v>202</v>
      </c>
      <c r="B205" s="8" t="n"/>
      <c r="C205" s="5" t="n"/>
      <c r="D205" s="5" t="n"/>
      <c r="E205" s="5" t="n"/>
      <c r="F205" s="6" t="n"/>
      <c r="G205" s="9">
        <f>IF(E205="","",E205*F205)</f>
        <v/>
      </c>
      <c r="H205" s="6" t="n"/>
      <c r="I205" s="9">
        <f>IF(G205="","",G205-IF(H205="",0,H205))</f>
        <v/>
      </c>
    </row>
    <row r="206">
      <c r="A206" t="n">
        <v>203</v>
      </c>
      <c r="B206" s="8" t="n"/>
      <c r="C206" s="5" t="n"/>
      <c r="D206" s="5" t="n"/>
      <c r="E206" s="5" t="n"/>
      <c r="F206" s="6" t="n"/>
      <c r="G206" s="9">
        <f>IF(E206="","",E206*F206)</f>
        <v/>
      </c>
      <c r="H206" s="6" t="n"/>
      <c r="I206" s="9">
        <f>IF(G206="","",G206-IF(H206="",0,H206))</f>
        <v/>
      </c>
    </row>
    <row r="207">
      <c r="A207" t="n">
        <v>204</v>
      </c>
      <c r="B207" s="8" t="n"/>
      <c r="C207" s="5" t="n"/>
      <c r="D207" s="5" t="n"/>
      <c r="E207" s="5" t="n"/>
      <c r="F207" s="6" t="n"/>
      <c r="G207" s="9">
        <f>IF(E207="","",E207*F207)</f>
        <v/>
      </c>
      <c r="H207" s="6" t="n"/>
      <c r="I207" s="9">
        <f>IF(G207="","",G207-IF(H207="",0,H207))</f>
        <v/>
      </c>
    </row>
    <row r="208">
      <c r="A208" t="n">
        <v>205</v>
      </c>
      <c r="B208" s="8" t="n"/>
      <c r="C208" s="5" t="n"/>
      <c r="D208" s="5" t="n"/>
      <c r="E208" s="5" t="n"/>
      <c r="F208" s="6" t="n"/>
      <c r="G208" s="9">
        <f>IF(E208="","",E208*F208)</f>
        <v/>
      </c>
      <c r="H208" s="6" t="n"/>
      <c r="I208" s="9">
        <f>IF(G208="","",G208-IF(H208="",0,H208))</f>
        <v/>
      </c>
    </row>
    <row r="209">
      <c r="A209" t="n">
        <v>206</v>
      </c>
      <c r="B209" s="8" t="n"/>
      <c r="C209" s="5" t="n"/>
      <c r="D209" s="5" t="n"/>
      <c r="E209" s="5" t="n"/>
      <c r="F209" s="6" t="n"/>
      <c r="G209" s="9">
        <f>IF(E209="","",E209*F209)</f>
        <v/>
      </c>
      <c r="H209" s="6" t="n"/>
      <c r="I209" s="9">
        <f>IF(G209="","",G209-IF(H209="",0,H209))</f>
        <v/>
      </c>
    </row>
    <row r="210">
      <c r="A210" t="n">
        <v>207</v>
      </c>
      <c r="B210" s="8" t="n"/>
      <c r="C210" s="5" t="n"/>
      <c r="D210" s="5" t="n"/>
      <c r="E210" s="5" t="n"/>
      <c r="F210" s="6" t="n"/>
      <c r="G210" s="9">
        <f>IF(E210="","",E210*F210)</f>
        <v/>
      </c>
      <c r="H210" s="6" t="n"/>
      <c r="I210" s="9">
        <f>IF(G210="","",G210-IF(H210="",0,H210))</f>
        <v/>
      </c>
    </row>
    <row r="211">
      <c r="A211" t="n">
        <v>208</v>
      </c>
      <c r="B211" s="8" t="n"/>
      <c r="C211" s="5" t="n"/>
      <c r="D211" s="5" t="n"/>
      <c r="E211" s="5" t="n"/>
      <c r="F211" s="6" t="n"/>
      <c r="G211" s="9">
        <f>IF(E211="","",E211*F211)</f>
        <v/>
      </c>
      <c r="H211" s="6" t="n"/>
      <c r="I211" s="9">
        <f>IF(G211="","",G211-IF(H211="",0,H211))</f>
        <v/>
      </c>
    </row>
    <row r="212">
      <c r="A212" t="n">
        <v>209</v>
      </c>
      <c r="B212" s="8" t="n"/>
      <c r="C212" s="5" t="n"/>
      <c r="D212" s="5" t="n"/>
      <c r="E212" s="5" t="n"/>
      <c r="F212" s="6" t="n"/>
      <c r="G212" s="9">
        <f>IF(E212="","",E212*F212)</f>
        <v/>
      </c>
      <c r="H212" s="6" t="n"/>
      <c r="I212" s="9">
        <f>IF(G212="","",G212-IF(H212="",0,H212))</f>
        <v/>
      </c>
    </row>
    <row r="213">
      <c r="A213" t="n">
        <v>210</v>
      </c>
      <c r="B213" s="8" t="n"/>
      <c r="C213" s="5" t="n"/>
      <c r="D213" s="5" t="n"/>
      <c r="E213" s="5" t="n"/>
      <c r="F213" s="6" t="n"/>
      <c r="G213" s="9">
        <f>IF(E213="","",E213*F213)</f>
        <v/>
      </c>
      <c r="H213" s="6" t="n"/>
      <c r="I213" s="9">
        <f>IF(G213="","",G213-IF(H213="",0,H213))</f>
        <v/>
      </c>
    </row>
    <row r="214">
      <c r="A214" t="n">
        <v>211</v>
      </c>
      <c r="B214" s="8" t="n"/>
      <c r="C214" s="5" t="n"/>
      <c r="D214" s="5" t="n"/>
      <c r="E214" s="5" t="n"/>
      <c r="F214" s="6" t="n"/>
      <c r="G214" s="9">
        <f>IF(E214="","",E214*F214)</f>
        <v/>
      </c>
      <c r="H214" s="6" t="n"/>
      <c r="I214" s="9">
        <f>IF(G214="","",G214-IF(H214="",0,H214))</f>
        <v/>
      </c>
    </row>
    <row r="215">
      <c r="A215" t="n">
        <v>212</v>
      </c>
      <c r="B215" s="8" t="n"/>
      <c r="C215" s="5" t="n"/>
      <c r="D215" s="5" t="n"/>
      <c r="E215" s="5" t="n"/>
      <c r="F215" s="6" t="n"/>
      <c r="G215" s="9">
        <f>IF(E215="","",E215*F215)</f>
        <v/>
      </c>
      <c r="H215" s="6" t="n"/>
      <c r="I215" s="9">
        <f>IF(G215="","",G215-IF(H215="",0,H215))</f>
        <v/>
      </c>
    </row>
    <row r="216">
      <c r="A216" t="n">
        <v>213</v>
      </c>
      <c r="B216" s="8" t="n"/>
      <c r="C216" s="5" t="n"/>
      <c r="D216" s="5" t="n"/>
      <c r="E216" s="5" t="n"/>
      <c r="F216" s="6" t="n"/>
      <c r="G216" s="9">
        <f>IF(E216="","",E216*F216)</f>
        <v/>
      </c>
      <c r="H216" s="6" t="n"/>
      <c r="I216" s="9">
        <f>IF(G216="","",G216-IF(H216="",0,H216))</f>
        <v/>
      </c>
    </row>
    <row r="217">
      <c r="A217" t="n">
        <v>214</v>
      </c>
      <c r="B217" s="8" t="n"/>
      <c r="C217" s="5" t="n"/>
      <c r="D217" s="5" t="n"/>
      <c r="E217" s="5" t="n"/>
      <c r="F217" s="6" t="n"/>
      <c r="G217" s="9">
        <f>IF(E217="","",E217*F217)</f>
        <v/>
      </c>
      <c r="H217" s="6" t="n"/>
      <c r="I217" s="9">
        <f>IF(G217="","",G217-IF(H217="",0,H217))</f>
        <v/>
      </c>
    </row>
    <row r="218">
      <c r="A218" t="n">
        <v>215</v>
      </c>
      <c r="B218" s="8" t="n"/>
      <c r="C218" s="5" t="n"/>
      <c r="D218" s="5" t="n"/>
      <c r="E218" s="5" t="n"/>
      <c r="F218" s="6" t="n"/>
      <c r="G218" s="9">
        <f>IF(E218="","",E218*F218)</f>
        <v/>
      </c>
      <c r="H218" s="6" t="n"/>
      <c r="I218" s="9">
        <f>IF(G218="","",G218-IF(H218="",0,H218))</f>
        <v/>
      </c>
    </row>
    <row r="219">
      <c r="A219" t="n">
        <v>216</v>
      </c>
      <c r="B219" s="8" t="n"/>
      <c r="C219" s="5" t="n"/>
      <c r="D219" s="5" t="n"/>
      <c r="E219" s="5" t="n"/>
      <c r="F219" s="6" t="n"/>
      <c r="G219" s="9">
        <f>IF(E219="","",E219*F219)</f>
        <v/>
      </c>
      <c r="H219" s="6" t="n"/>
      <c r="I219" s="9">
        <f>IF(G219="","",G219-IF(H219="",0,H219))</f>
        <v/>
      </c>
    </row>
    <row r="220">
      <c r="A220" t="n">
        <v>217</v>
      </c>
      <c r="B220" s="8" t="n"/>
      <c r="C220" s="5" t="n"/>
      <c r="D220" s="5" t="n"/>
      <c r="E220" s="5" t="n"/>
      <c r="F220" s="6" t="n"/>
      <c r="G220" s="9">
        <f>IF(E220="","",E220*F220)</f>
        <v/>
      </c>
      <c r="H220" s="6" t="n"/>
      <c r="I220" s="9">
        <f>IF(G220="","",G220-IF(H220="",0,H220))</f>
        <v/>
      </c>
    </row>
    <row r="221">
      <c r="A221" t="n">
        <v>218</v>
      </c>
      <c r="B221" s="8" t="n"/>
      <c r="C221" s="5" t="n"/>
      <c r="D221" s="5" t="n"/>
      <c r="E221" s="5" t="n"/>
      <c r="F221" s="6" t="n"/>
      <c r="G221" s="9">
        <f>IF(E221="","",E221*F221)</f>
        <v/>
      </c>
      <c r="H221" s="6" t="n"/>
      <c r="I221" s="9">
        <f>IF(G221="","",G221-IF(H221="",0,H221))</f>
        <v/>
      </c>
    </row>
    <row r="222">
      <c r="A222" t="n">
        <v>219</v>
      </c>
      <c r="B222" s="8" t="n"/>
      <c r="C222" s="5" t="n"/>
      <c r="D222" s="5" t="n"/>
      <c r="E222" s="5" t="n"/>
      <c r="F222" s="6" t="n"/>
      <c r="G222" s="9">
        <f>IF(E222="","",E222*F222)</f>
        <v/>
      </c>
      <c r="H222" s="6" t="n"/>
      <c r="I222" s="9">
        <f>IF(G222="","",G222-IF(H222="",0,H222))</f>
        <v/>
      </c>
    </row>
    <row r="223">
      <c r="A223" t="n">
        <v>220</v>
      </c>
      <c r="B223" s="8" t="n"/>
      <c r="C223" s="5" t="n"/>
      <c r="D223" s="5" t="n"/>
      <c r="E223" s="5" t="n"/>
      <c r="F223" s="6" t="n"/>
      <c r="G223" s="9">
        <f>IF(E223="","",E223*F223)</f>
        <v/>
      </c>
      <c r="H223" s="6" t="n"/>
      <c r="I223" s="9">
        <f>IF(G223="","",G223-IF(H223="",0,H223))</f>
        <v/>
      </c>
    </row>
    <row r="224">
      <c r="A224" t="n">
        <v>221</v>
      </c>
      <c r="B224" s="8" t="n"/>
      <c r="C224" s="5" t="n"/>
      <c r="D224" s="5" t="n"/>
      <c r="E224" s="5" t="n"/>
      <c r="F224" s="6" t="n"/>
      <c r="G224" s="9">
        <f>IF(E224="","",E224*F224)</f>
        <v/>
      </c>
      <c r="H224" s="6" t="n"/>
      <c r="I224" s="9">
        <f>IF(G224="","",G224-IF(H224="",0,H224))</f>
        <v/>
      </c>
    </row>
    <row r="225">
      <c r="A225" t="n">
        <v>222</v>
      </c>
      <c r="B225" s="8" t="n"/>
      <c r="C225" s="5" t="n"/>
      <c r="D225" s="5" t="n"/>
      <c r="E225" s="5" t="n"/>
      <c r="F225" s="6" t="n"/>
      <c r="G225" s="9">
        <f>IF(E225="","",E225*F225)</f>
        <v/>
      </c>
      <c r="H225" s="6" t="n"/>
      <c r="I225" s="9">
        <f>IF(G225="","",G225-IF(H225="",0,H225))</f>
        <v/>
      </c>
    </row>
    <row r="226">
      <c r="A226" t="n">
        <v>223</v>
      </c>
      <c r="B226" s="8" t="n"/>
      <c r="C226" s="5" t="n"/>
      <c r="D226" s="5" t="n"/>
      <c r="E226" s="5" t="n"/>
      <c r="F226" s="6" t="n"/>
      <c r="G226" s="9">
        <f>IF(E226="","",E226*F226)</f>
        <v/>
      </c>
      <c r="H226" s="6" t="n"/>
      <c r="I226" s="9">
        <f>IF(G226="","",G226-IF(H226="",0,H226))</f>
        <v/>
      </c>
    </row>
    <row r="227">
      <c r="A227" t="n">
        <v>224</v>
      </c>
      <c r="B227" s="8" t="n"/>
      <c r="C227" s="5" t="n"/>
      <c r="D227" s="5" t="n"/>
      <c r="E227" s="5" t="n"/>
      <c r="F227" s="6" t="n"/>
      <c r="G227" s="9">
        <f>IF(E227="","",E227*F227)</f>
        <v/>
      </c>
      <c r="H227" s="6" t="n"/>
      <c r="I227" s="9">
        <f>IF(G227="","",G227-IF(H227="",0,H227))</f>
        <v/>
      </c>
    </row>
    <row r="228">
      <c r="A228" t="n">
        <v>225</v>
      </c>
      <c r="B228" s="8" t="n"/>
      <c r="C228" s="5" t="n"/>
      <c r="D228" s="5" t="n"/>
      <c r="E228" s="5" t="n"/>
      <c r="F228" s="6" t="n"/>
      <c r="G228" s="9">
        <f>IF(E228="","",E228*F228)</f>
        <v/>
      </c>
      <c r="H228" s="6" t="n"/>
      <c r="I228" s="9">
        <f>IF(G228="","",G228-IF(H228="",0,H228))</f>
        <v/>
      </c>
    </row>
    <row r="229">
      <c r="A229" t="n">
        <v>226</v>
      </c>
      <c r="B229" s="8" t="n"/>
      <c r="C229" s="5" t="n"/>
      <c r="D229" s="5" t="n"/>
      <c r="E229" s="5" t="n"/>
      <c r="F229" s="6" t="n"/>
      <c r="G229" s="9">
        <f>IF(E229="","",E229*F229)</f>
        <v/>
      </c>
      <c r="H229" s="6" t="n"/>
      <c r="I229" s="9">
        <f>IF(G229="","",G229-IF(H229="",0,H229))</f>
        <v/>
      </c>
    </row>
    <row r="230">
      <c r="A230" t="n">
        <v>227</v>
      </c>
      <c r="B230" s="8" t="n"/>
      <c r="C230" s="5" t="n"/>
      <c r="D230" s="5" t="n"/>
      <c r="E230" s="5" t="n"/>
      <c r="F230" s="6" t="n"/>
      <c r="G230" s="9">
        <f>IF(E230="","",E230*F230)</f>
        <v/>
      </c>
      <c r="H230" s="6" t="n"/>
      <c r="I230" s="9">
        <f>IF(G230="","",G230-IF(H230="",0,H230))</f>
        <v/>
      </c>
    </row>
    <row r="231">
      <c r="A231" t="n">
        <v>228</v>
      </c>
      <c r="B231" s="8" t="n"/>
      <c r="C231" s="5" t="n"/>
      <c r="D231" s="5" t="n"/>
      <c r="E231" s="5" t="n"/>
      <c r="F231" s="6" t="n"/>
      <c r="G231" s="9">
        <f>IF(E231="","",E231*F231)</f>
        <v/>
      </c>
      <c r="H231" s="6" t="n"/>
      <c r="I231" s="9">
        <f>IF(G231="","",G231-IF(H231="",0,H231))</f>
        <v/>
      </c>
    </row>
    <row r="232">
      <c r="A232" t="n">
        <v>229</v>
      </c>
      <c r="B232" s="8" t="n"/>
      <c r="C232" s="5" t="n"/>
      <c r="D232" s="5" t="n"/>
      <c r="E232" s="5" t="n"/>
      <c r="F232" s="6" t="n"/>
      <c r="G232" s="9">
        <f>IF(E232="","",E232*F232)</f>
        <v/>
      </c>
      <c r="H232" s="6" t="n"/>
      <c r="I232" s="9">
        <f>IF(G232="","",G232-IF(H232="",0,H232))</f>
        <v/>
      </c>
    </row>
    <row r="233">
      <c r="A233" t="n">
        <v>230</v>
      </c>
      <c r="B233" s="8" t="n"/>
      <c r="C233" s="5" t="n"/>
      <c r="D233" s="5" t="n"/>
      <c r="E233" s="5" t="n"/>
      <c r="F233" s="6" t="n"/>
      <c r="G233" s="9">
        <f>IF(E233="","",E233*F233)</f>
        <v/>
      </c>
      <c r="H233" s="6" t="n"/>
      <c r="I233" s="9">
        <f>IF(G233="","",G233-IF(H233="",0,H233))</f>
        <v/>
      </c>
    </row>
    <row r="234">
      <c r="A234" t="n">
        <v>231</v>
      </c>
      <c r="B234" s="8" t="n"/>
      <c r="C234" s="5" t="n"/>
      <c r="D234" s="5" t="n"/>
      <c r="E234" s="5" t="n"/>
      <c r="F234" s="6" t="n"/>
      <c r="G234" s="9">
        <f>IF(E234="","",E234*F234)</f>
        <v/>
      </c>
      <c r="H234" s="6" t="n"/>
      <c r="I234" s="9">
        <f>IF(G234="","",G234-IF(H234="",0,H234))</f>
        <v/>
      </c>
    </row>
    <row r="235">
      <c r="A235" t="n">
        <v>232</v>
      </c>
      <c r="B235" s="8" t="n"/>
      <c r="C235" s="5" t="n"/>
      <c r="D235" s="5" t="n"/>
      <c r="E235" s="5" t="n"/>
      <c r="F235" s="6" t="n"/>
      <c r="G235" s="9">
        <f>IF(E235="","",E235*F235)</f>
        <v/>
      </c>
      <c r="H235" s="6" t="n"/>
      <c r="I235" s="9">
        <f>IF(G235="","",G235-IF(H235="",0,H235))</f>
        <v/>
      </c>
    </row>
    <row r="236">
      <c r="A236" t="n">
        <v>233</v>
      </c>
      <c r="B236" s="8" t="n"/>
      <c r="C236" s="5" t="n"/>
      <c r="D236" s="5" t="n"/>
      <c r="E236" s="5" t="n"/>
      <c r="F236" s="6" t="n"/>
      <c r="G236" s="9">
        <f>IF(E236="","",E236*F236)</f>
        <v/>
      </c>
      <c r="H236" s="6" t="n"/>
      <c r="I236" s="9">
        <f>IF(G236="","",G236-IF(H236="",0,H236))</f>
        <v/>
      </c>
    </row>
    <row r="237">
      <c r="A237" t="n">
        <v>234</v>
      </c>
      <c r="B237" s="8" t="n"/>
      <c r="C237" s="5" t="n"/>
      <c r="D237" s="5" t="n"/>
      <c r="E237" s="5" t="n"/>
      <c r="F237" s="6" t="n"/>
      <c r="G237" s="9">
        <f>IF(E237="","",E237*F237)</f>
        <v/>
      </c>
      <c r="H237" s="6" t="n"/>
      <c r="I237" s="9">
        <f>IF(G237="","",G237-IF(H237="",0,H237))</f>
        <v/>
      </c>
    </row>
    <row r="238">
      <c r="A238" t="n">
        <v>235</v>
      </c>
      <c r="B238" s="8" t="n"/>
      <c r="C238" s="5" t="n"/>
      <c r="D238" s="5" t="n"/>
      <c r="E238" s="5" t="n"/>
      <c r="F238" s="6" t="n"/>
      <c r="G238" s="9">
        <f>IF(E238="","",E238*F238)</f>
        <v/>
      </c>
      <c r="H238" s="6" t="n"/>
      <c r="I238" s="9">
        <f>IF(G238="","",G238-IF(H238="",0,H238))</f>
        <v/>
      </c>
    </row>
    <row r="239">
      <c r="A239" t="n">
        <v>236</v>
      </c>
      <c r="B239" s="8" t="n"/>
      <c r="C239" s="5" t="n"/>
      <c r="D239" s="5" t="n"/>
      <c r="E239" s="5" t="n"/>
      <c r="F239" s="6" t="n"/>
      <c r="G239" s="9">
        <f>IF(E239="","",E239*F239)</f>
        <v/>
      </c>
      <c r="H239" s="6" t="n"/>
      <c r="I239" s="9">
        <f>IF(G239="","",G239-IF(H239="",0,H239))</f>
        <v/>
      </c>
    </row>
    <row r="240">
      <c r="A240" t="n">
        <v>237</v>
      </c>
      <c r="B240" s="8" t="n"/>
      <c r="C240" s="5" t="n"/>
      <c r="D240" s="5" t="n"/>
      <c r="E240" s="5" t="n"/>
      <c r="F240" s="6" t="n"/>
      <c r="G240" s="9">
        <f>IF(E240="","",E240*F240)</f>
        <v/>
      </c>
      <c r="H240" s="6" t="n"/>
      <c r="I240" s="9">
        <f>IF(G240="","",G240-IF(H240="",0,H240))</f>
        <v/>
      </c>
    </row>
    <row r="241">
      <c r="A241" t="n">
        <v>238</v>
      </c>
      <c r="B241" s="8" t="n"/>
      <c r="C241" s="5" t="n"/>
      <c r="D241" s="5" t="n"/>
      <c r="E241" s="5" t="n"/>
      <c r="F241" s="6" t="n"/>
      <c r="G241" s="9">
        <f>IF(E241="","",E241*F241)</f>
        <v/>
      </c>
      <c r="H241" s="6" t="n"/>
      <c r="I241" s="9">
        <f>IF(G241="","",G241-IF(H241="",0,H241))</f>
        <v/>
      </c>
    </row>
    <row r="242">
      <c r="A242" t="n">
        <v>239</v>
      </c>
      <c r="B242" s="8" t="n"/>
      <c r="C242" s="5" t="n"/>
      <c r="D242" s="5" t="n"/>
      <c r="E242" s="5" t="n"/>
      <c r="F242" s="6" t="n"/>
      <c r="G242" s="9">
        <f>IF(E242="","",E242*F242)</f>
        <v/>
      </c>
      <c r="H242" s="6" t="n"/>
      <c r="I242" s="9">
        <f>IF(G242="","",G242-IF(H242="",0,H242))</f>
        <v/>
      </c>
    </row>
    <row r="243">
      <c r="A243" t="n">
        <v>240</v>
      </c>
      <c r="B243" s="8" t="n"/>
      <c r="C243" s="5" t="n"/>
      <c r="D243" s="5" t="n"/>
      <c r="E243" s="5" t="n"/>
      <c r="F243" s="6" t="n"/>
      <c r="G243" s="9">
        <f>IF(E243="","",E243*F243)</f>
        <v/>
      </c>
      <c r="H243" s="6" t="n"/>
      <c r="I243" s="9">
        <f>IF(G243="","",G243-IF(H243="",0,H243))</f>
        <v/>
      </c>
    </row>
    <row r="244">
      <c r="A244" t="n">
        <v>241</v>
      </c>
      <c r="B244" s="8" t="n"/>
      <c r="C244" s="5" t="n"/>
      <c r="D244" s="5" t="n"/>
      <c r="E244" s="5" t="n"/>
      <c r="F244" s="6" t="n"/>
      <c r="G244" s="9">
        <f>IF(E244="","",E244*F244)</f>
        <v/>
      </c>
      <c r="H244" s="6" t="n"/>
      <c r="I244" s="9">
        <f>IF(G244="","",G244-IF(H244="",0,H244))</f>
        <v/>
      </c>
    </row>
    <row r="245">
      <c r="A245" t="n">
        <v>242</v>
      </c>
      <c r="B245" s="8" t="n"/>
      <c r="C245" s="5" t="n"/>
      <c r="D245" s="5" t="n"/>
      <c r="E245" s="5" t="n"/>
      <c r="F245" s="6" t="n"/>
      <c r="G245" s="9">
        <f>IF(E245="","",E245*F245)</f>
        <v/>
      </c>
      <c r="H245" s="6" t="n"/>
      <c r="I245" s="9">
        <f>IF(G245="","",G245-IF(H245="",0,H245))</f>
        <v/>
      </c>
    </row>
    <row r="246">
      <c r="A246" t="n">
        <v>243</v>
      </c>
      <c r="B246" s="8" t="n"/>
      <c r="C246" s="5" t="n"/>
      <c r="D246" s="5" t="n"/>
      <c r="E246" s="5" t="n"/>
      <c r="F246" s="6" t="n"/>
      <c r="G246" s="9">
        <f>IF(E246="","",E246*F246)</f>
        <v/>
      </c>
      <c r="H246" s="6" t="n"/>
      <c r="I246" s="9">
        <f>IF(G246="","",G246-IF(H246="",0,H246))</f>
        <v/>
      </c>
    </row>
    <row r="247">
      <c r="A247" t="n">
        <v>244</v>
      </c>
      <c r="B247" s="8" t="n"/>
      <c r="C247" s="5" t="n"/>
      <c r="D247" s="5" t="n"/>
      <c r="E247" s="5" t="n"/>
      <c r="F247" s="6" t="n"/>
      <c r="G247" s="9">
        <f>IF(E247="","",E247*F247)</f>
        <v/>
      </c>
      <c r="H247" s="6" t="n"/>
      <c r="I247" s="9">
        <f>IF(G247="","",G247-IF(H247="",0,H247))</f>
        <v/>
      </c>
    </row>
    <row r="248">
      <c r="A248" t="n">
        <v>245</v>
      </c>
      <c r="B248" s="8" t="n"/>
      <c r="C248" s="5" t="n"/>
      <c r="D248" s="5" t="n"/>
      <c r="E248" s="5" t="n"/>
      <c r="F248" s="6" t="n"/>
      <c r="G248" s="9">
        <f>IF(E248="","",E248*F248)</f>
        <v/>
      </c>
      <c r="H248" s="6" t="n"/>
      <c r="I248" s="9">
        <f>IF(G248="","",G248-IF(H248="",0,H248))</f>
        <v/>
      </c>
    </row>
    <row r="249">
      <c r="A249" t="n">
        <v>246</v>
      </c>
      <c r="B249" s="8" t="n"/>
      <c r="C249" s="5" t="n"/>
      <c r="D249" s="5" t="n"/>
      <c r="E249" s="5" t="n"/>
      <c r="F249" s="6" t="n"/>
      <c r="G249" s="9">
        <f>IF(E249="","",E249*F249)</f>
        <v/>
      </c>
      <c r="H249" s="6" t="n"/>
      <c r="I249" s="9">
        <f>IF(G249="","",G249-IF(H249="",0,H249))</f>
        <v/>
      </c>
    </row>
    <row r="250">
      <c r="A250" t="n">
        <v>247</v>
      </c>
      <c r="B250" s="8" t="n"/>
      <c r="C250" s="5" t="n"/>
      <c r="D250" s="5" t="n"/>
      <c r="E250" s="5" t="n"/>
      <c r="F250" s="6" t="n"/>
      <c r="G250" s="9">
        <f>IF(E250="","",E250*F250)</f>
        <v/>
      </c>
      <c r="H250" s="6" t="n"/>
      <c r="I250" s="9">
        <f>IF(G250="","",G250-IF(H250="",0,H250))</f>
        <v/>
      </c>
    </row>
    <row r="251">
      <c r="A251" t="n">
        <v>248</v>
      </c>
      <c r="B251" s="8" t="n"/>
      <c r="C251" s="5" t="n"/>
      <c r="D251" s="5" t="n"/>
      <c r="E251" s="5" t="n"/>
      <c r="F251" s="6" t="n"/>
      <c r="G251" s="9">
        <f>IF(E251="","",E251*F251)</f>
        <v/>
      </c>
      <c r="H251" s="6" t="n"/>
      <c r="I251" s="9">
        <f>IF(G251="","",G251-IF(H251="",0,H251))</f>
        <v/>
      </c>
    </row>
    <row r="252">
      <c r="A252" t="n">
        <v>249</v>
      </c>
      <c r="B252" s="8" t="n"/>
      <c r="C252" s="5" t="n"/>
      <c r="D252" s="5" t="n"/>
      <c r="E252" s="5" t="n"/>
      <c r="F252" s="6" t="n"/>
      <c r="G252" s="9">
        <f>IF(E252="","",E252*F252)</f>
        <v/>
      </c>
      <c r="H252" s="6" t="n"/>
      <c r="I252" s="9">
        <f>IF(G252="","",G252-IF(H252="",0,H252))</f>
        <v/>
      </c>
    </row>
    <row r="253">
      <c r="A253" t="n">
        <v>250</v>
      </c>
      <c r="B253" s="8" t="n"/>
      <c r="C253" s="5" t="n"/>
      <c r="D253" s="5" t="n"/>
      <c r="E253" s="5" t="n"/>
      <c r="F253" s="6" t="n"/>
      <c r="G253" s="9">
        <f>IF(E253="","",E253*F253)</f>
        <v/>
      </c>
      <c r="H253" s="6" t="n"/>
      <c r="I253" s="9">
        <f>IF(G253="","",G253-IF(H253="",0,H253))</f>
        <v/>
      </c>
    </row>
    <row r="254">
      <c r="A254" t="n">
        <v>251</v>
      </c>
      <c r="B254" s="8" t="n"/>
      <c r="C254" s="5" t="n"/>
      <c r="D254" s="5" t="n"/>
      <c r="E254" s="5" t="n"/>
      <c r="F254" s="6" t="n"/>
      <c r="G254" s="9">
        <f>IF(E254="","",E254*F254)</f>
        <v/>
      </c>
      <c r="H254" s="6" t="n"/>
      <c r="I254" s="9">
        <f>IF(G254="","",G254-IF(H254="",0,H254))</f>
        <v/>
      </c>
    </row>
    <row r="255">
      <c r="A255" t="n">
        <v>252</v>
      </c>
      <c r="B255" s="8" t="n"/>
      <c r="C255" s="5" t="n"/>
      <c r="D255" s="5" t="n"/>
      <c r="E255" s="5" t="n"/>
      <c r="F255" s="6" t="n"/>
      <c r="G255" s="9">
        <f>IF(E255="","",E255*F255)</f>
        <v/>
      </c>
      <c r="H255" s="6" t="n"/>
      <c r="I255" s="9">
        <f>IF(G255="","",G255-IF(H255="",0,H255))</f>
        <v/>
      </c>
    </row>
    <row r="256">
      <c r="A256" t="n">
        <v>253</v>
      </c>
      <c r="B256" s="8" t="n"/>
      <c r="C256" s="5" t="n"/>
      <c r="D256" s="5" t="n"/>
      <c r="E256" s="5" t="n"/>
      <c r="F256" s="6" t="n"/>
      <c r="G256" s="9">
        <f>IF(E256="","",E256*F256)</f>
        <v/>
      </c>
      <c r="H256" s="6" t="n"/>
      <c r="I256" s="9">
        <f>IF(G256="","",G256-IF(H256="",0,H256))</f>
        <v/>
      </c>
    </row>
    <row r="257">
      <c r="A257" t="n">
        <v>254</v>
      </c>
      <c r="B257" s="8" t="n"/>
      <c r="C257" s="5" t="n"/>
      <c r="D257" s="5" t="n"/>
      <c r="E257" s="5" t="n"/>
      <c r="F257" s="6" t="n"/>
      <c r="G257" s="9">
        <f>IF(E257="","",E257*F257)</f>
        <v/>
      </c>
      <c r="H257" s="6" t="n"/>
      <c r="I257" s="9">
        <f>IF(G257="","",G257-IF(H257="",0,H257))</f>
        <v/>
      </c>
    </row>
    <row r="258">
      <c r="A258" t="n">
        <v>255</v>
      </c>
      <c r="B258" s="8" t="n"/>
      <c r="C258" s="5" t="n"/>
      <c r="D258" s="5" t="n"/>
      <c r="E258" s="5" t="n"/>
      <c r="F258" s="6" t="n"/>
      <c r="G258" s="9">
        <f>IF(E258="","",E258*F258)</f>
        <v/>
      </c>
      <c r="H258" s="6" t="n"/>
      <c r="I258" s="9">
        <f>IF(G258="","",G258-IF(H258="",0,H258))</f>
        <v/>
      </c>
    </row>
    <row r="259">
      <c r="A259" t="n">
        <v>256</v>
      </c>
      <c r="B259" s="8" t="n"/>
      <c r="C259" s="5" t="n"/>
      <c r="D259" s="5" t="n"/>
      <c r="E259" s="5" t="n"/>
      <c r="F259" s="6" t="n"/>
      <c r="G259" s="9">
        <f>IF(E259="","",E259*F259)</f>
        <v/>
      </c>
      <c r="H259" s="6" t="n"/>
      <c r="I259" s="9">
        <f>IF(G259="","",G259-IF(H259="",0,H259))</f>
        <v/>
      </c>
    </row>
    <row r="260">
      <c r="A260" t="n">
        <v>257</v>
      </c>
      <c r="B260" s="8" t="n"/>
      <c r="C260" s="5" t="n"/>
      <c r="D260" s="5" t="n"/>
      <c r="E260" s="5" t="n"/>
      <c r="F260" s="6" t="n"/>
      <c r="G260" s="9">
        <f>IF(E260="","",E260*F260)</f>
        <v/>
      </c>
      <c r="H260" s="6" t="n"/>
      <c r="I260" s="9">
        <f>IF(G260="","",G260-IF(H260="",0,H260))</f>
        <v/>
      </c>
    </row>
    <row r="261">
      <c r="A261" t="n">
        <v>258</v>
      </c>
      <c r="B261" s="8" t="n"/>
      <c r="C261" s="5" t="n"/>
      <c r="D261" s="5" t="n"/>
      <c r="E261" s="5" t="n"/>
      <c r="F261" s="6" t="n"/>
      <c r="G261" s="9">
        <f>IF(E261="","",E261*F261)</f>
        <v/>
      </c>
      <c r="H261" s="6" t="n"/>
      <c r="I261" s="9">
        <f>IF(G261="","",G261-IF(H261="",0,H261))</f>
        <v/>
      </c>
    </row>
    <row r="262">
      <c r="A262" t="n">
        <v>259</v>
      </c>
      <c r="B262" s="8" t="n"/>
      <c r="C262" s="5" t="n"/>
      <c r="D262" s="5" t="n"/>
      <c r="E262" s="5" t="n"/>
      <c r="F262" s="6" t="n"/>
      <c r="G262" s="9">
        <f>IF(E262="","",E262*F262)</f>
        <v/>
      </c>
      <c r="H262" s="6" t="n"/>
      <c r="I262" s="9">
        <f>IF(G262="","",G262-IF(H262="",0,H262))</f>
        <v/>
      </c>
    </row>
    <row r="263">
      <c r="A263" t="n">
        <v>260</v>
      </c>
      <c r="B263" s="8" t="n"/>
      <c r="C263" s="5" t="n"/>
      <c r="D263" s="5" t="n"/>
      <c r="E263" s="5" t="n"/>
      <c r="F263" s="6" t="n"/>
      <c r="G263" s="9">
        <f>IF(E263="","",E263*F263)</f>
        <v/>
      </c>
      <c r="H263" s="6" t="n"/>
      <c r="I263" s="9">
        <f>IF(G263="","",G263-IF(H263="",0,H263))</f>
        <v/>
      </c>
    </row>
    <row r="264">
      <c r="A264" t="n">
        <v>261</v>
      </c>
      <c r="B264" s="8" t="n"/>
      <c r="C264" s="5" t="n"/>
      <c r="D264" s="5" t="n"/>
      <c r="E264" s="5" t="n"/>
      <c r="F264" s="6" t="n"/>
      <c r="G264" s="9">
        <f>IF(E264="","",E264*F264)</f>
        <v/>
      </c>
      <c r="H264" s="6" t="n"/>
      <c r="I264" s="9">
        <f>IF(G264="","",G264-IF(H264="",0,H264))</f>
        <v/>
      </c>
    </row>
    <row r="265">
      <c r="A265" t="n">
        <v>262</v>
      </c>
      <c r="B265" s="8" t="n"/>
      <c r="C265" s="5" t="n"/>
      <c r="D265" s="5" t="n"/>
      <c r="E265" s="5" t="n"/>
      <c r="F265" s="6" t="n"/>
      <c r="G265" s="9">
        <f>IF(E265="","",E265*F265)</f>
        <v/>
      </c>
      <c r="H265" s="6" t="n"/>
      <c r="I265" s="9">
        <f>IF(G265="","",G265-IF(H265="",0,H265))</f>
        <v/>
      </c>
    </row>
    <row r="266">
      <c r="A266" t="n">
        <v>263</v>
      </c>
      <c r="B266" s="8" t="n"/>
      <c r="C266" s="5" t="n"/>
      <c r="D266" s="5" t="n"/>
      <c r="E266" s="5" t="n"/>
      <c r="F266" s="6" t="n"/>
      <c r="G266" s="9">
        <f>IF(E266="","",E266*F266)</f>
        <v/>
      </c>
      <c r="H266" s="6" t="n"/>
      <c r="I266" s="9">
        <f>IF(G266="","",G266-IF(H266="",0,H266))</f>
        <v/>
      </c>
    </row>
    <row r="267">
      <c r="A267" t="n">
        <v>264</v>
      </c>
      <c r="B267" s="8" t="n"/>
      <c r="C267" s="5" t="n"/>
      <c r="D267" s="5" t="n"/>
      <c r="E267" s="5" t="n"/>
      <c r="F267" s="6" t="n"/>
      <c r="G267" s="9">
        <f>IF(E267="","",E267*F267)</f>
        <v/>
      </c>
      <c r="H267" s="6" t="n"/>
      <c r="I267" s="9">
        <f>IF(G267="","",G267-IF(H267="",0,H267))</f>
        <v/>
      </c>
    </row>
    <row r="268">
      <c r="A268" t="n">
        <v>265</v>
      </c>
      <c r="B268" s="8" t="n"/>
      <c r="C268" s="5" t="n"/>
      <c r="D268" s="5" t="n"/>
      <c r="E268" s="5" t="n"/>
      <c r="F268" s="6" t="n"/>
      <c r="G268" s="9">
        <f>IF(E268="","",E268*F268)</f>
        <v/>
      </c>
      <c r="H268" s="6" t="n"/>
      <c r="I268" s="9">
        <f>IF(G268="","",G268-IF(H268="",0,H268))</f>
        <v/>
      </c>
    </row>
    <row r="269">
      <c r="A269" t="n">
        <v>266</v>
      </c>
      <c r="B269" s="8" t="n"/>
      <c r="C269" s="5" t="n"/>
      <c r="D269" s="5" t="n"/>
      <c r="E269" s="5" t="n"/>
      <c r="F269" s="6" t="n"/>
      <c r="G269" s="9">
        <f>IF(E269="","",E269*F269)</f>
        <v/>
      </c>
      <c r="H269" s="6" t="n"/>
      <c r="I269" s="9">
        <f>IF(G269="","",G269-IF(H269="",0,H269))</f>
        <v/>
      </c>
    </row>
    <row r="270">
      <c r="A270" t="n">
        <v>267</v>
      </c>
      <c r="B270" s="8" t="n"/>
      <c r="C270" s="5" t="n"/>
      <c r="D270" s="5" t="n"/>
      <c r="E270" s="5" t="n"/>
      <c r="F270" s="6" t="n"/>
      <c r="G270" s="9">
        <f>IF(E270="","",E270*F270)</f>
        <v/>
      </c>
      <c r="H270" s="6" t="n"/>
      <c r="I270" s="9">
        <f>IF(G270="","",G270-IF(H270="",0,H270))</f>
        <v/>
      </c>
    </row>
    <row r="271">
      <c r="A271" t="n">
        <v>268</v>
      </c>
      <c r="B271" s="8" t="n"/>
      <c r="C271" s="5" t="n"/>
      <c r="D271" s="5" t="n"/>
      <c r="E271" s="5" t="n"/>
      <c r="F271" s="6" t="n"/>
      <c r="G271" s="9">
        <f>IF(E271="","",E271*F271)</f>
        <v/>
      </c>
      <c r="H271" s="6" t="n"/>
      <c r="I271" s="9">
        <f>IF(G271="","",G271-IF(H271="",0,H271))</f>
        <v/>
      </c>
    </row>
    <row r="272">
      <c r="A272" t="n">
        <v>269</v>
      </c>
      <c r="B272" s="8" t="n"/>
      <c r="C272" s="5" t="n"/>
      <c r="D272" s="5" t="n"/>
      <c r="E272" s="5" t="n"/>
      <c r="F272" s="6" t="n"/>
      <c r="G272" s="9">
        <f>IF(E272="","",E272*F272)</f>
        <v/>
      </c>
      <c r="H272" s="6" t="n"/>
      <c r="I272" s="9">
        <f>IF(G272="","",G272-IF(H272="",0,H272))</f>
        <v/>
      </c>
    </row>
    <row r="273">
      <c r="A273" t="n">
        <v>270</v>
      </c>
      <c r="B273" s="8" t="n"/>
      <c r="C273" s="5" t="n"/>
      <c r="D273" s="5" t="n"/>
      <c r="E273" s="5" t="n"/>
      <c r="F273" s="6" t="n"/>
      <c r="G273" s="9">
        <f>IF(E273="","",E273*F273)</f>
        <v/>
      </c>
      <c r="H273" s="6" t="n"/>
      <c r="I273" s="9">
        <f>IF(G273="","",G273-IF(H273="",0,H273))</f>
        <v/>
      </c>
    </row>
    <row r="274">
      <c r="A274" t="n">
        <v>271</v>
      </c>
      <c r="B274" s="8" t="n"/>
      <c r="C274" s="5" t="n"/>
      <c r="D274" s="5" t="n"/>
      <c r="E274" s="5" t="n"/>
      <c r="F274" s="6" t="n"/>
      <c r="G274" s="9">
        <f>IF(E274="","",E274*F274)</f>
        <v/>
      </c>
      <c r="H274" s="6" t="n"/>
      <c r="I274" s="9">
        <f>IF(G274="","",G274-IF(H274="",0,H274))</f>
        <v/>
      </c>
    </row>
    <row r="275">
      <c r="A275" t="n">
        <v>272</v>
      </c>
      <c r="B275" s="8" t="n"/>
      <c r="C275" s="5" t="n"/>
      <c r="D275" s="5" t="n"/>
      <c r="E275" s="5" t="n"/>
      <c r="F275" s="6" t="n"/>
      <c r="G275" s="9">
        <f>IF(E275="","",E275*F275)</f>
        <v/>
      </c>
      <c r="H275" s="6" t="n"/>
      <c r="I275" s="9">
        <f>IF(G275="","",G275-IF(H275="",0,H275))</f>
        <v/>
      </c>
    </row>
    <row r="276">
      <c r="A276" t="n">
        <v>273</v>
      </c>
      <c r="B276" s="8" t="n"/>
      <c r="C276" s="5" t="n"/>
      <c r="D276" s="5" t="n"/>
      <c r="E276" s="5" t="n"/>
      <c r="F276" s="6" t="n"/>
      <c r="G276" s="9">
        <f>IF(E276="","",E276*F276)</f>
        <v/>
      </c>
      <c r="H276" s="6" t="n"/>
      <c r="I276" s="9">
        <f>IF(G276="","",G276-IF(H276="",0,H276))</f>
        <v/>
      </c>
    </row>
    <row r="277">
      <c r="A277" t="n">
        <v>274</v>
      </c>
      <c r="B277" s="8" t="n"/>
      <c r="C277" s="5" t="n"/>
      <c r="D277" s="5" t="n"/>
      <c r="E277" s="5" t="n"/>
      <c r="F277" s="6" t="n"/>
      <c r="G277" s="9">
        <f>IF(E277="","",E277*F277)</f>
        <v/>
      </c>
      <c r="H277" s="6" t="n"/>
      <c r="I277" s="9">
        <f>IF(G277="","",G277-IF(H277="",0,H277))</f>
        <v/>
      </c>
    </row>
    <row r="278">
      <c r="A278" t="n">
        <v>275</v>
      </c>
      <c r="B278" s="8" t="n"/>
      <c r="C278" s="5" t="n"/>
      <c r="D278" s="5" t="n"/>
      <c r="E278" s="5" t="n"/>
      <c r="F278" s="6" t="n"/>
      <c r="G278" s="9">
        <f>IF(E278="","",E278*F278)</f>
        <v/>
      </c>
      <c r="H278" s="6" t="n"/>
      <c r="I278" s="9">
        <f>IF(G278="","",G278-IF(H278="",0,H278))</f>
        <v/>
      </c>
    </row>
    <row r="279">
      <c r="A279" t="n">
        <v>276</v>
      </c>
      <c r="B279" s="8" t="n"/>
      <c r="C279" s="5" t="n"/>
      <c r="D279" s="5" t="n"/>
      <c r="E279" s="5" t="n"/>
      <c r="F279" s="6" t="n"/>
      <c r="G279" s="9">
        <f>IF(E279="","",E279*F279)</f>
        <v/>
      </c>
      <c r="H279" s="6" t="n"/>
      <c r="I279" s="9">
        <f>IF(G279="","",G279-IF(H279="",0,H279))</f>
        <v/>
      </c>
    </row>
    <row r="280">
      <c r="A280" t="n">
        <v>277</v>
      </c>
      <c r="B280" s="8" t="n"/>
      <c r="C280" s="5" t="n"/>
      <c r="D280" s="5" t="n"/>
      <c r="E280" s="5" t="n"/>
      <c r="F280" s="6" t="n"/>
      <c r="G280" s="9">
        <f>IF(E280="","",E280*F280)</f>
        <v/>
      </c>
      <c r="H280" s="6" t="n"/>
      <c r="I280" s="9">
        <f>IF(G280="","",G280-IF(H280="",0,H280))</f>
        <v/>
      </c>
    </row>
    <row r="281">
      <c r="A281" t="n">
        <v>278</v>
      </c>
      <c r="B281" s="8" t="n"/>
      <c r="C281" s="5" t="n"/>
      <c r="D281" s="5" t="n"/>
      <c r="E281" s="5" t="n"/>
      <c r="F281" s="6" t="n"/>
      <c r="G281" s="9">
        <f>IF(E281="","",E281*F281)</f>
        <v/>
      </c>
      <c r="H281" s="6" t="n"/>
      <c r="I281" s="9">
        <f>IF(G281="","",G281-IF(H281="",0,H281))</f>
        <v/>
      </c>
    </row>
    <row r="282">
      <c r="A282" t="n">
        <v>279</v>
      </c>
      <c r="B282" s="8" t="n"/>
      <c r="C282" s="5" t="n"/>
      <c r="D282" s="5" t="n"/>
      <c r="E282" s="5" t="n"/>
      <c r="F282" s="6" t="n"/>
      <c r="G282" s="9">
        <f>IF(E282="","",E282*F282)</f>
        <v/>
      </c>
      <c r="H282" s="6" t="n"/>
      <c r="I282" s="9">
        <f>IF(G282="","",G282-IF(H282="",0,H282))</f>
        <v/>
      </c>
    </row>
    <row r="283">
      <c r="A283" t="n">
        <v>280</v>
      </c>
      <c r="B283" s="8" t="n"/>
      <c r="C283" s="5" t="n"/>
      <c r="D283" s="5" t="n"/>
      <c r="E283" s="5" t="n"/>
      <c r="F283" s="6" t="n"/>
      <c r="G283" s="9">
        <f>IF(E283="","",E283*F283)</f>
        <v/>
      </c>
      <c r="H283" s="6" t="n"/>
      <c r="I283" s="9">
        <f>IF(G283="","",G283-IF(H283="",0,H283))</f>
        <v/>
      </c>
    </row>
    <row r="284">
      <c r="A284" t="n">
        <v>281</v>
      </c>
      <c r="B284" s="8" t="n"/>
      <c r="C284" s="5" t="n"/>
      <c r="D284" s="5" t="n"/>
      <c r="E284" s="5" t="n"/>
      <c r="F284" s="6" t="n"/>
      <c r="G284" s="9">
        <f>IF(E284="","",E284*F284)</f>
        <v/>
      </c>
      <c r="H284" s="6" t="n"/>
      <c r="I284" s="9">
        <f>IF(G284="","",G284-IF(H284="",0,H284))</f>
        <v/>
      </c>
    </row>
    <row r="285">
      <c r="A285" t="n">
        <v>282</v>
      </c>
      <c r="B285" s="8" t="n"/>
      <c r="C285" s="5" t="n"/>
      <c r="D285" s="5" t="n"/>
      <c r="E285" s="5" t="n"/>
      <c r="F285" s="6" t="n"/>
      <c r="G285" s="9">
        <f>IF(E285="","",E285*F285)</f>
        <v/>
      </c>
      <c r="H285" s="6" t="n"/>
      <c r="I285" s="9">
        <f>IF(G285="","",G285-IF(H285="",0,H285))</f>
        <v/>
      </c>
    </row>
    <row r="286">
      <c r="A286" t="n">
        <v>283</v>
      </c>
      <c r="B286" s="8" t="n"/>
      <c r="C286" s="5" t="n"/>
      <c r="D286" s="5" t="n"/>
      <c r="E286" s="5" t="n"/>
      <c r="F286" s="6" t="n"/>
      <c r="G286" s="9">
        <f>IF(E286="","",E286*F286)</f>
        <v/>
      </c>
      <c r="H286" s="6" t="n"/>
      <c r="I286" s="9">
        <f>IF(G286="","",G286-IF(H286="",0,H286))</f>
        <v/>
      </c>
    </row>
    <row r="287">
      <c r="A287" t="n">
        <v>284</v>
      </c>
      <c r="B287" s="8" t="n"/>
      <c r="C287" s="5" t="n"/>
      <c r="D287" s="5" t="n"/>
      <c r="E287" s="5" t="n"/>
      <c r="F287" s="6" t="n"/>
      <c r="G287" s="9">
        <f>IF(E287="","",E287*F287)</f>
        <v/>
      </c>
      <c r="H287" s="6" t="n"/>
      <c r="I287" s="9">
        <f>IF(G287="","",G287-IF(H287="",0,H287))</f>
        <v/>
      </c>
    </row>
    <row r="288">
      <c r="A288" t="n">
        <v>285</v>
      </c>
      <c r="B288" s="8" t="n"/>
      <c r="C288" s="5" t="n"/>
      <c r="D288" s="5" t="n"/>
      <c r="E288" s="5" t="n"/>
      <c r="F288" s="6" t="n"/>
      <c r="G288" s="9">
        <f>IF(E288="","",E288*F288)</f>
        <v/>
      </c>
      <c r="H288" s="6" t="n"/>
      <c r="I288" s="9">
        <f>IF(G288="","",G288-IF(H288="",0,H288))</f>
        <v/>
      </c>
    </row>
    <row r="289">
      <c r="A289" t="n">
        <v>286</v>
      </c>
      <c r="B289" s="8" t="n"/>
      <c r="C289" s="5" t="n"/>
      <c r="D289" s="5" t="n"/>
      <c r="E289" s="5" t="n"/>
      <c r="F289" s="6" t="n"/>
      <c r="G289" s="9">
        <f>IF(E289="","",E289*F289)</f>
        <v/>
      </c>
      <c r="H289" s="6" t="n"/>
      <c r="I289" s="9">
        <f>IF(G289="","",G289-IF(H289="",0,H289))</f>
        <v/>
      </c>
    </row>
    <row r="290">
      <c r="A290" t="n">
        <v>287</v>
      </c>
      <c r="B290" s="8" t="n"/>
      <c r="C290" s="5" t="n"/>
      <c r="D290" s="5" t="n"/>
      <c r="E290" s="5" t="n"/>
      <c r="F290" s="6" t="n"/>
      <c r="G290" s="9">
        <f>IF(E290="","",E290*F290)</f>
        <v/>
      </c>
      <c r="H290" s="6" t="n"/>
      <c r="I290" s="9">
        <f>IF(G290="","",G290-IF(H290="",0,H290))</f>
        <v/>
      </c>
    </row>
    <row r="291">
      <c r="A291" t="n">
        <v>288</v>
      </c>
      <c r="B291" s="8" t="n"/>
      <c r="C291" s="5" t="n"/>
      <c r="D291" s="5" t="n"/>
      <c r="E291" s="5" t="n"/>
      <c r="F291" s="6" t="n"/>
      <c r="G291" s="9">
        <f>IF(E291="","",E291*F291)</f>
        <v/>
      </c>
      <c r="H291" s="6" t="n"/>
      <c r="I291" s="9">
        <f>IF(G291="","",G291-IF(H291="",0,H291))</f>
        <v/>
      </c>
    </row>
    <row r="292">
      <c r="A292" t="n">
        <v>289</v>
      </c>
      <c r="B292" s="8" t="n"/>
      <c r="C292" s="5" t="n"/>
      <c r="D292" s="5" t="n"/>
      <c r="E292" s="5" t="n"/>
      <c r="F292" s="6" t="n"/>
      <c r="G292" s="9">
        <f>IF(E292="","",E292*F292)</f>
        <v/>
      </c>
      <c r="H292" s="6" t="n"/>
      <c r="I292" s="9">
        <f>IF(G292="","",G292-IF(H292="",0,H292))</f>
        <v/>
      </c>
    </row>
    <row r="293">
      <c r="A293" t="n">
        <v>290</v>
      </c>
      <c r="B293" s="8" t="n"/>
      <c r="C293" s="5" t="n"/>
      <c r="D293" s="5" t="n"/>
      <c r="E293" s="5" t="n"/>
      <c r="F293" s="6" t="n"/>
      <c r="G293" s="9">
        <f>IF(E293="","",E293*F293)</f>
        <v/>
      </c>
      <c r="H293" s="6" t="n"/>
      <c r="I293" s="9">
        <f>IF(G293="","",G293-IF(H293="",0,H293))</f>
        <v/>
      </c>
    </row>
    <row r="294">
      <c r="A294" t="n">
        <v>291</v>
      </c>
      <c r="B294" s="8" t="n"/>
      <c r="C294" s="5" t="n"/>
      <c r="D294" s="5" t="n"/>
      <c r="E294" s="5" t="n"/>
      <c r="F294" s="6" t="n"/>
      <c r="G294" s="9">
        <f>IF(E294="","",E294*F294)</f>
        <v/>
      </c>
      <c r="H294" s="6" t="n"/>
      <c r="I294" s="9">
        <f>IF(G294="","",G294-IF(H294="",0,H294))</f>
        <v/>
      </c>
    </row>
    <row r="295">
      <c r="A295" t="n">
        <v>292</v>
      </c>
      <c r="B295" s="8" t="n"/>
      <c r="C295" s="5" t="n"/>
      <c r="D295" s="5" t="n"/>
      <c r="E295" s="5" t="n"/>
      <c r="F295" s="6" t="n"/>
      <c r="G295" s="9">
        <f>IF(E295="","",E295*F295)</f>
        <v/>
      </c>
      <c r="H295" s="6" t="n"/>
      <c r="I295" s="9">
        <f>IF(G295="","",G295-IF(H295="",0,H295))</f>
        <v/>
      </c>
    </row>
    <row r="296">
      <c r="A296" t="n">
        <v>293</v>
      </c>
      <c r="B296" s="8" t="n"/>
      <c r="C296" s="5" t="n"/>
      <c r="D296" s="5" t="n"/>
      <c r="E296" s="5" t="n"/>
      <c r="F296" s="6" t="n"/>
      <c r="G296" s="9">
        <f>IF(E296="","",E296*F296)</f>
        <v/>
      </c>
      <c r="H296" s="6" t="n"/>
      <c r="I296" s="9">
        <f>IF(G296="","",G296-IF(H296="",0,H296))</f>
        <v/>
      </c>
    </row>
    <row r="297">
      <c r="A297" t="n">
        <v>294</v>
      </c>
      <c r="B297" s="8" t="n"/>
      <c r="C297" s="5" t="n"/>
      <c r="D297" s="5" t="n"/>
      <c r="E297" s="5" t="n"/>
      <c r="F297" s="6" t="n"/>
      <c r="G297" s="9">
        <f>IF(E297="","",E297*F297)</f>
        <v/>
      </c>
      <c r="H297" s="6" t="n"/>
      <c r="I297" s="9">
        <f>IF(G297="","",G297-IF(H297="",0,H297))</f>
        <v/>
      </c>
    </row>
    <row r="298">
      <c r="A298" t="n">
        <v>295</v>
      </c>
      <c r="B298" s="8" t="n"/>
      <c r="C298" s="5" t="n"/>
      <c r="D298" s="5" t="n"/>
      <c r="E298" s="5" t="n"/>
      <c r="F298" s="6" t="n"/>
      <c r="G298" s="9">
        <f>IF(E298="","",E298*F298)</f>
        <v/>
      </c>
      <c r="H298" s="6" t="n"/>
      <c r="I298" s="9">
        <f>IF(G298="","",G298-IF(H298="",0,H298))</f>
        <v/>
      </c>
    </row>
    <row r="299">
      <c r="A299" t="n">
        <v>296</v>
      </c>
      <c r="B299" s="8" t="n"/>
      <c r="C299" s="5" t="n"/>
      <c r="D299" s="5" t="n"/>
      <c r="E299" s="5" t="n"/>
      <c r="F299" s="6" t="n"/>
      <c r="G299" s="9">
        <f>IF(E299="","",E299*F299)</f>
        <v/>
      </c>
      <c r="H299" s="6" t="n"/>
      <c r="I299" s="9">
        <f>IF(G299="","",G299-IF(H299="",0,H299))</f>
        <v/>
      </c>
    </row>
    <row r="300">
      <c r="A300" t="n">
        <v>297</v>
      </c>
      <c r="B300" s="8" t="n"/>
      <c r="C300" s="5" t="n"/>
      <c r="D300" s="5" t="n"/>
      <c r="E300" s="5" t="n"/>
      <c r="F300" s="6" t="n"/>
      <c r="G300" s="9">
        <f>IF(E300="","",E300*F300)</f>
        <v/>
      </c>
      <c r="H300" s="6" t="n"/>
      <c r="I300" s="9">
        <f>IF(G300="","",G300-IF(H300="",0,H300))</f>
        <v/>
      </c>
    </row>
    <row r="301">
      <c r="A301" t="n">
        <v>298</v>
      </c>
      <c r="B301" s="8" t="n"/>
      <c r="C301" s="5" t="n"/>
      <c r="D301" s="5" t="n"/>
      <c r="E301" s="5" t="n"/>
      <c r="F301" s="6" t="n"/>
      <c r="G301" s="9">
        <f>IF(E301="","",E301*F301)</f>
        <v/>
      </c>
      <c r="H301" s="6" t="n"/>
      <c r="I301" s="9">
        <f>IF(G301="","",G301-IF(H301="",0,H301))</f>
        <v/>
      </c>
    </row>
    <row r="302">
      <c r="A302" t="n">
        <v>299</v>
      </c>
      <c r="B302" s="8" t="n"/>
      <c r="C302" s="5" t="n"/>
      <c r="D302" s="5" t="n"/>
      <c r="E302" s="5" t="n"/>
      <c r="F302" s="6" t="n"/>
      <c r="G302" s="9">
        <f>IF(E302="","",E302*F302)</f>
        <v/>
      </c>
      <c r="H302" s="6" t="n"/>
      <c r="I302" s="9">
        <f>IF(G302="","",G302-IF(H302="",0,H302))</f>
        <v/>
      </c>
    </row>
    <row r="303">
      <c r="A303" t="n">
        <v>300</v>
      </c>
      <c r="B303" s="8" t="n"/>
      <c r="C303" s="5" t="n"/>
      <c r="D303" s="5" t="n"/>
      <c r="E303" s="5" t="n"/>
      <c r="F303" s="6" t="n"/>
      <c r="G303" s="9">
        <f>IF(E303="","",E303*F303)</f>
        <v/>
      </c>
      <c r="H303" s="6" t="n"/>
      <c r="I303" s="9">
        <f>IF(G303="","",G303-IF(H303="",0,H303))</f>
        <v/>
      </c>
    </row>
    <row r="304">
      <c r="A304" t="n">
        <v>301</v>
      </c>
      <c r="B304" s="8" t="n"/>
      <c r="C304" s="5" t="n"/>
      <c r="D304" s="5" t="n"/>
      <c r="E304" s="5" t="n"/>
      <c r="F304" s="6" t="n"/>
      <c r="G304" s="9">
        <f>IF(E304="","",E304*F304)</f>
        <v/>
      </c>
      <c r="H304" s="6" t="n"/>
      <c r="I304" s="9">
        <f>IF(G304="","",G304-IF(H304="",0,H304))</f>
        <v/>
      </c>
    </row>
    <row r="305">
      <c r="A305" t="n">
        <v>302</v>
      </c>
      <c r="B305" s="8" t="n"/>
      <c r="C305" s="5" t="n"/>
      <c r="D305" s="5" t="n"/>
      <c r="E305" s="5" t="n"/>
      <c r="F305" s="6" t="n"/>
      <c r="G305" s="9">
        <f>IF(E305="","",E305*F305)</f>
        <v/>
      </c>
      <c r="H305" s="6" t="n"/>
      <c r="I305" s="9">
        <f>IF(G305="","",G305-IF(H305="",0,H305))</f>
        <v/>
      </c>
    </row>
    <row r="306">
      <c r="A306" t="n">
        <v>303</v>
      </c>
      <c r="B306" s="8" t="n"/>
      <c r="C306" s="5" t="n"/>
      <c r="D306" s="5" t="n"/>
      <c r="E306" s="5" t="n"/>
      <c r="F306" s="6" t="n"/>
      <c r="G306" s="9">
        <f>IF(E306="","",E306*F306)</f>
        <v/>
      </c>
      <c r="H306" s="6" t="n"/>
      <c r="I306" s="9">
        <f>IF(G306="","",G306-IF(H306="",0,H306))</f>
        <v/>
      </c>
    </row>
    <row r="307">
      <c r="A307" t="n">
        <v>304</v>
      </c>
      <c r="B307" s="8" t="n"/>
      <c r="C307" s="5" t="n"/>
      <c r="D307" s="5" t="n"/>
      <c r="E307" s="5" t="n"/>
      <c r="F307" s="6" t="n"/>
      <c r="G307" s="9">
        <f>IF(E307="","",E307*F307)</f>
        <v/>
      </c>
      <c r="H307" s="6" t="n"/>
      <c r="I307" s="9">
        <f>IF(G307="","",G307-IF(H307="",0,H307))</f>
        <v/>
      </c>
    </row>
    <row r="308">
      <c r="A308" t="n">
        <v>305</v>
      </c>
      <c r="B308" s="8" t="n"/>
      <c r="C308" s="5" t="n"/>
      <c r="D308" s="5" t="n"/>
      <c r="E308" s="5" t="n"/>
      <c r="F308" s="6" t="n"/>
      <c r="G308" s="9">
        <f>IF(E308="","",E308*F308)</f>
        <v/>
      </c>
      <c r="H308" s="6" t="n"/>
      <c r="I308" s="9">
        <f>IF(G308="","",G308-IF(H308="",0,H308))</f>
        <v/>
      </c>
    </row>
    <row r="309">
      <c r="A309" t="n">
        <v>306</v>
      </c>
      <c r="B309" s="8" t="n"/>
      <c r="C309" s="5" t="n"/>
      <c r="D309" s="5" t="n"/>
      <c r="E309" s="5" t="n"/>
      <c r="F309" s="6" t="n"/>
      <c r="G309" s="9">
        <f>IF(E309="","",E309*F309)</f>
        <v/>
      </c>
      <c r="H309" s="6" t="n"/>
      <c r="I309" s="9">
        <f>IF(G309="","",G309-IF(H309="",0,H309))</f>
        <v/>
      </c>
    </row>
    <row r="310">
      <c r="A310" t="n">
        <v>307</v>
      </c>
      <c r="B310" s="8" t="n"/>
      <c r="C310" s="5" t="n"/>
      <c r="D310" s="5" t="n"/>
      <c r="E310" s="5" t="n"/>
      <c r="F310" s="6" t="n"/>
      <c r="G310" s="9">
        <f>IF(E310="","",E310*F310)</f>
        <v/>
      </c>
      <c r="H310" s="6" t="n"/>
      <c r="I310" s="9">
        <f>IF(G310="","",G310-IF(H310="",0,H310))</f>
        <v/>
      </c>
    </row>
    <row r="311">
      <c r="A311" t="n">
        <v>308</v>
      </c>
      <c r="B311" s="8" t="n"/>
      <c r="C311" s="5" t="n"/>
      <c r="D311" s="5" t="n"/>
      <c r="E311" s="5" t="n"/>
      <c r="F311" s="6" t="n"/>
      <c r="G311" s="9">
        <f>IF(E311="","",E311*F311)</f>
        <v/>
      </c>
      <c r="H311" s="6" t="n"/>
      <c r="I311" s="9">
        <f>IF(G311="","",G311-IF(H311="",0,H311))</f>
        <v/>
      </c>
    </row>
    <row r="312">
      <c r="A312" t="n">
        <v>309</v>
      </c>
      <c r="B312" s="8" t="n"/>
      <c r="C312" s="5" t="n"/>
      <c r="D312" s="5" t="n"/>
      <c r="E312" s="5" t="n"/>
      <c r="F312" s="6" t="n"/>
      <c r="G312" s="9">
        <f>IF(E312="","",E312*F312)</f>
        <v/>
      </c>
      <c r="H312" s="6" t="n"/>
      <c r="I312" s="9">
        <f>IF(G312="","",G312-IF(H312="",0,H312))</f>
        <v/>
      </c>
    </row>
    <row r="313">
      <c r="A313" t="n">
        <v>310</v>
      </c>
      <c r="B313" s="8" t="n"/>
      <c r="C313" s="5" t="n"/>
      <c r="D313" s="5" t="n"/>
      <c r="E313" s="5" t="n"/>
      <c r="F313" s="6" t="n"/>
      <c r="G313" s="9">
        <f>IF(E313="","",E313*F313)</f>
        <v/>
      </c>
      <c r="H313" s="6" t="n"/>
      <c r="I313" s="9">
        <f>IF(G313="","",G313-IF(H313="",0,H313))</f>
        <v/>
      </c>
    </row>
    <row r="314">
      <c r="A314" t="n">
        <v>311</v>
      </c>
      <c r="B314" s="8" t="n"/>
      <c r="C314" s="5" t="n"/>
      <c r="D314" s="5" t="n"/>
      <c r="E314" s="5" t="n"/>
      <c r="F314" s="6" t="n"/>
      <c r="G314" s="9">
        <f>IF(E314="","",E314*F314)</f>
        <v/>
      </c>
      <c r="H314" s="6" t="n"/>
      <c r="I314" s="9">
        <f>IF(G314="","",G314-IF(H314="",0,H314))</f>
        <v/>
      </c>
    </row>
    <row r="315">
      <c r="A315" t="n">
        <v>312</v>
      </c>
      <c r="B315" s="8" t="n"/>
      <c r="C315" s="5" t="n"/>
      <c r="D315" s="5" t="n"/>
      <c r="E315" s="5" t="n"/>
      <c r="F315" s="6" t="n"/>
      <c r="G315" s="9">
        <f>IF(E315="","",E315*F315)</f>
        <v/>
      </c>
      <c r="H315" s="6" t="n"/>
      <c r="I315" s="9">
        <f>IF(G315="","",G315-IF(H315="",0,H315))</f>
        <v/>
      </c>
    </row>
    <row r="316">
      <c r="A316" t="n">
        <v>313</v>
      </c>
      <c r="B316" s="8" t="n"/>
      <c r="C316" s="5" t="n"/>
      <c r="D316" s="5" t="n"/>
      <c r="E316" s="5" t="n"/>
      <c r="F316" s="6" t="n"/>
      <c r="G316" s="9">
        <f>IF(E316="","",E316*F316)</f>
        <v/>
      </c>
      <c r="H316" s="6" t="n"/>
      <c r="I316" s="9">
        <f>IF(G316="","",G316-IF(H316="",0,H316))</f>
        <v/>
      </c>
    </row>
    <row r="317">
      <c r="A317" t="n">
        <v>314</v>
      </c>
      <c r="B317" s="8" t="n"/>
      <c r="C317" s="5" t="n"/>
      <c r="D317" s="5" t="n"/>
      <c r="E317" s="5" t="n"/>
      <c r="F317" s="6" t="n"/>
      <c r="G317" s="9">
        <f>IF(E317="","",E317*F317)</f>
        <v/>
      </c>
      <c r="H317" s="6" t="n"/>
      <c r="I317" s="9">
        <f>IF(G317="","",G317-IF(H317="",0,H317))</f>
        <v/>
      </c>
    </row>
    <row r="318">
      <c r="A318" t="n">
        <v>315</v>
      </c>
      <c r="B318" s="8" t="n"/>
      <c r="C318" s="5" t="n"/>
      <c r="D318" s="5" t="n"/>
      <c r="E318" s="5" t="n"/>
      <c r="F318" s="6" t="n"/>
      <c r="G318" s="9">
        <f>IF(E318="","",E318*F318)</f>
        <v/>
      </c>
      <c r="H318" s="6" t="n"/>
      <c r="I318" s="9">
        <f>IF(G318="","",G318-IF(H318="",0,H318))</f>
        <v/>
      </c>
    </row>
    <row r="319">
      <c r="A319" t="n">
        <v>316</v>
      </c>
      <c r="B319" s="8" t="n"/>
      <c r="C319" s="5" t="n"/>
      <c r="D319" s="5" t="n"/>
      <c r="E319" s="5" t="n"/>
      <c r="F319" s="6" t="n"/>
      <c r="G319" s="9">
        <f>IF(E319="","",E319*F319)</f>
        <v/>
      </c>
      <c r="H319" s="6" t="n"/>
      <c r="I319" s="9">
        <f>IF(G319="","",G319-IF(H319="",0,H319))</f>
        <v/>
      </c>
    </row>
    <row r="320">
      <c r="A320" t="n">
        <v>317</v>
      </c>
      <c r="B320" s="8" t="n"/>
      <c r="C320" s="5" t="n"/>
      <c r="D320" s="5" t="n"/>
      <c r="E320" s="5" t="n"/>
      <c r="F320" s="6" t="n"/>
      <c r="G320" s="9">
        <f>IF(E320="","",E320*F320)</f>
        <v/>
      </c>
      <c r="H320" s="6" t="n"/>
      <c r="I320" s="9">
        <f>IF(G320="","",G320-IF(H320="",0,H320))</f>
        <v/>
      </c>
    </row>
    <row r="321">
      <c r="A321" t="n">
        <v>318</v>
      </c>
      <c r="B321" s="8" t="n"/>
      <c r="C321" s="5" t="n"/>
      <c r="D321" s="5" t="n"/>
      <c r="E321" s="5" t="n"/>
      <c r="F321" s="6" t="n"/>
      <c r="G321" s="9">
        <f>IF(E321="","",E321*F321)</f>
        <v/>
      </c>
      <c r="H321" s="6" t="n"/>
      <c r="I321" s="9">
        <f>IF(G321="","",G321-IF(H321="",0,H321))</f>
        <v/>
      </c>
    </row>
    <row r="322">
      <c r="A322" t="n">
        <v>319</v>
      </c>
      <c r="B322" s="8" t="n"/>
      <c r="C322" s="5" t="n"/>
      <c r="D322" s="5" t="n"/>
      <c r="E322" s="5" t="n"/>
      <c r="F322" s="6" t="n"/>
      <c r="G322" s="9">
        <f>IF(E322="","",E322*F322)</f>
        <v/>
      </c>
      <c r="H322" s="6" t="n"/>
      <c r="I322" s="9">
        <f>IF(G322="","",G322-IF(H322="",0,H322))</f>
        <v/>
      </c>
    </row>
    <row r="323">
      <c r="A323" t="n">
        <v>320</v>
      </c>
      <c r="B323" s="8" t="n"/>
      <c r="C323" s="5" t="n"/>
      <c r="D323" s="5" t="n"/>
      <c r="E323" s="5" t="n"/>
      <c r="F323" s="6" t="n"/>
      <c r="G323" s="9">
        <f>IF(E323="","",E323*F323)</f>
        <v/>
      </c>
      <c r="H323" s="6" t="n"/>
      <c r="I323" s="9">
        <f>IF(G323="","",G323-IF(H323="",0,H323))</f>
        <v/>
      </c>
    </row>
    <row r="324">
      <c r="A324" t="n">
        <v>321</v>
      </c>
      <c r="B324" s="8" t="n"/>
      <c r="C324" s="5" t="n"/>
      <c r="D324" s="5" t="n"/>
      <c r="E324" s="5" t="n"/>
      <c r="F324" s="6" t="n"/>
      <c r="G324" s="9">
        <f>IF(E324="","",E324*F324)</f>
        <v/>
      </c>
      <c r="H324" s="6" t="n"/>
      <c r="I324" s="9">
        <f>IF(G324="","",G324-IF(H324="",0,H324))</f>
        <v/>
      </c>
    </row>
    <row r="325">
      <c r="A325" t="n">
        <v>322</v>
      </c>
      <c r="B325" s="8" t="n"/>
      <c r="C325" s="5" t="n"/>
      <c r="D325" s="5" t="n"/>
      <c r="E325" s="5" t="n"/>
      <c r="F325" s="6" t="n"/>
      <c r="G325" s="9">
        <f>IF(E325="","",E325*F325)</f>
        <v/>
      </c>
      <c r="H325" s="6" t="n"/>
      <c r="I325" s="9">
        <f>IF(G325="","",G325-IF(H325="",0,H325))</f>
        <v/>
      </c>
    </row>
    <row r="326">
      <c r="A326" t="n">
        <v>323</v>
      </c>
      <c r="B326" s="8" t="n"/>
      <c r="C326" s="5" t="n"/>
      <c r="D326" s="5" t="n"/>
      <c r="E326" s="5" t="n"/>
      <c r="F326" s="6" t="n"/>
      <c r="G326" s="9">
        <f>IF(E326="","",E326*F326)</f>
        <v/>
      </c>
      <c r="H326" s="6" t="n"/>
      <c r="I326" s="9">
        <f>IF(G326="","",G326-IF(H326="",0,H326))</f>
        <v/>
      </c>
    </row>
    <row r="327">
      <c r="A327" t="n">
        <v>324</v>
      </c>
      <c r="B327" s="8" t="n"/>
      <c r="C327" s="5" t="n"/>
      <c r="D327" s="5" t="n"/>
      <c r="E327" s="5" t="n"/>
      <c r="F327" s="6" t="n"/>
      <c r="G327" s="9">
        <f>IF(E327="","",E327*F327)</f>
        <v/>
      </c>
      <c r="H327" s="6" t="n"/>
      <c r="I327" s="9">
        <f>IF(G327="","",G327-IF(H327="",0,H327))</f>
        <v/>
      </c>
    </row>
    <row r="328">
      <c r="A328" t="n">
        <v>325</v>
      </c>
      <c r="B328" s="8" t="n"/>
      <c r="C328" s="5" t="n"/>
      <c r="D328" s="5" t="n"/>
      <c r="E328" s="5" t="n"/>
      <c r="F328" s="6" t="n"/>
      <c r="G328" s="9">
        <f>IF(E328="","",E328*F328)</f>
        <v/>
      </c>
      <c r="H328" s="6" t="n"/>
      <c r="I328" s="9">
        <f>IF(G328="","",G328-IF(H328="",0,H328))</f>
        <v/>
      </c>
    </row>
    <row r="329">
      <c r="A329" t="n">
        <v>326</v>
      </c>
      <c r="B329" s="8" t="n"/>
      <c r="C329" s="5" t="n"/>
      <c r="D329" s="5" t="n"/>
      <c r="E329" s="5" t="n"/>
      <c r="F329" s="6" t="n"/>
      <c r="G329" s="9">
        <f>IF(E329="","",E329*F329)</f>
        <v/>
      </c>
      <c r="H329" s="6" t="n"/>
      <c r="I329" s="9">
        <f>IF(G329="","",G329-IF(H329="",0,H329))</f>
        <v/>
      </c>
    </row>
    <row r="330">
      <c r="A330" t="n">
        <v>327</v>
      </c>
      <c r="B330" s="8" t="n"/>
      <c r="C330" s="5" t="n"/>
      <c r="D330" s="5" t="n"/>
      <c r="E330" s="5" t="n"/>
      <c r="F330" s="6" t="n"/>
      <c r="G330" s="9">
        <f>IF(E330="","",E330*F330)</f>
        <v/>
      </c>
      <c r="H330" s="6" t="n"/>
      <c r="I330" s="9">
        <f>IF(G330="","",G330-IF(H330="",0,H330))</f>
        <v/>
      </c>
    </row>
    <row r="331">
      <c r="A331" t="n">
        <v>328</v>
      </c>
      <c r="B331" s="8" t="n"/>
      <c r="C331" s="5" t="n"/>
      <c r="D331" s="5" t="n"/>
      <c r="E331" s="5" t="n"/>
      <c r="F331" s="6" t="n"/>
      <c r="G331" s="9">
        <f>IF(E331="","",E331*F331)</f>
        <v/>
      </c>
      <c r="H331" s="6" t="n"/>
      <c r="I331" s="9">
        <f>IF(G331="","",G331-IF(H331="",0,H331))</f>
        <v/>
      </c>
    </row>
    <row r="332">
      <c r="A332" t="n">
        <v>329</v>
      </c>
      <c r="B332" s="8" t="n"/>
      <c r="C332" s="5" t="n"/>
      <c r="D332" s="5" t="n"/>
      <c r="E332" s="5" t="n"/>
      <c r="F332" s="6" t="n"/>
      <c r="G332" s="9">
        <f>IF(E332="","",E332*F332)</f>
        <v/>
      </c>
      <c r="H332" s="6" t="n"/>
      <c r="I332" s="9">
        <f>IF(G332="","",G332-IF(H332="",0,H332))</f>
        <v/>
      </c>
    </row>
    <row r="333">
      <c r="A333" t="n">
        <v>330</v>
      </c>
      <c r="B333" s="8" t="n"/>
      <c r="C333" s="5" t="n"/>
      <c r="D333" s="5" t="n"/>
      <c r="E333" s="5" t="n"/>
      <c r="F333" s="6" t="n"/>
      <c r="G333" s="9">
        <f>IF(E333="","",E333*F333)</f>
        <v/>
      </c>
      <c r="H333" s="6" t="n"/>
      <c r="I333" s="9">
        <f>IF(G333="","",G333-IF(H333="",0,H333))</f>
        <v/>
      </c>
    </row>
    <row r="334">
      <c r="A334" t="n">
        <v>331</v>
      </c>
      <c r="B334" s="8" t="n"/>
      <c r="C334" s="5" t="n"/>
      <c r="D334" s="5" t="n"/>
      <c r="E334" s="5" t="n"/>
      <c r="F334" s="6" t="n"/>
      <c r="G334" s="9">
        <f>IF(E334="","",E334*F334)</f>
        <v/>
      </c>
      <c r="H334" s="6" t="n"/>
      <c r="I334" s="9">
        <f>IF(G334="","",G334-IF(H334="",0,H334))</f>
        <v/>
      </c>
    </row>
    <row r="335">
      <c r="A335" t="n">
        <v>332</v>
      </c>
      <c r="B335" s="8" t="n"/>
      <c r="C335" s="5" t="n"/>
      <c r="D335" s="5" t="n"/>
      <c r="E335" s="5" t="n"/>
      <c r="F335" s="6" t="n"/>
      <c r="G335" s="9">
        <f>IF(E335="","",E335*F335)</f>
        <v/>
      </c>
      <c r="H335" s="6" t="n"/>
      <c r="I335" s="9">
        <f>IF(G335="","",G335-IF(H335="",0,H335))</f>
        <v/>
      </c>
    </row>
    <row r="336">
      <c r="A336" t="n">
        <v>333</v>
      </c>
      <c r="B336" s="8" t="n"/>
      <c r="C336" s="5" t="n"/>
      <c r="D336" s="5" t="n"/>
      <c r="E336" s="5" t="n"/>
      <c r="F336" s="6" t="n"/>
      <c r="G336" s="9">
        <f>IF(E336="","",E336*F336)</f>
        <v/>
      </c>
      <c r="H336" s="6" t="n"/>
      <c r="I336" s="9">
        <f>IF(G336="","",G336-IF(H336="",0,H336))</f>
        <v/>
      </c>
    </row>
    <row r="337">
      <c r="A337" t="n">
        <v>334</v>
      </c>
      <c r="B337" s="8" t="n"/>
      <c r="C337" s="5" t="n"/>
      <c r="D337" s="5" t="n"/>
      <c r="E337" s="5" t="n"/>
      <c r="F337" s="6" t="n"/>
      <c r="G337" s="9">
        <f>IF(E337="","",E337*F337)</f>
        <v/>
      </c>
      <c r="H337" s="6" t="n"/>
      <c r="I337" s="9">
        <f>IF(G337="","",G337-IF(H337="",0,H337))</f>
        <v/>
      </c>
    </row>
    <row r="338">
      <c r="A338" t="n">
        <v>335</v>
      </c>
      <c r="B338" s="8" t="n"/>
      <c r="C338" s="5" t="n"/>
      <c r="D338" s="5" t="n"/>
      <c r="E338" s="5" t="n"/>
      <c r="F338" s="6" t="n"/>
      <c r="G338" s="9">
        <f>IF(E338="","",E338*F338)</f>
        <v/>
      </c>
      <c r="H338" s="6" t="n"/>
      <c r="I338" s="9">
        <f>IF(G338="","",G338-IF(H338="",0,H338))</f>
        <v/>
      </c>
    </row>
    <row r="339">
      <c r="A339" t="n">
        <v>336</v>
      </c>
      <c r="B339" s="8" t="n"/>
      <c r="C339" s="5" t="n"/>
      <c r="D339" s="5" t="n"/>
      <c r="E339" s="5" t="n"/>
      <c r="F339" s="6" t="n"/>
      <c r="G339" s="9">
        <f>IF(E339="","",E339*F339)</f>
        <v/>
      </c>
      <c r="H339" s="6" t="n"/>
      <c r="I339" s="9">
        <f>IF(G339="","",G339-IF(H339="",0,H339))</f>
        <v/>
      </c>
    </row>
    <row r="340">
      <c r="A340" t="n">
        <v>337</v>
      </c>
      <c r="B340" s="8" t="n"/>
      <c r="C340" s="5" t="n"/>
      <c r="D340" s="5" t="n"/>
      <c r="E340" s="5" t="n"/>
      <c r="F340" s="6" t="n"/>
      <c r="G340" s="9">
        <f>IF(E340="","",E340*F340)</f>
        <v/>
      </c>
      <c r="H340" s="6" t="n"/>
      <c r="I340" s="9">
        <f>IF(G340="","",G340-IF(H340="",0,H340))</f>
        <v/>
      </c>
    </row>
    <row r="341">
      <c r="A341" t="n">
        <v>338</v>
      </c>
      <c r="B341" s="8" t="n"/>
      <c r="C341" s="5" t="n"/>
      <c r="D341" s="5" t="n"/>
      <c r="E341" s="5" t="n"/>
      <c r="F341" s="6" t="n"/>
      <c r="G341" s="9">
        <f>IF(E341="","",E341*F341)</f>
        <v/>
      </c>
      <c r="H341" s="6" t="n"/>
      <c r="I341" s="9">
        <f>IF(G341="","",G341-IF(H341="",0,H341))</f>
        <v/>
      </c>
    </row>
    <row r="342">
      <c r="A342" t="n">
        <v>339</v>
      </c>
      <c r="B342" s="8" t="n"/>
      <c r="C342" s="5" t="n"/>
      <c r="D342" s="5" t="n"/>
      <c r="E342" s="5" t="n"/>
      <c r="F342" s="6" t="n"/>
      <c r="G342" s="9">
        <f>IF(E342="","",E342*F342)</f>
        <v/>
      </c>
      <c r="H342" s="6" t="n"/>
      <c r="I342" s="9">
        <f>IF(G342="","",G342-IF(H342="",0,H342))</f>
        <v/>
      </c>
    </row>
    <row r="343">
      <c r="A343" t="n">
        <v>340</v>
      </c>
      <c r="B343" s="8" t="n"/>
      <c r="C343" s="5" t="n"/>
      <c r="D343" s="5" t="n"/>
      <c r="E343" s="5" t="n"/>
      <c r="F343" s="6" t="n"/>
      <c r="G343" s="9">
        <f>IF(E343="","",E343*F343)</f>
        <v/>
      </c>
      <c r="H343" s="6" t="n"/>
      <c r="I343" s="9">
        <f>IF(G343="","",G343-IF(H343="",0,H343))</f>
        <v/>
      </c>
    </row>
    <row r="344">
      <c r="A344" t="n">
        <v>341</v>
      </c>
      <c r="B344" s="8" t="n"/>
      <c r="C344" s="5" t="n"/>
      <c r="D344" s="5" t="n"/>
      <c r="E344" s="5" t="n"/>
      <c r="F344" s="6" t="n"/>
      <c r="G344" s="9">
        <f>IF(E344="","",E344*F344)</f>
        <v/>
      </c>
      <c r="H344" s="6" t="n"/>
      <c r="I344" s="9">
        <f>IF(G344="","",G344-IF(H344="",0,H344))</f>
        <v/>
      </c>
    </row>
    <row r="345">
      <c r="A345" t="n">
        <v>342</v>
      </c>
      <c r="B345" s="8" t="n"/>
      <c r="C345" s="5" t="n"/>
      <c r="D345" s="5" t="n"/>
      <c r="E345" s="5" t="n"/>
      <c r="F345" s="6" t="n"/>
      <c r="G345" s="9">
        <f>IF(E345="","",E345*F345)</f>
        <v/>
      </c>
      <c r="H345" s="6" t="n"/>
      <c r="I345" s="9">
        <f>IF(G345="","",G345-IF(H345="",0,H345))</f>
        <v/>
      </c>
    </row>
    <row r="346">
      <c r="A346" t="n">
        <v>343</v>
      </c>
      <c r="B346" s="8" t="n"/>
      <c r="C346" s="5" t="n"/>
      <c r="D346" s="5" t="n"/>
      <c r="E346" s="5" t="n"/>
      <c r="F346" s="6" t="n"/>
      <c r="G346" s="9">
        <f>IF(E346="","",E346*F346)</f>
        <v/>
      </c>
      <c r="H346" s="6" t="n"/>
      <c r="I346" s="9">
        <f>IF(G346="","",G346-IF(H346="",0,H346))</f>
        <v/>
      </c>
    </row>
    <row r="347">
      <c r="A347" t="n">
        <v>344</v>
      </c>
      <c r="B347" s="8" t="n"/>
      <c r="C347" s="5" t="n"/>
      <c r="D347" s="5" t="n"/>
      <c r="E347" s="5" t="n"/>
      <c r="F347" s="6" t="n"/>
      <c r="G347" s="9">
        <f>IF(E347="","",E347*F347)</f>
        <v/>
      </c>
      <c r="H347" s="6" t="n"/>
      <c r="I347" s="9">
        <f>IF(G347="","",G347-IF(H347="",0,H347))</f>
        <v/>
      </c>
    </row>
    <row r="348">
      <c r="A348" t="n">
        <v>345</v>
      </c>
      <c r="B348" s="8" t="n"/>
      <c r="C348" s="5" t="n"/>
      <c r="D348" s="5" t="n"/>
      <c r="E348" s="5" t="n"/>
      <c r="F348" s="6" t="n"/>
      <c r="G348" s="9">
        <f>IF(E348="","",E348*F348)</f>
        <v/>
      </c>
      <c r="H348" s="6" t="n"/>
      <c r="I348" s="9">
        <f>IF(G348="","",G348-IF(H348="",0,H348))</f>
        <v/>
      </c>
    </row>
    <row r="349">
      <c r="A349" t="n">
        <v>346</v>
      </c>
      <c r="B349" s="8" t="n"/>
      <c r="C349" s="5" t="n"/>
      <c r="D349" s="5" t="n"/>
      <c r="E349" s="5" t="n"/>
      <c r="F349" s="6" t="n"/>
      <c r="G349" s="9">
        <f>IF(E349="","",E349*F349)</f>
        <v/>
      </c>
      <c r="H349" s="6" t="n"/>
      <c r="I349" s="9">
        <f>IF(G349="","",G349-IF(H349="",0,H349))</f>
        <v/>
      </c>
    </row>
    <row r="350">
      <c r="A350" t="n">
        <v>347</v>
      </c>
      <c r="B350" s="8" t="n"/>
      <c r="C350" s="5" t="n"/>
      <c r="D350" s="5" t="n"/>
      <c r="E350" s="5" t="n"/>
      <c r="F350" s="6" t="n"/>
      <c r="G350" s="9">
        <f>IF(E350="","",E350*F350)</f>
        <v/>
      </c>
      <c r="H350" s="6" t="n"/>
      <c r="I350" s="9">
        <f>IF(G350="","",G350-IF(H350="",0,H350))</f>
        <v/>
      </c>
    </row>
    <row r="351">
      <c r="A351" t="n">
        <v>348</v>
      </c>
      <c r="B351" s="8" t="n"/>
      <c r="C351" s="5" t="n"/>
      <c r="D351" s="5" t="n"/>
      <c r="E351" s="5" t="n"/>
      <c r="F351" s="6" t="n"/>
      <c r="G351" s="9">
        <f>IF(E351="","",E351*F351)</f>
        <v/>
      </c>
      <c r="H351" s="6" t="n"/>
      <c r="I351" s="9">
        <f>IF(G351="","",G351-IF(H351="",0,H351))</f>
        <v/>
      </c>
    </row>
    <row r="352">
      <c r="A352" t="n">
        <v>349</v>
      </c>
      <c r="B352" s="8" t="n"/>
      <c r="C352" s="5" t="n"/>
      <c r="D352" s="5" t="n"/>
      <c r="E352" s="5" t="n"/>
      <c r="F352" s="6" t="n"/>
      <c r="G352" s="9">
        <f>IF(E352="","",E352*F352)</f>
        <v/>
      </c>
      <c r="H352" s="6" t="n"/>
      <c r="I352" s="9">
        <f>IF(G352="","",G352-IF(H352="",0,H352))</f>
        <v/>
      </c>
    </row>
    <row r="353">
      <c r="A353" t="n">
        <v>350</v>
      </c>
      <c r="B353" s="8" t="n"/>
      <c r="C353" s="5" t="n"/>
      <c r="D353" s="5" t="n"/>
      <c r="E353" s="5" t="n"/>
      <c r="F353" s="6" t="n"/>
      <c r="G353" s="9">
        <f>IF(E353="","",E353*F353)</f>
        <v/>
      </c>
      <c r="H353" s="6" t="n"/>
      <c r="I353" s="9">
        <f>IF(G353="","",G353-IF(H353="",0,H353))</f>
        <v/>
      </c>
    </row>
    <row r="354">
      <c r="A354" t="n">
        <v>351</v>
      </c>
      <c r="B354" s="8" t="n"/>
      <c r="C354" s="5" t="n"/>
      <c r="D354" s="5" t="n"/>
      <c r="E354" s="5" t="n"/>
      <c r="F354" s="6" t="n"/>
      <c r="G354" s="9">
        <f>IF(E354="","",E354*F354)</f>
        <v/>
      </c>
      <c r="H354" s="6" t="n"/>
      <c r="I354" s="9">
        <f>IF(G354="","",G354-IF(H354="",0,H354))</f>
        <v/>
      </c>
    </row>
    <row r="355">
      <c r="A355" t="n">
        <v>352</v>
      </c>
      <c r="B355" s="8" t="n"/>
      <c r="C355" s="5" t="n"/>
      <c r="D355" s="5" t="n"/>
      <c r="E355" s="5" t="n"/>
      <c r="F355" s="6" t="n"/>
      <c r="G355" s="9">
        <f>IF(E355="","",E355*F355)</f>
        <v/>
      </c>
      <c r="H355" s="6" t="n"/>
      <c r="I355" s="9">
        <f>IF(G355="","",G355-IF(H355="",0,H355))</f>
        <v/>
      </c>
    </row>
    <row r="356">
      <c r="A356" t="n">
        <v>353</v>
      </c>
      <c r="B356" s="8" t="n"/>
      <c r="C356" s="5" t="n"/>
      <c r="D356" s="5" t="n"/>
      <c r="E356" s="5" t="n"/>
      <c r="F356" s="6" t="n"/>
      <c r="G356" s="9">
        <f>IF(E356="","",E356*F356)</f>
        <v/>
      </c>
      <c r="H356" s="6" t="n"/>
      <c r="I356" s="9">
        <f>IF(G356="","",G356-IF(H356="",0,H356))</f>
        <v/>
      </c>
    </row>
    <row r="357">
      <c r="A357" t="n">
        <v>354</v>
      </c>
      <c r="B357" s="8" t="n"/>
      <c r="C357" s="5" t="n"/>
      <c r="D357" s="5" t="n"/>
      <c r="E357" s="5" t="n"/>
      <c r="F357" s="6" t="n"/>
      <c r="G357" s="9">
        <f>IF(E357="","",E357*F357)</f>
        <v/>
      </c>
      <c r="H357" s="6" t="n"/>
      <c r="I357" s="9">
        <f>IF(G357="","",G357-IF(H357="",0,H357))</f>
        <v/>
      </c>
    </row>
    <row r="358">
      <c r="A358" t="n">
        <v>355</v>
      </c>
      <c r="B358" s="8" t="n"/>
      <c r="C358" s="5" t="n"/>
      <c r="D358" s="5" t="n"/>
      <c r="E358" s="5" t="n"/>
      <c r="F358" s="6" t="n"/>
      <c r="G358" s="9">
        <f>IF(E358="","",E358*F358)</f>
        <v/>
      </c>
      <c r="H358" s="6" t="n"/>
      <c r="I358" s="9">
        <f>IF(G358="","",G358-IF(H358="",0,H358))</f>
        <v/>
      </c>
    </row>
    <row r="359">
      <c r="A359" t="n">
        <v>356</v>
      </c>
      <c r="B359" s="8" t="n"/>
      <c r="C359" s="5" t="n"/>
      <c r="D359" s="5" t="n"/>
      <c r="E359" s="5" t="n"/>
      <c r="F359" s="6" t="n"/>
      <c r="G359" s="9">
        <f>IF(E359="","",E359*F359)</f>
        <v/>
      </c>
      <c r="H359" s="6" t="n"/>
      <c r="I359" s="9">
        <f>IF(G359="","",G359-IF(H359="",0,H359))</f>
        <v/>
      </c>
    </row>
    <row r="360">
      <c r="A360" t="n">
        <v>357</v>
      </c>
      <c r="B360" s="8" t="n"/>
      <c r="C360" s="5" t="n"/>
      <c r="D360" s="5" t="n"/>
      <c r="E360" s="5" t="n"/>
      <c r="F360" s="6" t="n"/>
      <c r="G360" s="9">
        <f>IF(E360="","",E360*F360)</f>
        <v/>
      </c>
      <c r="H360" s="6" t="n"/>
      <c r="I360" s="9">
        <f>IF(G360="","",G360-IF(H360="",0,H360))</f>
        <v/>
      </c>
    </row>
    <row r="361">
      <c r="A361" t="n">
        <v>358</v>
      </c>
      <c r="B361" s="8" t="n"/>
      <c r="C361" s="5" t="n"/>
      <c r="D361" s="5" t="n"/>
      <c r="E361" s="5" t="n"/>
      <c r="F361" s="6" t="n"/>
      <c r="G361" s="9">
        <f>IF(E361="","",E361*F361)</f>
        <v/>
      </c>
      <c r="H361" s="6" t="n"/>
      <c r="I361" s="9">
        <f>IF(G361="","",G361-IF(H361="",0,H361))</f>
        <v/>
      </c>
    </row>
    <row r="362">
      <c r="A362" t="n">
        <v>359</v>
      </c>
      <c r="B362" s="8" t="n"/>
      <c r="C362" s="5" t="n"/>
      <c r="D362" s="5" t="n"/>
      <c r="E362" s="5" t="n"/>
      <c r="F362" s="6" t="n"/>
      <c r="G362" s="9">
        <f>IF(E362="","",E362*F362)</f>
        <v/>
      </c>
      <c r="H362" s="6" t="n"/>
      <c r="I362" s="9">
        <f>IF(G362="","",G362-IF(H362="",0,H362))</f>
        <v/>
      </c>
    </row>
    <row r="363">
      <c r="A363" t="n">
        <v>360</v>
      </c>
      <c r="B363" s="8" t="n"/>
      <c r="C363" s="5" t="n"/>
      <c r="D363" s="5" t="n"/>
      <c r="E363" s="5" t="n"/>
      <c r="F363" s="6" t="n"/>
      <c r="G363" s="9">
        <f>IF(E363="","",E363*F363)</f>
        <v/>
      </c>
      <c r="H363" s="6" t="n"/>
      <c r="I363" s="9">
        <f>IF(G363="","",G363-IF(H363="",0,H363))</f>
        <v/>
      </c>
    </row>
    <row r="364">
      <c r="A364" t="n">
        <v>361</v>
      </c>
      <c r="B364" s="8" t="n"/>
      <c r="C364" s="5" t="n"/>
      <c r="D364" s="5" t="n"/>
      <c r="E364" s="5" t="n"/>
      <c r="F364" s="6" t="n"/>
      <c r="G364" s="9">
        <f>IF(E364="","",E364*F364)</f>
        <v/>
      </c>
      <c r="H364" s="6" t="n"/>
      <c r="I364" s="9">
        <f>IF(G364="","",G364-IF(H364="",0,H364))</f>
        <v/>
      </c>
    </row>
    <row r="365">
      <c r="A365" t="n">
        <v>362</v>
      </c>
      <c r="B365" s="8" t="n"/>
      <c r="C365" s="5" t="n"/>
      <c r="D365" s="5" t="n"/>
      <c r="E365" s="5" t="n"/>
      <c r="F365" s="6" t="n"/>
      <c r="G365" s="9">
        <f>IF(E365="","",E365*F365)</f>
        <v/>
      </c>
      <c r="H365" s="6" t="n"/>
      <c r="I365" s="9">
        <f>IF(G365="","",G365-IF(H365="",0,H365))</f>
        <v/>
      </c>
    </row>
    <row r="366">
      <c r="A366" t="n">
        <v>363</v>
      </c>
      <c r="B366" s="8" t="n"/>
      <c r="C366" s="5" t="n"/>
      <c r="D366" s="5" t="n"/>
      <c r="E366" s="5" t="n"/>
      <c r="F366" s="6" t="n"/>
      <c r="G366" s="9">
        <f>IF(E366="","",E366*F366)</f>
        <v/>
      </c>
      <c r="H366" s="6" t="n"/>
      <c r="I366" s="9">
        <f>IF(G366="","",G366-IF(H366="",0,H366))</f>
        <v/>
      </c>
    </row>
    <row r="367">
      <c r="A367" t="n">
        <v>364</v>
      </c>
      <c r="B367" s="8" t="n"/>
      <c r="C367" s="5" t="n"/>
      <c r="D367" s="5" t="n"/>
      <c r="E367" s="5" t="n"/>
      <c r="F367" s="6" t="n"/>
      <c r="G367" s="9">
        <f>IF(E367="","",E367*F367)</f>
        <v/>
      </c>
      <c r="H367" s="6" t="n"/>
      <c r="I367" s="9">
        <f>IF(G367="","",G367-IF(H367="",0,H367))</f>
        <v/>
      </c>
    </row>
    <row r="368">
      <c r="A368" t="n">
        <v>365</v>
      </c>
      <c r="B368" s="8" t="n"/>
      <c r="C368" s="5" t="n"/>
      <c r="D368" s="5" t="n"/>
      <c r="E368" s="5" t="n"/>
      <c r="F368" s="6" t="n"/>
      <c r="G368" s="9">
        <f>IF(E368="","",E368*F368)</f>
        <v/>
      </c>
      <c r="H368" s="6" t="n"/>
      <c r="I368" s="9">
        <f>IF(G368="","",G368-IF(H368="",0,H368))</f>
        <v/>
      </c>
    </row>
    <row r="369">
      <c r="A369" t="n">
        <v>366</v>
      </c>
      <c r="B369" s="8" t="n"/>
      <c r="C369" s="5" t="n"/>
      <c r="D369" s="5" t="n"/>
      <c r="E369" s="5" t="n"/>
      <c r="F369" s="6" t="n"/>
      <c r="G369" s="9">
        <f>IF(E369="","",E369*F369)</f>
        <v/>
      </c>
      <c r="H369" s="6" t="n"/>
      <c r="I369" s="9">
        <f>IF(G369="","",G369-IF(H369="",0,H369))</f>
        <v/>
      </c>
    </row>
    <row r="370">
      <c r="A370" t="n">
        <v>367</v>
      </c>
      <c r="B370" s="8" t="n"/>
      <c r="C370" s="5" t="n"/>
      <c r="D370" s="5" t="n"/>
      <c r="E370" s="5" t="n"/>
      <c r="F370" s="6" t="n"/>
      <c r="G370" s="9">
        <f>IF(E370="","",E370*F370)</f>
        <v/>
      </c>
      <c r="H370" s="6" t="n"/>
      <c r="I370" s="9">
        <f>IF(G370="","",G370-IF(H370="",0,H370))</f>
        <v/>
      </c>
    </row>
    <row r="371">
      <c r="A371" t="n">
        <v>368</v>
      </c>
      <c r="B371" s="8" t="n"/>
      <c r="C371" s="5" t="n"/>
      <c r="D371" s="5" t="n"/>
      <c r="E371" s="5" t="n"/>
      <c r="F371" s="6" t="n"/>
      <c r="G371" s="9">
        <f>IF(E371="","",E371*F371)</f>
        <v/>
      </c>
      <c r="H371" s="6" t="n"/>
      <c r="I371" s="9">
        <f>IF(G371="","",G371-IF(H371="",0,H371))</f>
        <v/>
      </c>
    </row>
    <row r="372">
      <c r="A372" t="n">
        <v>369</v>
      </c>
      <c r="B372" s="8" t="n"/>
      <c r="C372" s="5" t="n"/>
      <c r="D372" s="5" t="n"/>
      <c r="E372" s="5" t="n"/>
      <c r="F372" s="6" t="n"/>
      <c r="G372" s="9">
        <f>IF(E372="","",E372*F372)</f>
        <v/>
      </c>
      <c r="H372" s="6" t="n"/>
      <c r="I372" s="9">
        <f>IF(G372="","",G372-IF(H372="",0,H372))</f>
        <v/>
      </c>
    </row>
    <row r="373">
      <c r="A373" t="n">
        <v>370</v>
      </c>
      <c r="B373" s="8" t="n"/>
      <c r="C373" s="5" t="n"/>
      <c r="D373" s="5" t="n"/>
      <c r="E373" s="5" t="n"/>
      <c r="F373" s="6" t="n"/>
      <c r="G373" s="9">
        <f>IF(E373="","",E373*F373)</f>
        <v/>
      </c>
      <c r="H373" s="6" t="n"/>
      <c r="I373" s="9">
        <f>IF(G373="","",G373-IF(H373="",0,H373))</f>
        <v/>
      </c>
    </row>
    <row r="374">
      <c r="A374" t="n">
        <v>371</v>
      </c>
      <c r="B374" s="8" t="n"/>
      <c r="C374" s="5" t="n"/>
      <c r="D374" s="5" t="n"/>
      <c r="E374" s="5" t="n"/>
      <c r="F374" s="6" t="n"/>
      <c r="G374" s="9">
        <f>IF(E374="","",E374*F374)</f>
        <v/>
      </c>
      <c r="H374" s="6" t="n"/>
      <c r="I374" s="9">
        <f>IF(G374="","",G374-IF(H374="",0,H374))</f>
        <v/>
      </c>
    </row>
    <row r="375">
      <c r="A375" t="n">
        <v>372</v>
      </c>
      <c r="B375" s="8" t="n"/>
      <c r="C375" s="5" t="n"/>
      <c r="D375" s="5" t="n"/>
      <c r="E375" s="5" t="n"/>
      <c r="F375" s="6" t="n"/>
      <c r="G375" s="9">
        <f>IF(E375="","",E375*F375)</f>
        <v/>
      </c>
      <c r="H375" s="6" t="n"/>
      <c r="I375" s="9">
        <f>IF(G375="","",G375-IF(H375="",0,H375))</f>
        <v/>
      </c>
    </row>
    <row r="376">
      <c r="A376" t="n">
        <v>373</v>
      </c>
      <c r="B376" s="8" t="n"/>
      <c r="C376" s="5" t="n"/>
      <c r="D376" s="5" t="n"/>
      <c r="E376" s="5" t="n"/>
      <c r="F376" s="6" t="n"/>
      <c r="G376" s="9">
        <f>IF(E376="","",E376*F376)</f>
        <v/>
      </c>
      <c r="H376" s="6" t="n"/>
      <c r="I376" s="9">
        <f>IF(G376="","",G376-IF(H376="",0,H376))</f>
        <v/>
      </c>
    </row>
    <row r="377">
      <c r="A377" t="n">
        <v>374</v>
      </c>
      <c r="B377" s="8" t="n"/>
      <c r="C377" s="5" t="n"/>
      <c r="D377" s="5" t="n"/>
      <c r="E377" s="5" t="n"/>
      <c r="F377" s="6" t="n"/>
      <c r="G377" s="9">
        <f>IF(E377="","",E377*F377)</f>
        <v/>
      </c>
      <c r="H377" s="6" t="n"/>
      <c r="I377" s="9">
        <f>IF(G377="","",G377-IF(H377="",0,H377))</f>
        <v/>
      </c>
    </row>
    <row r="378">
      <c r="A378" t="n">
        <v>375</v>
      </c>
      <c r="B378" s="8" t="n"/>
      <c r="C378" s="5" t="n"/>
      <c r="D378" s="5" t="n"/>
      <c r="E378" s="5" t="n"/>
      <c r="F378" s="6" t="n"/>
      <c r="G378" s="9">
        <f>IF(E378="","",E378*F378)</f>
        <v/>
      </c>
      <c r="H378" s="6" t="n"/>
      <c r="I378" s="9">
        <f>IF(G378="","",G378-IF(H378="",0,H378))</f>
        <v/>
      </c>
    </row>
    <row r="379">
      <c r="A379" t="n">
        <v>376</v>
      </c>
      <c r="B379" s="8" t="n"/>
      <c r="C379" s="5" t="n"/>
      <c r="D379" s="5" t="n"/>
      <c r="E379" s="5" t="n"/>
      <c r="F379" s="6" t="n"/>
      <c r="G379" s="9">
        <f>IF(E379="","",E379*F379)</f>
        <v/>
      </c>
      <c r="H379" s="6" t="n"/>
      <c r="I379" s="9">
        <f>IF(G379="","",G379-IF(H379="",0,H379))</f>
        <v/>
      </c>
    </row>
    <row r="380">
      <c r="A380" t="n">
        <v>377</v>
      </c>
      <c r="B380" s="8" t="n"/>
      <c r="C380" s="5" t="n"/>
      <c r="D380" s="5" t="n"/>
      <c r="E380" s="5" t="n"/>
      <c r="F380" s="6" t="n"/>
      <c r="G380" s="9">
        <f>IF(E380="","",E380*F380)</f>
        <v/>
      </c>
      <c r="H380" s="6" t="n"/>
      <c r="I380" s="9">
        <f>IF(G380="","",G380-IF(H380="",0,H380))</f>
        <v/>
      </c>
    </row>
    <row r="381">
      <c r="A381" t="n">
        <v>378</v>
      </c>
      <c r="B381" s="8" t="n"/>
      <c r="C381" s="5" t="n"/>
      <c r="D381" s="5" t="n"/>
      <c r="E381" s="5" t="n"/>
      <c r="F381" s="6" t="n"/>
      <c r="G381" s="9">
        <f>IF(E381="","",E381*F381)</f>
        <v/>
      </c>
      <c r="H381" s="6" t="n"/>
      <c r="I381" s="9">
        <f>IF(G381="","",G381-IF(H381="",0,H381))</f>
        <v/>
      </c>
    </row>
    <row r="382">
      <c r="A382" t="n">
        <v>379</v>
      </c>
      <c r="B382" s="8" t="n"/>
      <c r="C382" s="5" t="n"/>
      <c r="D382" s="5" t="n"/>
      <c r="E382" s="5" t="n"/>
      <c r="F382" s="6" t="n"/>
      <c r="G382" s="9">
        <f>IF(E382="","",E382*F382)</f>
        <v/>
      </c>
      <c r="H382" s="6" t="n"/>
      <c r="I382" s="9">
        <f>IF(G382="","",G382-IF(H382="",0,H382))</f>
        <v/>
      </c>
    </row>
    <row r="383">
      <c r="A383" t="n">
        <v>380</v>
      </c>
      <c r="B383" s="8" t="n"/>
      <c r="C383" s="5" t="n"/>
      <c r="D383" s="5" t="n"/>
      <c r="E383" s="5" t="n"/>
      <c r="F383" s="6" t="n"/>
      <c r="G383" s="9">
        <f>IF(E383="","",E383*F383)</f>
        <v/>
      </c>
      <c r="H383" s="6" t="n"/>
      <c r="I383" s="9">
        <f>IF(G383="","",G383-IF(H383="",0,H383))</f>
        <v/>
      </c>
    </row>
    <row r="384">
      <c r="A384" t="n">
        <v>381</v>
      </c>
      <c r="B384" s="8" t="n"/>
      <c r="C384" s="5" t="n"/>
      <c r="D384" s="5" t="n"/>
      <c r="E384" s="5" t="n"/>
      <c r="F384" s="6" t="n"/>
      <c r="G384" s="9">
        <f>IF(E384="","",E384*F384)</f>
        <v/>
      </c>
      <c r="H384" s="6" t="n"/>
      <c r="I384" s="9">
        <f>IF(G384="","",G384-IF(H384="",0,H384))</f>
        <v/>
      </c>
    </row>
    <row r="385">
      <c r="A385" t="n">
        <v>382</v>
      </c>
      <c r="B385" s="8" t="n"/>
      <c r="C385" s="5" t="n"/>
      <c r="D385" s="5" t="n"/>
      <c r="E385" s="5" t="n"/>
      <c r="F385" s="6" t="n"/>
      <c r="G385" s="9">
        <f>IF(E385="","",E385*F385)</f>
        <v/>
      </c>
      <c r="H385" s="6" t="n"/>
      <c r="I385" s="9">
        <f>IF(G385="","",G385-IF(H385="",0,H385))</f>
        <v/>
      </c>
    </row>
    <row r="386">
      <c r="A386" t="n">
        <v>383</v>
      </c>
      <c r="B386" s="8" t="n"/>
      <c r="C386" s="5" t="n"/>
      <c r="D386" s="5" t="n"/>
      <c r="E386" s="5" t="n"/>
      <c r="F386" s="6" t="n"/>
      <c r="G386" s="9">
        <f>IF(E386="","",E386*F386)</f>
        <v/>
      </c>
      <c r="H386" s="6" t="n"/>
      <c r="I386" s="9">
        <f>IF(G386="","",G386-IF(H386="",0,H386))</f>
        <v/>
      </c>
    </row>
    <row r="387">
      <c r="A387" t="n">
        <v>384</v>
      </c>
      <c r="B387" s="8" t="n"/>
      <c r="C387" s="5" t="n"/>
      <c r="D387" s="5" t="n"/>
      <c r="E387" s="5" t="n"/>
      <c r="F387" s="6" t="n"/>
      <c r="G387" s="9">
        <f>IF(E387="","",E387*F387)</f>
        <v/>
      </c>
      <c r="H387" s="6" t="n"/>
      <c r="I387" s="9">
        <f>IF(G387="","",G387-IF(H387="",0,H387))</f>
        <v/>
      </c>
    </row>
    <row r="388">
      <c r="A388" t="n">
        <v>385</v>
      </c>
      <c r="B388" s="8" t="n"/>
      <c r="C388" s="5" t="n"/>
      <c r="D388" s="5" t="n"/>
      <c r="E388" s="5" t="n"/>
      <c r="F388" s="6" t="n"/>
      <c r="G388" s="9">
        <f>IF(E388="","",E388*F388)</f>
        <v/>
      </c>
      <c r="H388" s="6" t="n"/>
      <c r="I388" s="9">
        <f>IF(G388="","",G388-IF(H388="",0,H388))</f>
        <v/>
      </c>
    </row>
    <row r="389">
      <c r="A389" t="n">
        <v>386</v>
      </c>
      <c r="B389" s="8" t="n"/>
      <c r="C389" s="5" t="n"/>
      <c r="D389" s="5" t="n"/>
      <c r="E389" s="5" t="n"/>
      <c r="F389" s="6" t="n"/>
      <c r="G389" s="9">
        <f>IF(E389="","",E389*F389)</f>
        <v/>
      </c>
      <c r="H389" s="6" t="n"/>
      <c r="I389" s="9">
        <f>IF(G389="","",G389-IF(H389="",0,H389))</f>
        <v/>
      </c>
    </row>
    <row r="390">
      <c r="A390" t="n">
        <v>387</v>
      </c>
      <c r="B390" s="8" t="n"/>
      <c r="C390" s="5" t="n"/>
      <c r="D390" s="5" t="n"/>
      <c r="E390" s="5" t="n"/>
      <c r="F390" s="6" t="n"/>
      <c r="G390" s="9">
        <f>IF(E390="","",E390*F390)</f>
        <v/>
      </c>
      <c r="H390" s="6" t="n"/>
      <c r="I390" s="9">
        <f>IF(G390="","",G390-IF(H390="",0,H390))</f>
        <v/>
      </c>
    </row>
    <row r="391">
      <c r="A391" t="n">
        <v>388</v>
      </c>
      <c r="B391" s="8" t="n"/>
      <c r="C391" s="5" t="n"/>
      <c r="D391" s="5" t="n"/>
      <c r="E391" s="5" t="n"/>
      <c r="F391" s="6" t="n"/>
      <c r="G391" s="9">
        <f>IF(E391="","",E391*F391)</f>
        <v/>
      </c>
      <c r="H391" s="6" t="n"/>
      <c r="I391" s="9">
        <f>IF(G391="","",G391-IF(H391="",0,H391))</f>
        <v/>
      </c>
    </row>
    <row r="392">
      <c r="A392" t="n">
        <v>389</v>
      </c>
      <c r="B392" s="8" t="n"/>
      <c r="C392" s="5" t="n"/>
      <c r="D392" s="5" t="n"/>
      <c r="E392" s="5" t="n"/>
      <c r="F392" s="6" t="n"/>
      <c r="G392" s="9">
        <f>IF(E392="","",E392*F392)</f>
        <v/>
      </c>
      <c r="H392" s="6" t="n"/>
      <c r="I392" s="9">
        <f>IF(G392="","",G392-IF(H392="",0,H392))</f>
        <v/>
      </c>
    </row>
    <row r="393">
      <c r="A393" t="n">
        <v>390</v>
      </c>
      <c r="B393" s="8" t="n"/>
      <c r="C393" s="5" t="n"/>
      <c r="D393" s="5" t="n"/>
      <c r="E393" s="5" t="n"/>
      <c r="F393" s="6" t="n"/>
      <c r="G393" s="9">
        <f>IF(E393="","",E393*F393)</f>
        <v/>
      </c>
      <c r="H393" s="6" t="n"/>
      <c r="I393" s="9">
        <f>IF(G393="","",G393-IF(H393="",0,H393))</f>
        <v/>
      </c>
    </row>
    <row r="394">
      <c r="A394" t="n">
        <v>391</v>
      </c>
      <c r="B394" s="8" t="n"/>
      <c r="C394" s="5" t="n"/>
      <c r="D394" s="5" t="n"/>
      <c r="E394" s="5" t="n"/>
      <c r="F394" s="6" t="n"/>
      <c r="G394" s="9">
        <f>IF(E394="","",E394*F394)</f>
        <v/>
      </c>
      <c r="H394" s="6" t="n"/>
      <c r="I394" s="9">
        <f>IF(G394="","",G394-IF(H394="",0,H394))</f>
        <v/>
      </c>
    </row>
    <row r="395">
      <c r="A395" t="n">
        <v>392</v>
      </c>
      <c r="B395" s="8" t="n"/>
      <c r="C395" s="5" t="n"/>
      <c r="D395" s="5" t="n"/>
      <c r="E395" s="5" t="n"/>
      <c r="F395" s="6" t="n"/>
      <c r="G395" s="9">
        <f>IF(E395="","",E395*F395)</f>
        <v/>
      </c>
      <c r="H395" s="6" t="n"/>
      <c r="I395" s="9">
        <f>IF(G395="","",G395-IF(H395="",0,H395))</f>
        <v/>
      </c>
    </row>
    <row r="396">
      <c r="A396" t="n">
        <v>393</v>
      </c>
      <c r="B396" s="8" t="n"/>
      <c r="C396" s="5" t="n"/>
      <c r="D396" s="5" t="n"/>
      <c r="E396" s="5" t="n"/>
      <c r="F396" s="6" t="n"/>
      <c r="G396" s="9">
        <f>IF(E396="","",E396*F396)</f>
        <v/>
      </c>
      <c r="H396" s="6" t="n"/>
      <c r="I396" s="9">
        <f>IF(G396="","",G396-IF(H396="",0,H396))</f>
        <v/>
      </c>
    </row>
    <row r="397">
      <c r="A397" t="n">
        <v>394</v>
      </c>
      <c r="B397" s="8" t="n"/>
      <c r="C397" s="5" t="n"/>
      <c r="D397" s="5" t="n"/>
      <c r="E397" s="5" t="n"/>
      <c r="F397" s="6" t="n"/>
      <c r="G397" s="9">
        <f>IF(E397="","",E397*F397)</f>
        <v/>
      </c>
      <c r="H397" s="6" t="n"/>
      <c r="I397" s="9">
        <f>IF(G397="","",G397-IF(H397="",0,H397))</f>
        <v/>
      </c>
    </row>
    <row r="398">
      <c r="A398" t="n">
        <v>395</v>
      </c>
      <c r="B398" s="8" t="n"/>
      <c r="C398" s="5" t="n"/>
      <c r="D398" s="5" t="n"/>
      <c r="E398" s="5" t="n"/>
      <c r="F398" s="6" t="n"/>
      <c r="G398" s="9">
        <f>IF(E398="","",E398*F398)</f>
        <v/>
      </c>
      <c r="H398" s="6" t="n"/>
      <c r="I398" s="9">
        <f>IF(G398="","",G398-IF(H398="",0,H398))</f>
        <v/>
      </c>
    </row>
    <row r="399">
      <c r="A399" t="n">
        <v>396</v>
      </c>
      <c r="B399" s="8" t="n"/>
      <c r="C399" s="5" t="n"/>
      <c r="D399" s="5" t="n"/>
      <c r="E399" s="5" t="n"/>
      <c r="F399" s="6" t="n"/>
      <c r="G399" s="9">
        <f>IF(E399="","",E399*F399)</f>
        <v/>
      </c>
      <c r="H399" s="6" t="n"/>
      <c r="I399" s="9">
        <f>IF(G399="","",G399-IF(H399="",0,H399))</f>
        <v/>
      </c>
    </row>
    <row r="400">
      <c r="A400" t="n">
        <v>397</v>
      </c>
      <c r="B400" s="8" t="n"/>
      <c r="C400" s="5" t="n"/>
      <c r="D400" s="5" t="n"/>
      <c r="E400" s="5" t="n"/>
      <c r="F400" s="6" t="n"/>
      <c r="G400" s="9">
        <f>IF(E400="","",E400*F400)</f>
        <v/>
      </c>
      <c r="H400" s="6" t="n"/>
      <c r="I400" s="9">
        <f>IF(G400="","",G400-IF(H400="",0,H400))</f>
        <v/>
      </c>
    </row>
    <row r="401">
      <c r="A401" t="n">
        <v>398</v>
      </c>
      <c r="B401" s="8" t="n"/>
      <c r="C401" s="5" t="n"/>
      <c r="D401" s="5" t="n"/>
      <c r="E401" s="5" t="n"/>
      <c r="F401" s="6" t="n"/>
      <c r="G401" s="9">
        <f>IF(E401="","",E401*F401)</f>
        <v/>
      </c>
      <c r="H401" s="6" t="n"/>
      <c r="I401" s="9">
        <f>IF(G401="","",G401-IF(H401="",0,H401))</f>
        <v/>
      </c>
    </row>
    <row r="402">
      <c r="A402" t="n">
        <v>399</v>
      </c>
      <c r="B402" s="8" t="n"/>
      <c r="C402" s="5" t="n"/>
      <c r="D402" s="5" t="n"/>
      <c r="E402" s="5" t="n"/>
      <c r="F402" s="6" t="n"/>
      <c r="G402" s="9">
        <f>IF(E402="","",E402*F402)</f>
        <v/>
      </c>
      <c r="H402" s="6" t="n"/>
      <c r="I402" s="9">
        <f>IF(G402="","",G402-IF(H402="",0,H402))</f>
        <v/>
      </c>
    </row>
    <row r="403">
      <c r="A403" t="n">
        <v>400</v>
      </c>
      <c r="B403" s="8" t="n"/>
      <c r="C403" s="5" t="n"/>
      <c r="D403" s="5" t="n"/>
      <c r="E403" s="5" t="n"/>
      <c r="F403" s="6" t="n"/>
      <c r="G403" s="9">
        <f>IF(E403="","",E403*F403)</f>
        <v/>
      </c>
      <c r="H403" s="6" t="n"/>
      <c r="I403" s="9">
        <f>IF(G403="","",G403-IF(H403="",0,H403))</f>
        <v/>
      </c>
    </row>
    <row r="404">
      <c r="A404" t="n">
        <v>401</v>
      </c>
      <c r="B404" s="8" t="n"/>
      <c r="C404" s="5" t="n"/>
      <c r="D404" s="5" t="n"/>
      <c r="E404" s="5" t="n"/>
      <c r="F404" s="6" t="n"/>
      <c r="G404" s="9">
        <f>IF(E404="","",E404*F404)</f>
        <v/>
      </c>
      <c r="H404" s="6" t="n"/>
      <c r="I404" s="9">
        <f>IF(G404="","",G404-IF(H404="",0,H404))</f>
        <v/>
      </c>
    </row>
    <row r="405">
      <c r="A405" t="n">
        <v>402</v>
      </c>
      <c r="B405" s="8" t="n"/>
      <c r="C405" s="5" t="n"/>
      <c r="D405" s="5" t="n"/>
      <c r="E405" s="5" t="n"/>
      <c r="F405" s="6" t="n"/>
      <c r="G405" s="9">
        <f>IF(E405="","",E405*F405)</f>
        <v/>
      </c>
      <c r="H405" s="6" t="n"/>
      <c r="I405" s="9">
        <f>IF(G405="","",G405-IF(H405="",0,H405))</f>
        <v/>
      </c>
    </row>
    <row r="406">
      <c r="A406" t="n">
        <v>403</v>
      </c>
      <c r="B406" s="8" t="n"/>
      <c r="C406" s="5" t="n"/>
      <c r="D406" s="5" t="n"/>
      <c r="E406" s="5" t="n"/>
      <c r="F406" s="6" t="n"/>
      <c r="G406" s="9">
        <f>IF(E406="","",E406*F406)</f>
        <v/>
      </c>
      <c r="H406" s="6" t="n"/>
      <c r="I406" s="9">
        <f>IF(G406="","",G406-IF(H406="",0,H406))</f>
        <v/>
      </c>
    </row>
    <row r="407">
      <c r="A407" t="n">
        <v>404</v>
      </c>
      <c r="B407" s="8" t="n"/>
      <c r="C407" s="5" t="n"/>
      <c r="D407" s="5" t="n"/>
      <c r="E407" s="5" t="n"/>
      <c r="F407" s="6" t="n"/>
      <c r="G407" s="9">
        <f>IF(E407="","",E407*F407)</f>
        <v/>
      </c>
      <c r="H407" s="6" t="n"/>
      <c r="I407" s="9">
        <f>IF(G407="","",G407-IF(H407="",0,H407))</f>
        <v/>
      </c>
    </row>
    <row r="408">
      <c r="A408" t="n">
        <v>405</v>
      </c>
      <c r="B408" s="8" t="n"/>
      <c r="C408" s="5" t="n"/>
      <c r="D408" s="5" t="n"/>
      <c r="E408" s="5" t="n"/>
      <c r="F408" s="6" t="n"/>
      <c r="G408" s="9">
        <f>IF(E408="","",E408*F408)</f>
        <v/>
      </c>
      <c r="H408" s="6" t="n"/>
      <c r="I408" s="9">
        <f>IF(G408="","",G408-IF(H408="",0,H408))</f>
        <v/>
      </c>
    </row>
    <row r="409">
      <c r="A409" t="n">
        <v>406</v>
      </c>
      <c r="B409" s="8" t="n"/>
      <c r="C409" s="5" t="n"/>
      <c r="D409" s="5" t="n"/>
      <c r="E409" s="5" t="n"/>
      <c r="F409" s="6" t="n"/>
      <c r="G409" s="9">
        <f>IF(E409="","",E409*F409)</f>
        <v/>
      </c>
      <c r="H409" s="6" t="n"/>
      <c r="I409" s="9">
        <f>IF(G409="","",G409-IF(H409="",0,H409))</f>
        <v/>
      </c>
    </row>
    <row r="410">
      <c r="A410" t="n">
        <v>407</v>
      </c>
      <c r="B410" s="8" t="n"/>
      <c r="C410" s="5" t="n"/>
      <c r="D410" s="5" t="n"/>
      <c r="E410" s="5" t="n"/>
      <c r="F410" s="6" t="n"/>
      <c r="G410" s="9">
        <f>IF(E410="","",E410*F410)</f>
        <v/>
      </c>
      <c r="H410" s="6" t="n"/>
      <c r="I410" s="9">
        <f>IF(G410="","",G410-IF(H410="",0,H410))</f>
        <v/>
      </c>
    </row>
    <row r="411">
      <c r="A411" t="n">
        <v>408</v>
      </c>
      <c r="B411" s="8" t="n"/>
      <c r="C411" s="5" t="n"/>
      <c r="D411" s="5" t="n"/>
      <c r="E411" s="5" t="n"/>
      <c r="F411" s="6" t="n"/>
      <c r="G411" s="9">
        <f>IF(E411="","",E411*F411)</f>
        <v/>
      </c>
      <c r="H411" s="6" t="n"/>
      <c r="I411" s="9">
        <f>IF(G411="","",G411-IF(H411="",0,H411))</f>
        <v/>
      </c>
    </row>
    <row r="412">
      <c r="A412" t="n">
        <v>409</v>
      </c>
      <c r="B412" s="8" t="n"/>
      <c r="C412" s="5" t="n"/>
      <c r="D412" s="5" t="n"/>
      <c r="E412" s="5" t="n"/>
      <c r="F412" s="6" t="n"/>
      <c r="G412" s="9">
        <f>IF(E412="","",E412*F412)</f>
        <v/>
      </c>
      <c r="H412" s="6" t="n"/>
      <c r="I412" s="9">
        <f>IF(G412="","",G412-IF(H412="",0,H412))</f>
        <v/>
      </c>
    </row>
    <row r="413">
      <c r="A413" t="n">
        <v>410</v>
      </c>
      <c r="B413" s="8" t="n"/>
      <c r="C413" s="5" t="n"/>
      <c r="D413" s="5" t="n"/>
      <c r="E413" s="5" t="n"/>
      <c r="F413" s="6" t="n"/>
      <c r="G413" s="9">
        <f>IF(E413="","",E413*F413)</f>
        <v/>
      </c>
      <c r="H413" s="6" t="n"/>
      <c r="I413" s="9">
        <f>IF(G413="","",G413-IF(H413="",0,H413))</f>
        <v/>
      </c>
    </row>
    <row r="414">
      <c r="A414" t="n">
        <v>411</v>
      </c>
      <c r="B414" s="8" t="n"/>
      <c r="C414" s="5" t="n"/>
      <c r="D414" s="5" t="n"/>
      <c r="E414" s="5" t="n"/>
      <c r="F414" s="6" t="n"/>
      <c r="G414" s="9">
        <f>IF(E414="","",E414*F414)</f>
        <v/>
      </c>
      <c r="H414" s="6" t="n"/>
      <c r="I414" s="9">
        <f>IF(G414="","",G414-IF(H414="",0,H414))</f>
        <v/>
      </c>
    </row>
    <row r="415">
      <c r="A415" t="n">
        <v>412</v>
      </c>
      <c r="B415" s="8" t="n"/>
      <c r="C415" s="5" t="n"/>
      <c r="D415" s="5" t="n"/>
      <c r="E415" s="5" t="n"/>
      <c r="F415" s="6" t="n"/>
      <c r="G415" s="9">
        <f>IF(E415="","",E415*F415)</f>
        <v/>
      </c>
      <c r="H415" s="6" t="n"/>
      <c r="I415" s="9">
        <f>IF(G415="","",G415-IF(H415="",0,H415))</f>
        <v/>
      </c>
    </row>
    <row r="416">
      <c r="A416" t="n">
        <v>413</v>
      </c>
      <c r="B416" s="8" t="n"/>
      <c r="C416" s="5" t="n"/>
      <c r="D416" s="5" t="n"/>
      <c r="E416" s="5" t="n"/>
      <c r="F416" s="6" t="n"/>
      <c r="G416" s="9">
        <f>IF(E416="","",E416*F416)</f>
        <v/>
      </c>
      <c r="H416" s="6" t="n"/>
      <c r="I416" s="9">
        <f>IF(G416="","",G416-IF(H416="",0,H416))</f>
        <v/>
      </c>
    </row>
    <row r="417">
      <c r="A417" t="n">
        <v>414</v>
      </c>
      <c r="B417" s="8" t="n"/>
      <c r="C417" s="5" t="n"/>
      <c r="D417" s="5" t="n"/>
      <c r="E417" s="5" t="n"/>
      <c r="F417" s="6" t="n"/>
      <c r="G417" s="9">
        <f>IF(E417="","",E417*F417)</f>
        <v/>
      </c>
      <c r="H417" s="6" t="n"/>
      <c r="I417" s="9">
        <f>IF(G417="","",G417-IF(H417="",0,H417))</f>
        <v/>
      </c>
    </row>
    <row r="418">
      <c r="A418" t="n">
        <v>415</v>
      </c>
      <c r="B418" s="8" t="n"/>
      <c r="C418" s="5" t="n"/>
      <c r="D418" s="5" t="n"/>
      <c r="E418" s="5" t="n"/>
      <c r="F418" s="6" t="n"/>
      <c r="G418" s="9">
        <f>IF(E418="","",E418*F418)</f>
        <v/>
      </c>
      <c r="H418" s="6" t="n"/>
      <c r="I418" s="9">
        <f>IF(G418="","",G418-IF(H418="",0,H418))</f>
        <v/>
      </c>
    </row>
    <row r="419">
      <c r="A419" t="n">
        <v>416</v>
      </c>
      <c r="B419" s="8" t="n"/>
      <c r="C419" s="5" t="n"/>
      <c r="D419" s="5" t="n"/>
      <c r="E419" s="5" t="n"/>
      <c r="F419" s="6" t="n"/>
      <c r="G419" s="9">
        <f>IF(E419="","",E419*F419)</f>
        <v/>
      </c>
      <c r="H419" s="6" t="n"/>
      <c r="I419" s="9">
        <f>IF(G419="","",G419-IF(H419="",0,H419))</f>
        <v/>
      </c>
    </row>
    <row r="420">
      <c r="A420" t="n">
        <v>417</v>
      </c>
      <c r="B420" s="8" t="n"/>
      <c r="C420" s="5" t="n"/>
      <c r="D420" s="5" t="n"/>
      <c r="E420" s="5" t="n"/>
      <c r="F420" s="6" t="n"/>
      <c r="G420" s="9">
        <f>IF(E420="","",E420*F420)</f>
        <v/>
      </c>
      <c r="H420" s="6" t="n"/>
      <c r="I420" s="9">
        <f>IF(G420="","",G420-IF(H420="",0,H420))</f>
        <v/>
      </c>
    </row>
    <row r="421">
      <c r="A421" t="n">
        <v>418</v>
      </c>
      <c r="B421" s="8" t="n"/>
      <c r="C421" s="5" t="n"/>
      <c r="D421" s="5" t="n"/>
      <c r="E421" s="5" t="n"/>
      <c r="F421" s="6" t="n"/>
      <c r="G421" s="9">
        <f>IF(E421="","",E421*F421)</f>
        <v/>
      </c>
      <c r="H421" s="6" t="n"/>
      <c r="I421" s="9">
        <f>IF(G421="","",G421-IF(H421="",0,H421))</f>
        <v/>
      </c>
    </row>
    <row r="422">
      <c r="A422" t="n">
        <v>419</v>
      </c>
      <c r="B422" s="8" t="n"/>
      <c r="C422" s="5" t="n"/>
      <c r="D422" s="5" t="n"/>
      <c r="E422" s="5" t="n"/>
      <c r="F422" s="6" t="n"/>
      <c r="G422" s="9">
        <f>IF(E422="","",E422*F422)</f>
        <v/>
      </c>
      <c r="H422" s="6" t="n"/>
      <c r="I422" s="9">
        <f>IF(G422="","",G422-IF(H422="",0,H422))</f>
        <v/>
      </c>
    </row>
    <row r="423">
      <c r="A423" t="n">
        <v>420</v>
      </c>
      <c r="B423" s="8" t="n"/>
      <c r="C423" s="5" t="n"/>
      <c r="D423" s="5" t="n"/>
      <c r="E423" s="5" t="n"/>
      <c r="F423" s="6" t="n"/>
      <c r="G423" s="9">
        <f>IF(E423="","",E423*F423)</f>
        <v/>
      </c>
      <c r="H423" s="6" t="n"/>
      <c r="I423" s="9">
        <f>IF(G423="","",G423-IF(H423="",0,H423))</f>
        <v/>
      </c>
    </row>
    <row r="424">
      <c r="A424" t="n">
        <v>421</v>
      </c>
      <c r="B424" s="8" t="n"/>
      <c r="C424" s="5" t="n"/>
      <c r="D424" s="5" t="n"/>
      <c r="E424" s="5" t="n"/>
      <c r="F424" s="6" t="n"/>
      <c r="G424" s="9">
        <f>IF(E424="","",E424*F424)</f>
        <v/>
      </c>
      <c r="H424" s="6" t="n"/>
      <c r="I424" s="9">
        <f>IF(G424="","",G424-IF(H424="",0,H424))</f>
        <v/>
      </c>
    </row>
    <row r="425">
      <c r="A425" t="n">
        <v>422</v>
      </c>
      <c r="B425" s="8" t="n"/>
      <c r="C425" s="5" t="n"/>
      <c r="D425" s="5" t="n"/>
      <c r="E425" s="5" t="n"/>
      <c r="F425" s="6" t="n"/>
      <c r="G425" s="9">
        <f>IF(E425="","",E425*F425)</f>
        <v/>
      </c>
      <c r="H425" s="6" t="n"/>
      <c r="I425" s="9">
        <f>IF(G425="","",G425-IF(H425="",0,H425))</f>
        <v/>
      </c>
    </row>
    <row r="426">
      <c r="A426" t="n">
        <v>423</v>
      </c>
      <c r="B426" s="8" t="n"/>
      <c r="C426" s="5" t="n"/>
      <c r="D426" s="5" t="n"/>
      <c r="E426" s="5" t="n"/>
      <c r="F426" s="6" t="n"/>
      <c r="G426" s="9">
        <f>IF(E426="","",E426*F426)</f>
        <v/>
      </c>
      <c r="H426" s="6" t="n"/>
      <c r="I426" s="9">
        <f>IF(G426="","",G426-IF(H426="",0,H426))</f>
        <v/>
      </c>
    </row>
    <row r="427">
      <c r="A427" t="n">
        <v>424</v>
      </c>
      <c r="B427" s="8" t="n"/>
      <c r="C427" s="5" t="n"/>
      <c r="D427" s="5" t="n"/>
      <c r="E427" s="5" t="n"/>
      <c r="F427" s="6" t="n"/>
      <c r="G427" s="9">
        <f>IF(E427="","",E427*F427)</f>
        <v/>
      </c>
      <c r="H427" s="6" t="n"/>
      <c r="I427" s="9">
        <f>IF(G427="","",G427-IF(H427="",0,H427))</f>
        <v/>
      </c>
    </row>
    <row r="428">
      <c r="A428" t="n">
        <v>425</v>
      </c>
      <c r="B428" s="8" t="n"/>
      <c r="C428" s="5" t="n"/>
      <c r="D428" s="5" t="n"/>
      <c r="E428" s="5" t="n"/>
      <c r="F428" s="6" t="n"/>
      <c r="G428" s="9">
        <f>IF(E428="","",E428*F428)</f>
        <v/>
      </c>
      <c r="H428" s="6" t="n"/>
      <c r="I428" s="9">
        <f>IF(G428="","",G428-IF(H428="",0,H428))</f>
        <v/>
      </c>
    </row>
    <row r="429">
      <c r="A429" t="n">
        <v>426</v>
      </c>
      <c r="B429" s="8" t="n"/>
      <c r="C429" s="5" t="n"/>
      <c r="D429" s="5" t="n"/>
      <c r="E429" s="5" t="n"/>
      <c r="F429" s="6" t="n"/>
      <c r="G429" s="9">
        <f>IF(E429="","",E429*F429)</f>
        <v/>
      </c>
      <c r="H429" s="6" t="n"/>
      <c r="I429" s="9">
        <f>IF(G429="","",G429-IF(H429="",0,H429))</f>
        <v/>
      </c>
    </row>
    <row r="430">
      <c r="A430" t="n">
        <v>427</v>
      </c>
      <c r="B430" s="8" t="n"/>
      <c r="C430" s="5" t="n"/>
      <c r="D430" s="5" t="n"/>
      <c r="E430" s="5" t="n"/>
      <c r="F430" s="6" t="n"/>
      <c r="G430" s="9">
        <f>IF(E430="","",E430*F430)</f>
        <v/>
      </c>
      <c r="H430" s="6" t="n"/>
      <c r="I430" s="9">
        <f>IF(G430="","",G430-IF(H430="",0,H430))</f>
        <v/>
      </c>
    </row>
    <row r="431">
      <c r="A431" t="n">
        <v>428</v>
      </c>
      <c r="B431" s="8" t="n"/>
      <c r="C431" s="5" t="n"/>
      <c r="D431" s="5" t="n"/>
      <c r="E431" s="5" t="n"/>
      <c r="F431" s="6" t="n"/>
      <c r="G431" s="9">
        <f>IF(E431="","",E431*F431)</f>
        <v/>
      </c>
      <c r="H431" s="6" t="n"/>
      <c r="I431" s="9">
        <f>IF(G431="","",G431-IF(H431="",0,H431))</f>
        <v/>
      </c>
    </row>
    <row r="432">
      <c r="A432" t="n">
        <v>429</v>
      </c>
      <c r="B432" s="8" t="n"/>
      <c r="C432" s="5" t="n"/>
      <c r="D432" s="5" t="n"/>
      <c r="E432" s="5" t="n"/>
      <c r="F432" s="6" t="n"/>
      <c r="G432" s="9">
        <f>IF(E432="","",E432*F432)</f>
        <v/>
      </c>
      <c r="H432" s="6" t="n"/>
      <c r="I432" s="9">
        <f>IF(G432="","",G432-IF(H432="",0,H432))</f>
        <v/>
      </c>
    </row>
    <row r="433">
      <c r="A433" t="n">
        <v>430</v>
      </c>
      <c r="B433" s="8" t="n"/>
      <c r="C433" s="5" t="n"/>
      <c r="D433" s="5" t="n"/>
      <c r="E433" s="5" t="n"/>
      <c r="F433" s="6" t="n"/>
      <c r="G433" s="9">
        <f>IF(E433="","",E433*F433)</f>
        <v/>
      </c>
      <c r="H433" s="6" t="n"/>
      <c r="I433" s="9">
        <f>IF(G433="","",G433-IF(H433="",0,H433))</f>
        <v/>
      </c>
    </row>
    <row r="434">
      <c r="A434" t="n">
        <v>431</v>
      </c>
      <c r="B434" s="8" t="n"/>
      <c r="C434" s="5" t="n"/>
      <c r="D434" s="5" t="n"/>
      <c r="E434" s="5" t="n"/>
      <c r="F434" s="6" t="n"/>
      <c r="G434" s="9">
        <f>IF(E434="","",E434*F434)</f>
        <v/>
      </c>
      <c r="H434" s="6" t="n"/>
      <c r="I434" s="9">
        <f>IF(G434="","",G434-IF(H434="",0,H434))</f>
        <v/>
      </c>
    </row>
    <row r="435">
      <c r="A435" t="n">
        <v>432</v>
      </c>
      <c r="B435" s="8" t="n"/>
      <c r="C435" s="5" t="n"/>
      <c r="D435" s="5" t="n"/>
      <c r="E435" s="5" t="n"/>
      <c r="F435" s="6" t="n"/>
      <c r="G435" s="9">
        <f>IF(E435="","",E435*F435)</f>
        <v/>
      </c>
      <c r="H435" s="6" t="n"/>
      <c r="I435" s="9">
        <f>IF(G435="","",G435-IF(H435="",0,H435))</f>
        <v/>
      </c>
    </row>
    <row r="436">
      <c r="A436" t="n">
        <v>433</v>
      </c>
      <c r="B436" s="8" t="n"/>
      <c r="C436" s="5" t="n"/>
      <c r="D436" s="5" t="n"/>
      <c r="E436" s="5" t="n"/>
      <c r="F436" s="6" t="n"/>
      <c r="G436" s="9">
        <f>IF(E436="","",E436*F436)</f>
        <v/>
      </c>
      <c r="H436" s="6" t="n"/>
      <c r="I436" s="9">
        <f>IF(G436="","",G436-IF(H436="",0,H436))</f>
        <v/>
      </c>
    </row>
    <row r="437">
      <c r="A437" t="n">
        <v>434</v>
      </c>
      <c r="B437" s="8" t="n"/>
      <c r="C437" s="5" t="n"/>
      <c r="D437" s="5" t="n"/>
      <c r="E437" s="5" t="n"/>
      <c r="F437" s="6" t="n"/>
      <c r="G437" s="9">
        <f>IF(E437="","",E437*F437)</f>
        <v/>
      </c>
      <c r="H437" s="6" t="n"/>
      <c r="I437" s="9">
        <f>IF(G437="","",G437-IF(H437="",0,H437))</f>
        <v/>
      </c>
    </row>
    <row r="438">
      <c r="A438" t="n">
        <v>435</v>
      </c>
      <c r="B438" s="8" t="n"/>
      <c r="C438" s="5" t="n"/>
      <c r="D438" s="5" t="n"/>
      <c r="E438" s="5" t="n"/>
      <c r="F438" s="6" t="n"/>
      <c r="G438" s="9">
        <f>IF(E438="","",E438*F438)</f>
        <v/>
      </c>
      <c r="H438" s="6" t="n"/>
      <c r="I438" s="9">
        <f>IF(G438="","",G438-IF(H438="",0,H438))</f>
        <v/>
      </c>
    </row>
    <row r="439">
      <c r="A439" t="n">
        <v>436</v>
      </c>
      <c r="B439" s="8" t="n"/>
      <c r="C439" s="5" t="n"/>
      <c r="D439" s="5" t="n"/>
      <c r="E439" s="5" t="n"/>
      <c r="F439" s="6" t="n"/>
      <c r="G439" s="9">
        <f>IF(E439="","",E439*F439)</f>
        <v/>
      </c>
      <c r="H439" s="6" t="n"/>
      <c r="I439" s="9">
        <f>IF(G439="","",G439-IF(H439="",0,H439))</f>
        <v/>
      </c>
    </row>
    <row r="440">
      <c r="A440" t="n">
        <v>437</v>
      </c>
      <c r="B440" s="8" t="n"/>
      <c r="C440" s="5" t="n"/>
      <c r="D440" s="5" t="n"/>
      <c r="E440" s="5" t="n"/>
      <c r="F440" s="6" t="n"/>
      <c r="G440" s="9">
        <f>IF(E440="","",E440*F440)</f>
        <v/>
      </c>
      <c r="H440" s="6" t="n"/>
      <c r="I440" s="9">
        <f>IF(G440="","",G440-IF(H440="",0,H440))</f>
        <v/>
      </c>
    </row>
    <row r="441">
      <c r="A441" t="n">
        <v>438</v>
      </c>
      <c r="B441" s="8" t="n"/>
      <c r="C441" s="5" t="n"/>
      <c r="D441" s="5" t="n"/>
      <c r="E441" s="5" t="n"/>
      <c r="F441" s="6" t="n"/>
      <c r="G441" s="9">
        <f>IF(E441="","",E441*F441)</f>
        <v/>
      </c>
      <c r="H441" s="6" t="n"/>
      <c r="I441" s="9">
        <f>IF(G441="","",G441-IF(H441="",0,H441))</f>
        <v/>
      </c>
    </row>
    <row r="442">
      <c r="A442" t="n">
        <v>439</v>
      </c>
      <c r="B442" s="8" t="n"/>
      <c r="C442" s="5" t="n"/>
      <c r="D442" s="5" t="n"/>
      <c r="E442" s="5" t="n"/>
      <c r="F442" s="6" t="n"/>
      <c r="G442" s="9">
        <f>IF(E442="","",E442*F442)</f>
        <v/>
      </c>
      <c r="H442" s="6" t="n"/>
      <c r="I442" s="9">
        <f>IF(G442="","",G442-IF(H442="",0,H442))</f>
        <v/>
      </c>
    </row>
    <row r="443">
      <c r="A443" t="n">
        <v>440</v>
      </c>
      <c r="B443" s="8" t="n"/>
      <c r="C443" s="5" t="n"/>
      <c r="D443" s="5" t="n"/>
      <c r="E443" s="5" t="n"/>
      <c r="F443" s="6" t="n"/>
      <c r="G443" s="9">
        <f>IF(E443="","",E443*F443)</f>
        <v/>
      </c>
      <c r="H443" s="6" t="n"/>
      <c r="I443" s="9">
        <f>IF(G443="","",G443-IF(H443="",0,H443))</f>
        <v/>
      </c>
    </row>
    <row r="444">
      <c r="A444" t="n">
        <v>441</v>
      </c>
      <c r="B444" s="8" t="n"/>
      <c r="C444" s="5" t="n"/>
      <c r="D444" s="5" t="n"/>
      <c r="E444" s="5" t="n"/>
      <c r="F444" s="6" t="n"/>
      <c r="G444" s="9">
        <f>IF(E444="","",E444*F444)</f>
        <v/>
      </c>
      <c r="H444" s="6" t="n"/>
      <c r="I444" s="9">
        <f>IF(G444="","",G444-IF(H444="",0,H444))</f>
        <v/>
      </c>
    </row>
    <row r="445">
      <c r="A445" t="n">
        <v>442</v>
      </c>
      <c r="B445" s="8" t="n"/>
      <c r="C445" s="5" t="n"/>
      <c r="D445" s="5" t="n"/>
      <c r="E445" s="5" t="n"/>
      <c r="F445" s="6" t="n"/>
      <c r="G445" s="9">
        <f>IF(E445="","",E445*F445)</f>
        <v/>
      </c>
      <c r="H445" s="6" t="n"/>
      <c r="I445" s="9">
        <f>IF(G445="","",G445-IF(H445="",0,H445))</f>
        <v/>
      </c>
    </row>
    <row r="446">
      <c r="A446" t="n">
        <v>443</v>
      </c>
      <c r="B446" s="8" t="n"/>
      <c r="C446" s="5" t="n"/>
      <c r="D446" s="5" t="n"/>
      <c r="E446" s="5" t="n"/>
      <c r="F446" s="6" t="n"/>
      <c r="G446" s="9">
        <f>IF(E446="","",E446*F446)</f>
        <v/>
      </c>
      <c r="H446" s="6" t="n"/>
      <c r="I446" s="9">
        <f>IF(G446="","",G446-IF(H446="",0,H446))</f>
        <v/>
      </c>
    </row>
    <row r="447">
      <c r="A447" t="n">
        <v>444</v>
      </c>
      <c r="B447" s="8" t="n"/>
      <c r="C447" s="5" t="n"/>
      <c r="D447" s="5" t="n"/>
      <c r="E447" s="5" t="n"/>
      <c r="F447" s="6" t="n"/>
      <c r="G447" s="9">
        <f>IF(E447="","",E447*F447)</f>
        <v/>
      </c>
      <c r="H447" s="6" t="n"/>
      <c r="I447" s="9">
        <f>IF(G447="","",G447-IF(H447="",0,H447))</f>
        <v/>
      </c>
    </row>
    <row r="448">
      <c r="A448" t="n">
        <v>445</v>
      </c>
      <c r="B448" s="8" t="n"/>
      <c r="C448" s="5" t="n"/>
      <c r="D448" s="5" t="n"/>
      <c r="E448" s="5" t="n"/>
      <c r="F448" s="6" t="n"/>
      <c r="G448" s="9">
        <f>IF(E448="","",E448*F448)</f>
        <v/>
      </c>
      <c r="H448" s="6" t="n"/>
      <c r="I448" s="9">
        <f>IF(G448="","",G448-IF(H448="",0,H448))</f>
        <v/>
      </c>
    </row>
    <row r="449">
      <c r="A449" t="n">
        <v>446</v>
      </c>
      <c r="B449" s="8" t="n"/>
      <c r="C449" s="5" t="n"/>
      <c r="D449" s="5" t="n"/>
      <c r="E449" s="5" t="n"/>
      <c r="F449" s="6" t="n"/>
      <c r="G449" s="9">
        <f>IF(E449="","",E449*F449)</f>
        <v/>
      </c>
      <c r="H449" s="6" t="n"/>
      <c r="I449" s="9">
        <f>IF(G449="","",G449-IF(H449="",0,H449))</f>
        <v/>
      </c>
    </row>
    <row r="450">
      <c r="A450" t="n">
        <v>447</v>
      </c>
      <c r="B450" s="8" t="n"/>
      <c r="C450" s="5" t="n"/>
      <c r="D450" s="5" t="n"/>
      <c r="E450" s="5" t="n"/>
      <c r="F450" s="6" t="n"/>
      <c r="G450" s="9">
        <f>IF(E450="","",E450*F450)</f>
        <v/>
      </c>
      <c r="H450" s="6" t="n"/>
      <c r="I450" s="9">
        <f>IF(G450="","",G450-IF(H450="",0,H450))</f>
        <v/>
      </c>
    </row>
    <row r="451">
      <c r="A451" t="n">
        <v>448</v>
      </c>
      <c r="B451" s="8" t="n"/>
      <c r="C451" s="5" t="n"/>
      <c r="D451" s="5" t="n"/>
      <c r="E451" s="5" t="n"/>
      <c r="F451" s="6" t="n"/>
      <c r="G451" s="9">
        <f>IF(E451="","",E451*F451)</f>
        <v/>
      </c>
      <c r="H451" s="6" t="n"/>
      <c r="I451" s="9">
        <f>IF(G451="","",G451-IF(H451="",0,H451))</f>
        <v/>
      </c>
    </row>
    <row r="452">
      <c r="A452" t="n">
        <v>449</v>
      </c>
      <c r="B452" s="8" t="n"/>
      <c r="C452" s="5" t="n"/>
      <c r="D452" s="5" t="n"/>
      <c r="E452" s="5" t="n"/>
      <c r="F452" s="6" t="n"/>
      <c r="G452" s="9">
        <f>IF(E452="","",E452*F452)</f>
        <v/>
      </c>
      <c r="H452" s="6" t="n"/>
      <c r="I452" s="9">
        <f>IF(G452="","",G452-IF(H452="",0,H452))</f>
        <v/>
      </c>
    </row>
    <row r="453">
      <c r="A453" t="n">
        <v>450</v>
      </c>
      <c r="B453" s="8" t="n"/>
      <c r="C453" s="5" t="n"/>
      <c r="D453" s="5" t="n"/>
      <c r="E453" s="5" t="n"/>
      <c r="F453" s="6" t="n"/>
      <c r="G453" s="9">
        <f>IF(E453="","",E453*F453)</f>
        <v/>
      </c>
      <c r="H453" s="6" t="n"/>
      <c r="I453" s="9">
        <f>IF(G453="","",G453-IF(H453="",0,H453))</f>
        <v/>
      </c>
    </row>
    <row r="454">
      <c r="A454" t="n">
        <v>451</v>
      </c>
      <c r="B454" s="8" t="n"/>
      <c r="C454" s="5" t="n"/>
      <c r="D454" s="5" t="n"/>
      <c r="E454" s="5" t="n"/>
      <c r="F454" s="6" t="n"/>
      <c r="G454" s="9">
        <f>IF(E454="","",E454*F454)</f>
        <v/>
      </c>
      <c r="H454" s="6" t="n"/>
      <c r="I454" s="9">
        <f>IF(G454="","",G454-IF(H454="",0,H454))</f>
        <v/>
      </c>
    </row>
    <row r="455">
      <c r="A455" t="n">
        <v>452</v>
      </c>
      <c r="B455" s="8" t="n"/>
      <c r="C455" s="5" t="n"/>
      <c r="D455" s="5" t="n"/>
      <c r="E455" s="5" t="n"/>
      <c r="F455" s="6" t="n"/>
      <c r="G455" s="9">
        <f>IF(E455="","",E455*F455)</f>
        <v/>
      </c>
      <c r="H455" s="6" t="n"/>
      <c r="I455" s="9">
        <f>IF(G455="","",G455-IF(H455="",0,H455))</f>
        <v/>
      </c>
    </row>
    <row r="456">
      <c r="A456" t="n">
        <v>453</v>
      </c>
      <c r="B456" s="8" t="n"/>
      <c r="C456" s="5" t="n"/>
      <c r="D456" s="5" t="n"/>
      <c r="E456" s="5" t="n"/>
      <c r="F456" s="6" t="n"/>
      <c r="G456" s="9">
        <f>IF(E456="","",E456*F456)</f>
        <v/>
      </c>
      <c r="H456" s="6" t="n"/>
      <c r="I456" s="9">
        <f>IF(G456="","",G456-IF(H456="",0,H456))</f>
        <v/>
      </c>
    </row>
    <row r="457">
      <c r="A457" t="n">
        <v>454</v>
      </c>
      <c r="B457" s="8" t="n"/>
      <c r="C457" s="5" t="n"/>
      <c r="D457" s="5" t="n"/>
      <c r="E457" s="5" t="n"/>
      <c r="F457" s="6" t="n"/>
      <c r="G457" s="9">
        <f>IF(E457="","",E457*F457)</f>
        <v/>
      </c>
      <c r="H457" s="6" t="n"/>
      <c r="I457" s="9">
        <f>IF(G457="","",G457-IF(H457="",0,H457))</f>
        <v/>
      </c>
    </row>
    <row r="458">
      <c r="A458" t="n">
        <v>455</v>
      </c>
      <c r="B458" s="8" t="n"/>
      <c r="C458" s="5" t="n"/>
      <c r="D458" s="5" t="n"/>
      <c r="E458" s="5" t="n"/>
      <c r="F458" s="6" t="n"/>
      <c r="G458" s="9">
        <f>IF(E458="","",E458*F458)</f>
        <v/>
      </c>
      <c r="H458" s="6" t="n"/>
      <c r="I458" s="9">
        <f>IF(G458="","",G458-IF(H458="",0,H458))</f>
        <v/>
      </c>
    </row>
    <row r="459">
      <c r="A459" t="n">
        <v>456</v>
      </c>
      <c r="B459" s="8" t="n"/>
      <c r="C459" s="5" t="n"/>
      <c r="D459" s="5" t="n"/>
      <c r="E459" s="5" t="n"/>
      <c r="F459" s="6" t="n"/>
      <c r="G459" s="9">
        <f>IF(E459="","",E459*F459)</f>
        <v/>
      </c>
      <c r="H459" s="6" t="n"/>
      <c r="I459" s="9">
        <f>IF(G459="","",G459-IF(H459="",0,H459))</f>
        <v/>
      </c>
    </row>
    <row r="460">
      <c r="A460" t="n">
        <v>457</v>
      </c>
      <c r="B460" s="8" t="n"/>
      <c r="C460" s="5" t="n"/>
      <c r="D460" s="5" t="n"/>
      <c r="E460" s="5" t="n"/>
      <c r="F460" s="6" t="n"/>
      <c r="G460" s="9">
        <f>IF(E460="","",E460*F460)</f>
        <v/>
      </c>
      <c r="H460" s="6" t="n"/>
      <c r="I460" s="9">
        <f>IF(G460="","",G460-IF(H460="",0,H460))</f>
        <v/>
      </c>
    </row>
    <row r="461">
      <c r="A461" t="n">
        <v>458</v>
      </c>
      <c r="B461" s="8" t="n"/>
      <c r="C461" s="5" t="n"/>
      <c r="D461" s="5" t="n"/>
      <c r="E461" s="5" t="n"/>
      <c r="F461" s="6" t="n"/>
      <c r="G461" s="9">
        <f>IF(E461="","",E461*F461)</f>
        <v/>
      </c>
      <c r="H461" s="6" t="n"/>
      <c r="I461" s="9">
        <f>IF(G461="","",G461-IF(H461="",0,H461))</f>
        <v/>
      </c>
    </row>
    <row r="462">
      <c r="A462" t="n">
        <v>459</v>
      </c>
      <c r="B462" s="8" t="n"/>
      <c r="C462" s="5" t="n"/>
      <c r="D462" s="5" t="n"/>
      <c r="E462" s="5" t="n"/>
      <c r="F462" s="6" t="n"/>
      <c r="G462" s="9">
        <f>IF(E462="","",E462*F462)</f>
        <v/>
      </c>
      <c r="H462" s="6" t="n"/>
      <c r="I462" s="9">
        <f>IF(G462="","",G462-IF(H462="",0,H462))</f>
        <v/>
      </c>
    </row>
    <row r="463">
      <c r="A463" t="n">
        <v>460</v>
      </c>
      <c r="B463" s="8" t="n"/>
      <c r="C463" s="5" t="n"/>
      <c r="D463" s="5" t="n"/>
      <c r="E463" s="5" t="n"/>
      <c r="F463" s="6" t="n"/>
      <c r="G463" s="9">
        <f>IF(E463="","",E463*F463)</f>
        <v/>
      </c>
      <c r="H463" s="6" t="n"/>
      <c r="I463" s="9">
        <f>IF(G463="","",G463-IF(H463="",0,H463))</f>
        <v/>
      </c>
    </row>
    <row r="464">
      <c r="A464" t="n">
        <v>461</v>
      </c>
      <c r="B464" s="8" t="n"/>
      <c r="C464" s="5" t="n"/>
      <c r="D464" s="5" t="n"/>
      <c r="E464" s="5" t="n"/>
      <c r="F464" s="6" t="n"/>
      <c r="G464" s="9">
        <f>IF(E464="","",E464*F464)</f>
        <v/>
      </c>
      <c r="H464" s="6" t="n"/>
      <c r="I464" s="9">
        <f>IF(G464="","",G464-IF(H464="",0,H464))</f>
        <v/>
      </c>
    </row>
    <row r="465">
      <c r="A465" t="n">
        <v>462</v>
      </c>
      <c r="B465" s="8" t="n"/>
      <c r="C465" s="5" t="n"/>
      <c r="D465" s="5" t="n"/>
      <c r="E465" s="5" t="n"/>
      <c r="F465" s="6" t="n"/>
      <c r="G465" s="9">
        <f>IF(E465="","",E465*F465)</f>
        <v/>
      </c>
      <c r="H465" s="6" t="n"/>
      <c r="I465" s="9">
        <f>IF(G465="","",G465-IF(H465="",0,H465))</f>
        <v/>
      </c>
    </row>
    <row r="466">
      <c r="A466" t="n">
        <v>463</v>
      </c>
      <c r="B466" s="8" t="n"/>
      <c r="C466" s="5" t="n"/>
      <c r="D466" s="5" t="n"/>
      <c r="E466" s="5" t="n"/>
      <c r="F466" s="6" t="n"/>
      <c r="G466" s="9">
        <f>IF(E466="","",E466*F466)</f>
        <v/>
      </c>
      <c r="H466" s="6" t="n"/>
      <c r="I466" s="9">
        <f>IF(G466="","",G466-IF(H466="",0,H466))</f>
        <v/>
      </c>
    </row>
    <row r="467">
      <c r="A467" t="n">
        <v>464</v>
      </c>
      <c r="B467" s="8" t="n"/>
      <c r="C467" s="5" t="n"/>
      <c r="D467" s="5" t="n"/>
      <c r="E467" s="5" t="n"/>
      <c r="F467" s="6" t="n"/>
      <c r="G467" s="9">
        <f>IF(E467="","",E467*F467)</f>
        <v/>
      </c>
      <c r="H467" s="6" t="n"/>
      <c r="I467" s="9">
        <f>IF(G467="","",G467-IF(H467="",0,H467))</f>
        <v/>
      </c>
    </row>
    <row r="468">
      <c r="A468" t="n">
        <v>465</v>
      </c>
      <c r="B468" s="8" t="n"/>
      <c r="C468" s="5" t="n"/>
      <c r="D468" s="5" t="n"/>
      <c r="E468" s="5" t="n"/>
      <c r="F468" s="6" t="n"/>
      <c r="G468" s="9">
        <f>IF(E468="","",E468*F468)</f>
        <v/>
      </c>
      <c r="H468" s="6" t="n"/>
      <c r="I468" s="9">
        <f>IF(G468="","",G468-IF(H468="",0,H468))</f>
        <v/>
      </c>
    </row>
    <row r="469">
      <c r="A469" t="n">
        <v>466</v>
      </c>
      <c r="B469" s="8" t="n"/>
      <c r="C469" s="5" t="n"/>
      <c r="D469" s="5" t="n"/>
      <c r="E469" s="5" t="n"/>
      <c r="F469" s="6" t="n"/>
      <c r="G469" s="9">
        <f>IF(E469="","",E469*F469)</f>
        <v/>
      </c>
      <c r="H469" s="6" t="n"/>
      <c r="I469" s="9">
        <f>IF(G469="","",G469-IF(H469="",0,H469))</f>
        <v/>
      </c>
    </row>
    <row r="470">
      <c r="A470" t="n">
        <v>467</v>
      </c>
      <c r="B470" s="8" t="n"/>
      <c r="C470" s="5" t="n"/>
      <c r="D470" s="5" t="n"/>
      <c r="E470" s="5" t="n"/>
      <c r="F470" s="6" t="n"/>
      <c r="G470" s="9">
        <f>IF(E470="","",E470*F470)</f>
        <v/>
      </c>
      <c r="H470" s="6" t="n"/>
      <c r="I470" s="9">
        <f>IF(G470="","",G470-IF(H470="",0,H470))</f>
        <v/>
      </c>
    </row>
    <row r="471">
      <c r="A471" t="n">
        <v>468</v>
      </c>
      <c r="B471" s="8" t="n"/>
      <c r="C471" s="5" t="n"/>
      <c r="D471" s="5" t="n"/>
      <c r="E471" s="5" t="n"/>
      <c r="F471" s="6" t="n"/>
      <c r="G471" s="9">
        <f>IF(E471="","",E471*F471)</f>
        <v/>
      </c>
      <c r="H471" s="6" t="n"/>
      <c r="I471" s="9">
        <f>IF(G471="","",G471-IF(H471="",0,H471))</f>
        <v/>
      </c>
    </row>
    <row r="472">
      <c r="A472" t="n">
        <v>469</v>
      </c>
      <c r="B472" s="8" t="n"/>
      <c r="C472" s="5" t="n"/>
      <c r="D472" s="5" t="n"/>
      <c r="E472" s="5" t="n"/>
      <c r="F472" s="6" t="n"/>
      <c r="G472" s="9">
        <f>IF(E472="","",E472*F472)</f>
        <v/>
      </c>
      <c r="H472" s="6" t="n"/>
      <c r="I472" s="9">
        <f>IF(G472="","",G472-IF(H472="",0,H472))</f>
        <v/>
      </c>
    </row>
    <row r="473">
      <c r="A473" t="n">
        <v>470</v>
      </c>
      <c r="B473" s="8" t="n"/>
      <c r="C473" s="5" t="n"/>
      <c r="D473" s="5" t="n"/>
      <c r="E473" s="5" t="n"/>
      <c r="F473" s="6" t="n"/>
      <c r="G473" s="9">
        <f>IF(E473="","",E473*F473)</f>
        <v/>
      </c>
      <c r="H473" s="6" t="n"/>
      <c r="I473" s="9">
        <f>IF(G473="","",G473-IF(H473="",0,H473))</f>
        <v/>
      </c>
    </row>
    <row r="474">
      <c r="A474" t="n">
        <v>471</v>
      </c>
      <c r="B474" s="8" t="n"/>
      <c r="C474" s="5" t="n"/>
      <c r="D474" s="5" t="n"/>
      <c r="E474" s="5" t="n"/>
      <c r="F474" s="6" t="n"/>
      <c r="G474" s="9">
        <f>IF(E474="","",E474*F474)</f>
        <v/>
      </c>
      <c r="H474" s="6" t="n"/>
      <c r="I474" s="9">
        <f>IF(G474="","",G474-IF(H474="",0,H474))</f>
        <v/>
      </c>
    </row>
    <row r="475">
      <c r="A475" t="n">
        <v>472</v>
      </c>
      <c r="B475" s="8" t="n"/>
      <c r="C475" s="5" t="n"/>
      <c r="D475" s="5" t="n"/>
      <c r="E475" s="5" t="n"/>
      <c r="F475" s="6" t="n"/>
      <c r="G475" s="9">
        <f>IF(E475="","",E475*F475)</f>
        <v/>
      </c>
      <c r="H475" s="6" t="n"/>
      <c r="I475" s="9">
        <f>IF(G475="","",G475-IF(H475="",0,H475))</f>
        <v/>
      </c>
    </row>
    <row r="476">
      <c r="A476" t="n">
        <v>473</v>
      </c>
      <c r="B476" s="8" t="n"/>
      <c r="C476" s="5" t="n"/>
      <c r="D476" s="5" t="n"/>
      <c r="E476" s="5" t="n"/>
      <c r="F476" s="6" t="n"/>
      <c r="G476" s="9">
        <f>IF(E476="","",E476*F476)</f>
        <v/>
      </c>
      <c r="H476" s="6" t="n"/>
      <c r="I476" s="9">
        <f>IF(G476="","",G476-IF(H476="",0,H476))</f>
        <v/>
      </c>
    </row>
    <row r="477">
      <c r="A477" t="n">
        <v>474</v>
      </c>
      <c r="B477" s="8" t="n"/>
      <c r="C477" s="5" t="n"/>
      <c r="D477" s="5" t="n"/>
      <c r="E477" s="5" t="n"/>
      <c r="F477" s="6" t="n"/>
      <c r="G477" s="9">
        <f>IF(E477="","",E477*F477)</f>
        <v/>
      </c>
      <c r="H477" s="6" t="n"/>
      <c r="I477" s="9">
        <f>IF(G477="","",G477-IF(H477="",0,H477))</f>
        <v/>
      </c>
    </row>
    <row r="478">
      <c r="A478" t="n">
        <v>475</v>
      </c>
      <c r="B478" s="8" t="n"/>
      <c r="C478" s="5" t="n"/>
      <c r="D478" s="5" t="n"/>
      <c r="E478" s="5" t="n"/>
      <c r="F478" s="6" t="n"/>
      <c r="G478" s="9">
        <f>IF(E478="","",E478*F478)</f>
        <v/>
      </c>
      <c r="H478" s="6" t="n"/>
      <c r="I478" s="9">
        <f>IF(G478="","",G478-IF(H478="",0,H478))</f>
        <v/>
      </c>
    </row>
    <row r="479">
      <c r="A479" t="n">
        <v>476</v>
      </c>
      <c r="B479" s="8" t="n"/>
      <c r="C479" s="5" t="n"/>
      <c r="D479" s="5" t="n"/>
      <c r="E479" s="5" t="n"/>
      <c r="F479" s="6" t="n"/>
      <c r="G479" s="9">
        <f>IF(E479="","",E479*F479)</f>
        <v/>
      </c>
      <c r="H479" s="6" t="n"/>
      <c r="I479" s="9">
        <f>IF(G479="","",G479-IF(H479="",0,H479))</f>
        <v/>
      </c>
    </row>
    <row r="480">
      <c r="A480" t="n">
        <v>477</v>
      </c>
      <c r="B480" s="8" t="n"/>
      <c r="C480" s="5" t="n"/>
      <c r="D480" s="5" t="n"/>
      <c r="E480" s="5" t="n"/>
      <c r="F480" s="6" t="n"/>
      <c r="G480" s="9">
        <f>IF(E480="","",E480*F480)</f>
        <v/>
      </c>
      <c r="H480" s="6" t="n"/>
      <c r="I480" s="9">
        <f>IF(G480="","",G480-IF(H480="",0,H480))</f>
        <v/>
      </c>
    </row>
    <row r="481">
      <c r="A481" t="n">
        <v>478</v>
      </c>
      <c r="B481" s="8" t="n"/>
      <c r="C481" s="5" t="n"/>
      <c r="D481" s="5" t="n"/>
      <c r="E481" s="5" t="n"/>
      <c r="F481" s="6" t="n"/>
      <c r="G481" s="9">
        <f>IF(E481="","",E481*F481)</f>
        <v/>
      </c>
      <c r="H481" s="6" t="n"/>
      <c r="I481" s="9">
        <f>IF(G481="","",G481-IF(H481="",0,H481))</f>
        <v/>
      </c>
    </row>
    <row r="482">
      <c r="A482" t="n">
        <v>479</v>
      </c>
      <c r="B482" s="8" t="n"/>
      <c r="C482" s="5" t="n"/>
      <c r="D482" s="5" t="n"/>
      <c r="E482" s="5" t="n"/>
      <c r="F482" s="6" t="n"/>
      <c r="G482" s="9">
        <f>IF(E482="","",E482*F482)</f>
        <v/>
      </c>
      <c r="H482" s="6" t="n"/>
      <c r="I482" s="9">
        <f>IF(G482="","",G482-IF(H482="",0,H482))</f>
        <v/>
      </c>
    </row>
    <row r="483">
      <c r="A483" t="n">
        <v>480</v>
      </c>
      <c r="B483" s="8" t="n"/>
      <c r="C483" s="5" t="n"/>
      <c r="D483" s="5" t="n"/>
      <c r="E483" s="5" t="n"/>
      <c r="F483" s="6" t="n"/>
      <c r="G483" s="9">
        <f>IF(E483="","",E483*F483)</f>
        <v/>
      </c>
      <c r="H483" s="6" t="n"/>
      <c r="I483" s="9">
        <f>IF(G483="","",G483-IF(H483="",0,H483))</f>
        <v/>
      </c>
    </row>
    <row r="484">
      <c r="A484" t="n">
        <v>481</v>
      </c>
      <c r="B484" s="8" t="n"/>
      <c r="C484" s="5" t="n"/>
      <c r="D484" s="5" t="n"/>
      <c r="E484" s="5" t="n"/>
      <c r="F484" s="6" t="n"/>
      <c r="G484" s="9">
        <f>IF(E484="","",E484*F484)</f>
        <v/>
      </c>
      <c r="H484" s="6" t="n"/>
      <c r="I484" s="9">
        <f>IF(G484="","",G484-IF(H484="",0,H484))</f>
        <v/>
      </c>
    </row>
    <row r="485">
      <c r="A485" t="n">
        <v>482</v>
      </c>
      <c r="B485" s="8" t="n"/>
      <c r="C485" s="5" t="n"/>
      <c r="D485" s="5" t="n"/>
      <c r="E485" s="5" t="n"/>
      <c r="F485" s="6" t="n"/>
      <c r="G485" s="9">
        <f>IF(E485="","",E485*F485)</f>
        <v/>
      </c>
      <c r="H485" s="6" t="n"/>
      <c r="I485" s="9">
        <f>IF(G485="","",G485-IF(H485="",0,H485))</f>
        <v/>
      </c>
    </row>
    <row r="486">
      <c r="A486" t="n">
        <v>483</v>
      </c>
      <c r="B486" s="8" t="n"/>
      <c r="C486" s="5" t="n"/>
      <c r="D486" s="5" t="n"/>
      <c r="E486" s="5" t="n"/>
      <c r="F486" s="6" t="n"/>
      <c r="G486" s="9">
        <f>IF(E486="","",E486*F486)</f>
        <v/>
      </c>
      <c r="H486" s="6" t="n"/>
      <c r="I486" s="9">
        <f>IF(G486="","",G486-IF(H486="",0,H486))</f>
        <v/>
      </c>
    </row>
    <row r="487">
      <c r="A487" t="n">
        <v>484</v>
      </c>
      <c r="B487" s="8" t="n"/>
      <c r="C487" s="5" t="n"/>
      <c r="D487" s="5" t="n"/>
      <c r="E487" s="5" t="n"/>
      <c r="F487" s="6" t="n"/>
      <c r="G487" s="9">
        <f>IF(E487="","",E487*F487)</f>
        <v/>
      </c>
      <c r="H487" s="6" t="n"/>
      <c r="I487" s="9">
        <f>IF(G487="","",G487-IF(H487="",0,H487))</f>
        <v/>
      </c>
    </row>
    <row r="488">
      <c r="A488" t="n">
        <v>485</v>
      </c>
      <c r="B488" s="8" t="n"/>
      <c r="C488" s="5" t="n"/>
      <c r="D488" s="5" t="n"/>
      <c r="E488" s="5" t="n"/>
      <c r="F488" s="6" t="n"/>
      <c r="G488" s="9">
        <f>IF(E488="","",E488*F488)</f>
        <v/>
      </c>
      <c r="H488" s="6" t="n"/>
      <c r="I488" s="9">
        <f>IF(G488="","",G488-IF(H488="",0,H488))</f>
        <v/>
      </c>
    </row>
    <row r="489">
      <c r="A489" t="n">
        <v>486</v>
      </c>
      <c r="B489" s="8" t="n"/>
      <c r="C489" s="5" t="n"/>
      <c r="D489" s="5" t="n"/>
      <c r="E489" s="5" t="n"/>
      <c r="F489" s="6" t="n"/>
      <c r="G489" s="9">
        <f>IF(E489="","",E489*F489)</f>
        <v/>
      </c>
      <c r="H489" s="6" t="n"/>
      <c r="I489" s="9">
        <f>IF(G489="","",G489-IF(H489="",0,H489))</f>
        <v/>
      </c>
    </row>
    <row r="490">
      <c r="A490" t="n">
        <v>487</v>
      </c>
      <c r="B490" s="8" t="n"/>
      <c r="C490" s="5" t="n"/>
      <c r="D490" s="5" t="n"/>
      <c r="E490" s="5" t="n"/>
      <c r="F490" s="6" t="n"/>
      <c r="G490" s="9">
        <f>IF(E490="","",E490*F490)</f>
        <v/>
      </c>
      <c r="H490" s="6" t="n"/>
      <c r="I490" s="9">
        <f>IF(G490="","",G490-IF(H490="",0,H490))</f>
        <v/>
      </c>
    </row>
    <row r="491">
      <c r="A491" t="n">
        <v>488</v>
      </c>
      <c r="B491" s="8" t="n"/>
      <c r="C491" s="5" t="n"/>
      <c r="D491" s="5" t="n"/>
      <c r="E491" s="5" t="n"/>
      <c r="F491" s="6" t="n"/>
      <c r="G491" s="9">
        <f>IF(E491="","",E491*F491)</f>
        <v/>
      </c>
      <c r="H491" s="6" t="n"/>
      <c r="I491" s="9">
        <f>IF(G491="","",G491-IF(H491="",0,H491))</f>
        <v/>
      </c>
    </row>
    <row r="492">
      <c r="A492" t="n">
        <v>489</v>
      </c>
      <c r="B492" s="8" t="n"/>
      <c r="C492" s="5" t="n"/>
      <c r="D492" s="5" t="n"/>
      <c r="E492" s="5" t="n"/>
      <c r="F492" s="6" t="n"/>
      <c r="G492" s="9">
        <f>IF(E492="","",E492*F492)</f>
        <v/>
      </c>
      <c r="H492" s="6" t="n"/>
      <c r="I492" s="9">
        <f>IF(G492="","",G492-IF(H492="",0,H492))</f>
        <v/>
      </c>
    </row>
    <row r="493">
      <c r="A493" t="n">
        <v>490</v>
      </c>
      <c r="B493" s="8" t="n"/>
      <c r="C493" s="5" t="n"/>
      <c r="D493" s="5" t="n"/>
      <c r="E493" s="5" t="n"/>
      <c r="F493" s="6" t="n"/>
      <c r="G493" s="9">
        <f>IF(E493="","",E493*F493)</f>
        <v/>
      </c>
      <c r="H493" s="6" t="n"/>
      <c r="I493" s="9">
        <f>IF(G493="","",G493-IF(H493="",0,H493))</f>
        <v/>
      </c>
    </row>
    <row r="494">
      <c r="A494" t="n">
        <v>491</v>
      </c>
      <c r="B494" s="8" t="n"/>
      <c r="C494" s="5" t="n"/>
      <c r="D494" s="5" t="n"/>
      <c r="E494" s="5" t="n"/>
      <c r="F494" s="6" t="n"/>
      <c r="G494" s="9">
        <f>IF(E494="","",E494*F494)</f>
        <v/>
      </c>
      <c r="H494" s="6" t="n"/>
      <c r="I494" s="9">
        <f>IF(G494="","",G494-IF(H494="",0,H494))</f>
        <v/>
      </c>
    </row>
    <row r="495">
      <c r="A495" t="n">
        <v>492</v>
      </c>
      <c r="B495" s="8" t="n"/>
      <c r="C495" s="5" t="n"/>
      <c r="D495" s="5" t="n"/>
      <c r="E495" s="5" t="n"/>
      <c r="F495" s="6" t="n"/>
      <c r="G495" s="9">
        <f>IF(E495="","",E495*F495)</f>
        <v/>
      </c>
      <c r="H495" s="6" t="n"/>
      <c r="I495" s="9">
        <f>IF(G495="","",G495-IF(H495="",0,H495))</f>
        <v/>
      </c>
    </row>
    <row r="496">
      <c r="A496" t="n">
        <v>493</v>
      </c>
      <c r="B496" s="8" t="n"/>
      <c r="C496" s="5" t="n"/>
      <c r="D496" s="5" t="n"/>
      <c r="E496" s="5" t="n"/>
      <c r="F496" s="6" t="n"/>
      <c r="G496" s="9">
        <f>IF(E496="","",E496*F496)</f>
        <v/>
      </c>
      <c r="H496" s="6" t="n"/>
      <c r="I496" s="9">
        <f>IF(G496="","",G496-IF(H496="",0,H496))</f>
        <v/>
      </c>
    </row>
    <row r="497">
      <c r="A497" t="n">
        <v>494</v>
      </c>
      <c r="B497" s="8" t="n"/>
      <c r="C497" s="5" t="n"/>
      <c r="D497" s="5" t="n"/>
      <c r="E497" s="5" t="n"/>
      <c r="F497" s="6" t="n"/>
      <c r="G497" s="9">
        <f>IF(E497="","",E497*F497)</f>
        <v/>
      </c>
      <c r="H497" s="6" t="n"/>
      <c r="I497" s="9">
        <f>IF(G497="","",G497-IF(H497="",0,H497))</f>
        <v/>
      </c>
    </row>
    <row r="498">
      <c r="A498" t="n">
        <v>495</v>
      </c>
      <c r="B498" s="8" t="n"/>
      <c r="C498" s="5" t="n"/>
      <c r="D498" s="5" t="n"/>
      <c r="E498" s="5" t="n"/>
      <c r="F498" s="6" t="n"/>
      <c r="G498" s="9">
        <f>IF(E498="","",E498*F498)</f>
        <v/>
      </c>
      <c r="H498" s="6" t="n"/>
      <c r="I498" s="9">
        <f>IF(G498="","",G498-IF(H498="",0,H498))</f>
        <v/>
      </c>
    </row>
    <row r="499">
      <c r="A499" t="n">
        <v>496</v>
      </c>
      <c r="B499" s="8" t="n"/>
      <c r="C499" s="5" t="n"/>
      <c r="D499" s="5" t="n"/>
      <c r="E499" s="5" t="n"/>
      <c r="F499" s="6" t="n"/>
      <c r="G499" s="9">
        <f>IF(E499="","",E499*F499)</f>
        <v/>
      </c>
      <c r="H499" s="6" t="n"/>
      <c r="I499" s="9">
        <f>IF(G499="","",G499-IF(H499="",0,H499))</f>
        <v/>
      </c>
    </row>
    <row r="500">
      <c r="A500" t="n">
        <v>497</v>
      </c>
      <c r="B500" s="8" t="n"/>
      <c r="C500" s="5" t="n"/>
      <c r="D500" s="5" t="n"/>
      <c r="E500" s="5" t="n"/>
      <c r="F500" s="6" t="n"/>
      <c r="G500" s="9">
        <f>IF(E500="","",E500*F500)</f>
        <v/>
      </c>
      <c r="H500" s="6" t="n"/>
      <c r="I500" s="9">
        <f>IF(G500="","",G500-IF(H500="",0,H500))</f>
        <v/>
      </c>
    </row>
    <row r="501">
      <c r="A501" t="n">
        <v>498</v>
      </c>
      <c r="B501" s="8" t="n"/>
      <c r="C501" s="5" t="n"/>
      <c r="D501" s="5" t="n"/>
      <c r="E501" s="5" t="n"/>
      <c r="F501" s="6" t="n"/>
      <c r="G501" s="9">
        <f>IF(E501="","",E501*F501)</f>
        <v/>
      </c>
      <c r="H501" s="6" t="n"/>
      <c r="I501" s="9">
        <f>IF(G501="","",G501-IF(H501="",0,H501))</f>
        <v/>
      </c>
    </row>
    <row r="502">
      <c r="A502" t="n">
        <v>499</v>
      </c>
      <c r="B502" s="8" t="n"/>
      <c r="C502" s="5" t="n"/>
      <c r="D502" s="5" t="n"/>
      <c r="E502" s="5" t="n"/>
      <c r="F502" s="6" t="n"/>
      <c r="G502" s="9">
        <f>IF(E502="","",E502*F502)</f>
        <v/>
      </c>
      <c r="H502" s="6" t="n"/>
      <c r="I502" s="9">
        <f>IF(G502="","",G502-IF(H502="",0,H502))</f>
        <v/>
      </c>
    </row>
    <row r="503">
      <c r="A503" t="n">
        <v>500</v>
      </c>
      <c r="B503" s="8" t="n"/>
      <c r="C503" s="5" t="n"/>
      <c r="D503" s="5" t="n"/>
      <c r="E503" s="5" t="n"/>
      <c r="F503" s="6" t="n"/>
      <c r="G503" s="9">
        <f>IF(E503="","",E503*F503)</f>
        <v/>
      </c>
      <c r="H503" s="6" t="n"/>
      <c r="I503" s="9">
        <f>IF(G503="","",G503-IF(H503="",0,H503))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type="list">
      <formula1>BEPAARI</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1" type="list">
      <formula1>DUKANDAR</formula1>
    </dataValidation>
  </dataValidations>
  <pageMargins left="0.75" right="0.75" top="1" bottom="1" header="0.5" footer="0.5"/>
</worksheet>
</file>

<file path=xl/worksheets/sheet4.xml><?xml version="1.0" encoding="utf-8"?>
<worksheet xmlns="http://schemas.openxmlformats.org/spreadsheetml/2006/main">
  <sheetPr>
    <tabColor rgb="00FF5722"/>
    <outlinePr summaryBelow="1" summaryRight="1"/>
    <pageSetUpPr/>
  </sheetPr>
  <dimension ref="A1:J1003"/>
  <sheetViews>
    <sheetView workbookViewId="0">
      <selection activeCell="A1" sqref="A1"/>
    </sheetView>
  </sheetViews>
  <sheetFormatPr baseColWidth="8" defaultRowHeight="15"/>
  <cols>
    <col width="4" customWidth="1" min="1" max="1"/>
    <col width="11" customWidth="1" min="2" max="2"/>
    <col width="12" customWidth="1" min="3" max="3"/>
    <col width="16" customWidth="1" min="4" max="4"/>
    <col width="24" customWidth="1" min="5" max="5"/>
    <col width="20" customWidth="1" min="6" max="6"/>
    <col width="12" customWidth="1" min="7" max="7"/>
    <col width="10" customWidth="1" min="8" max="8"/>
    <col width="2" customWidth="1" min="9" max="9"/>
    <col width="14" customWidth="1" min="10" max="10"/>
    <col width="14" customWidth="1" min="11" max="11"/>
  </cols>
  <sheetData>
    <row r="1">
      <c r="A1" s="1" t="inlineStr">
        <is>
          <t>CASH BOOK (All Transactions)</t>
        </is>
      </c>
      <c r="J1" s="10" t="inlineStr">
        <is>
          <t>CASH/BANK SUMMARY</t>
        </is>
      </c>
    </row>
    <row r="2">
      <c r="A2" s="11" t="inlineStr">
        <is>
          <t>Select TYPE first → Sub-Type &amp; Party dropdowns update automatically</t>
        </is>
      </c>
      <c r="I2" t="inlineStr">
        <is>
          <t>Opening Cash</t>
        </is>
      </c>
      <c r="J2" s="12">
        <f>Masters!$Y$6</f>
        <v/>
      </c>
    </row>
    <row r="3">
      <c r="A3" s="3" t="inlineStr">
        <is>
          <t>Sr</t>
        </is>
      </c>
      <c r="B3" s="3" t="inlineStr">
        <is>
          <t>Date</t>
        </is>
      </c>
      <c r="C3" s="3" t="inlineStr">
        <is>
          <t>Type</t>
        </is>
      </c>
      <c r="D3" s="3" t="inlineStr">
        <is>
          <t>Sub-Type</t>
        </is>
      </c>
      <c r="E3" s="3" t="inlineStr">
        <is>
          <t>Party</t>
        </is>
      </c>
      <c r="F3" s="3" t="inlineStr">
        <is>
          <t>Particulars</t>
        </is>
      </c>
      <c r="G3" s="3" t="inlineStr">
        <is>
          <t>Amount</t>
        </is>
      </c>
      <c r="H3" s="3" t="inlineStr">
        <is>
          <t>Mode</t>
        </is>
      </c>
      <c r="I3" t="inlineStr">
        <is>
          <t>Opening Bank</t>
        </is>
      </c>
      <c r="J3" s="12">
        <f>Masters!$Y$7</f>
        <v/>
      </c>
    </row>
    <row r="4">
      <c r="A4" t="n">
        <v>1</v>
      </c>
      <c r="B4" s="8" t="n"/>
      <c r="C4" s="5" t="n"/>
      <c r="D4" s="5" t="n"/>
      <c r="E4" s="5" t="n"/>
      <c r="F4" s="5" t="n"/>
      <c r="G4" s="6" t="n"/>
      <c r="H4" s="5" t="n"/>
    </row>
    <row r="5">
      <c r="A5" t="n">
        <v>2</v>
      </c>
      <c r="B5" s="8" t="n"/>
      <c r="C5" s="5" t="n"/>
      <c r="D5" s="5" t="n"/>
      <c r="E5" s="5" t="n"/>
      <c r="F5" s="5" t="n"/>
      <c r="G5" s="6" t="n"/>
      <c r="H5" s="5" t="n"/>
      <c r="I5" t="inlineStr">
        <is>
          <t>Cash OUT</t>
        </is>
      </c>
      <c r="J5" s="12">
        <f>SUMIFS(G:G,H:H,"CASH",D:D,"PAYMENT")+SUMIFS(G:G,H:H,"CASH",D:D,"MOTOR")+SUMIFS(G:G,H:H,"CASH",D:D,"BHUSSA")+SUMIFS(G:G,H:H,"CASH",D:D,"GAWALI")+SUMIFS(G:G,H:H,"CASH",D:D,"CASH_ADV")+SUMIFS(G:G,H:H,"CASH",D:D,"DISCOUNT")+SUMIFS(G:G,H:H,"CASH",D:D,"WITHDRAWN")+SUMIFS(G:G,H:H,"CASH",D:D,"REPAID")+SUMIFS(G:G,H:H,"CASH",D:D,"GIVEN")+SUMIFS(G:G,H:H,"CASH",D:D,"MANDI")+SUMIFS(G:G,H:H,"CASH",D:D,"TRAVEL")+SUMIFS(G:G,H:H,"CASH",D:D,"FOOD")+SUMIFS(G:G,H:H,"CASH",D:D,"SALARY")+SUMIFS(G:G,H:H,"CASH",D:D,"BF_DISC")+SUMIFS(G:G,H:H,"CASH",D:D,"JB_PAID")+SUMIFS(G:G,H:H,"CASH",D:D,"JB_WITHDRAW")+SUMIFS(G:G,H:H,"CASH",D:D,"KK_WITHDRAW")+SUMIFS(G:G,H:H,"CASH",D:D,"COMM_WITHDRAW")+SUMIFS(G:G,H:H,"CASH",D:D,"PROFIT_WITHDRAW")+SUMIFS(G:G,H:H,"CASH",D:D,"PAID")+SUMIFS(G:G,H:H,"CASH",D:D,"MISC")+SUMIFS(G:G,H:H,"CASH",D:D,"OTHER")+SUMIFS(G:G,H:H,"CASH",D:D,"MHN_PERSONAL")+SUMIFS(G:G,H:H,"CASH",D:D,"ADJUSTED")+SUMIFS(G:G,H:H,"CASH",D:D,"PROFIT_TO_CAP")</f>
        <v/>
      </c>
    </row>
    <row r="6">
      <c r="A6" t="n">
        <v>3</v>
      </c>
      <c r="B6" s="8" t="n"/>
      <c r="C6" s="5" t="n"/>
      <c r="D6" s="5" t="n"/>
      <c r="E6" s="5" t="n"/>
      <c r="F6" s="5" t="n"/>
      <c r="G6" s="6" t="n"/>
      <c r="H6" s="5" t="n"/>
      <c r="I6" t="inlineStr">
        <is>
          <t>Bank OUT</t>
        </is>
      </c>
      <c r="J6" s="12">
        <f>SUMIFS(G:G,H:H,"BANK",D:D,"PAYMENT")+SUMIFS(G:G,H:H,"BANK",D:D,"MOTOR")+SUMIFS(G:G,H:H,"BANK",D:D,"BHUSSA")+SUMIFS(G:G,H:H,"BANK",D:D,"GAWALI")+SUMIFS(G:G,H:H,"BANK",D:D,"CASH_ADV")+SUMIFS(G:G,H:H,"BANK",D:D,"DISCOUNT")+SUMIFS(G:G,H:H,"BANK",D:D,"WITHDRAWN")+SUMIFS(G:G,H:H,"BANK",D:D,"REPAID")+SUMIFS(G:G,H:H,"BANK",D:D,"GIVEN")+SUMIFS(G:G,H:H,"BANK",D:D,"MANDI")+SUMIFS(G:G,H:H,"BANK",D:D,"TRAVEL")+SUMIFS(G:G,H:H,"BANK",D:D,"FOOD")+SUMIFS(G:G,H:H,"BANK",D:D,"SALARY")+SUMIFS(G:G,H:H,"BANK",D:D,"BF_DISC")+SUMIFS(G:G,H:H,"BANK",D:D,"JB_PAID")+SUMIFS(G:G,H:H,"BANK",D:D,"JB_WITHDRAW")+SUMIFS(G:G,H:H,"BANK",D:D,"KK_WITHDRAW")+SUMIFS(G:G,H:H,"BANK",D:D,"COMM_WITHDRAW")+SUMIFS(G:G,H:H,"BANK",D:D,"PROFIT_WITHDRAW")+SUMIFS(G:G,H:H,"BANK",D:D,"PAID")+SUMIFS(G:G,H:H,"BANK",D:D,"MISC")+SUMIFS(G:G,H:H,"BANK",D:D,"OTHER")+SUMIFS(G:G,H:H,"BANK",D:D,"MHN_PERSONAL")+SUMIFS(G:G,H:H,"BANK",D:D,"ADJUSTED")+SUMIFS(G:G,H:H,"BANK",D:D,"PROFIT_TO_CAP")+SUMIFS(G:G,H:H,"UPI",D:D,"PAYMENT")+SUMIFS(G:G,H:H,"UPI",D:D,"MOTOR")+SUMIFS(G:G,H:H,"UPI",D:D,"BHUSSA")+SUMIFS(G:G,H:H,"UPI",D:D,"GAWALI")+SUMIFS(G:G,H:H,"UPI",D:D,"CASH_ADV")+SUMIFS(G:G,H:H,"UPI",D:D,"DISCOUNT")+SUMIFS(G:G,H:H,"UPI",D:D,"WITHDRAWN")+SUMIFS(G:G,H:H,"UPI",D:D,"REPAID")+SUMIFS(G:G,H:H,"UPI",D:D,"GIVEN")+SUMIFS(G:G,H:H,"UPI",D:D,"MANDI")+SUMIFS(G:G,H:H,"UPI",D:D,"TRAVEL")+SUMIFS(G:G,H:H,"UPI",D:D,"FOOD")+SUMIFS(G:G,H:H,"UPI",D:D,"SALARY")+SUMIFS(G:G,H:H,"UPI",D:D,"BF_DISC")+SUMIFS(G:G,H:H,"UPI",D:D,"JB_PAID")+SUMIFS(G:G,H:H,"UPI",D:D,"JB_WITHDRAW")+SUMIFS(G:G,H:H,"UPI",D:D,"KK_WITHDRAW")+SUMIFS(G:G,H:H,"UPI",D:D,"COMM_WITHDRAW")+SUMIFS(G:G,H:H,"UPI",D:D,"PROFIT_WITHDRAW")+SUMIFS(G:G,H:H,"UPI",D:D,"PAID")+SUMIFS(G:G,H:H,"UPI",D:D,"MISC")+SUMIFS(G:G,H:H,"UPI",D:D,"OTHER")+SUMIFS(G:G,H:H,"UPI",D:D,"MHN_PERSONAL")+SUMIFS(G:G,H:H,"UPI",D:D,"ADJUSTED")+SUMIFS(G:G,H:H,"UPI",D:D,"PROFIT_TO_CAP")+SUMIFS(G:G,H:H,"TRANSFER",D:D,"PAYMENT")+SUMIFS(G:G,H:H,"TRANSFER",D:D,"MOTOR")+SUMIFS(G:G,H:H,"TRANSFER",D:D,"BHUSSA")+SUMIFS(G:G,H:H,"TRANSFER",D:D,"GAWALI")+SUMIFS(G:G,H:H,"TRANSFER",D:D,"CASH_ADV")+SUMIFS(G:G,H:H,"TRANSFER",D:D,"DISCOUNT")+SUMIFS(G:G,H:H,"TRANSFER",D:D,"WITHDRAWN")+SUMIFS(G:G,H:H,"TRANSFER",D:D,"REPAID")+SUMIFS(G:G,H:H,"TRANSFER",D:D,"GIVEN")+SUMIFS(G:G,H:H,"TRANSFER",D:D,"MANDI")+SUMIFS(G:G,H:H,"TRANSFER",D:D,"TRAVEL")+SUMIFS(G:G,H:H,"TRANSFER",D:D,"FOOD")+SUMIFS(G:G,H:H,"TRANSFER",D:D,"SALARY")+SUMIFS(G:G,H:H,"TRANSFER",D:D,"BF_DISC")+SUMIFS(G:G,H:H,"TRANSFER",D:D,"JB_PAID")+SUMIFS(G:G,H:H,"TRANSFER",D:D,"JB_WITHDRAW")+SUMIFS(G:G,H:H,"TRANSFER",D:D,"KK_WITHDRAW")+SUMIFS(G:G,H:H,"TRANSFER",D:D,"COMM_WITHDRAW")+SUMIFS(G:G,H:H,"TRANSFER",D:D,"PROFIT_WITHDRAW")+SUMIFS(G:G,H:H,"TRANSFER",D:D,"PAID")+SUMIFS(G:G,H:H,"TRANSFER",D:D,"MISC")+SUMIFS(G:G,H:H,"TRANSFER",D:D,"OTHER")+SUMIFS(G:G,H:H,"TRANSFER",D:D,"MHN_PERSONAL")+SUMIFS(G:G,H:H,"TRANSFER",D:D,"ADJUSTED")+SUMIFS(G:G,H:H,"TRANSFER",D:D,"PROFIT_TO_CAP")</f>
        <v/>
      </c>
    </row>
    <row r="7">
      <c r="A7" t="n">
        <v>4</v>
      </c>
      <c r="B7" s="8" t="n"/>
      <c r="C7" s="5" t="n"/>
      <c r="D7" s="5" t="n"/>
      <c r="E7" s="5" t="n"/>
      <c r="F7" s="5" t="n"/>
      <c r="G7" s="6" t="n"/>
      <c r="H7" s="5" t="n"/>
      <c r="I7" t="inlineStr">
        <is>
          <t>Cash IN</t>
        </is>
      </c>
      <c r="J7" s="12">
        <f>SUMIFS(G:G,H:H,"CASH",D:D,"RECEIPT")+SUMIFS(G:G,H:H,"CASH",D:D,"TAKEN")+SUMIFS(G:G,H:H,"CASH",D:D,"RECEIVED")+SUMIFS(G:G,H:H,"CASH",D:D,"PROVISION")</f>
        <v/>
      </c>
    </row>
    <row r="8">
      <c r="A8" t="n">
        <v>5</v>
      </c>
      <c r="B8" s="8" t="n"/>
      <c r="C8" s="5" t="n"/>
      <c r="D8" s="5" t="n"/>
      <c r="E8" s="5" t="n"/>
      <c r="F8" s="5" t="n"/>
      <c r="G8" s="6" t="n"/>
      <c r="H8" s="5" t="n"/>
      <c r="I8" t="inlineStr">
        <is>
          <t>Bank IN</t>
        </is>
      </c>
      <c r="J8" s="12">
        <f>SUMIFS(G:G,H:H,"BANK",D:D,"RECEIPT")+SUMIFS(G:G,H:H,"BANK",D:D,"TAKEN")+SUMIFS(G:G,H:H,"BANK",D:D,"RECEIVED")+SUMIFS(G:G,H:H,"BANK",D:D,"PROVISION")+SUMIFS(G:G,H:H,"UPI",D:D,"RECEIPT")+SUMIFS(G:G,H:H,"UPI",D:D,"TAKEN")+SUMIFS(G:G,H:H,"UPI",D:D,"RECEIVED")+SUMIFS(G:G,H:H,"UPI",D:D,"PROVISION")+SUMIFS(G:G,H:H,"TRANSFER",D:D,"RECEIPT")+SUMIFS(G:G,H:H,"TRANSFER",D:D,"TAKEN")+SUMIFS(G:G,H:H,"TRANSFER",D:D,"RECEIVED")+SUMIFS(G:G,H:H,"TRANSFER",D:D,"PROVISION")</f>
        <v/>
      </c>
    </row>
    <row r="9">
      <c r="A9" t="n">
        <v>6</v>
      </c>
      <c r="B9" s="8" t="n"/>
      <c r="C9" s="5" t="n"/>
      <c r="D9" s="5" t="n"/>
      <c r="E9" s="5" t="n"/>
      <c r="F9" s="5" t="n"/>
      <c r="G9" s="6" t="n"/>
      <c r="H9" s="5" t="n"/>
    </row>
    <row r="10">
      <c r="A10" t="n">
        <v>7</v>
      </c>
      <c r="B10" s="8" t="n"/>
      <c r="C10" s="5" t="n"/>
      <c r="D10" s="5" t="n"/>
      <c r="E10" s="5" t="n"/>
      <c r="F10" s="5" t="n"/>
      <c r="G10" s="6" t="n"/>
      <c r="H10" s="5" t="n"/>
      <c r="I10" s="2" t="inlineStr">
        <is>
          <t>CLOSING CASH</t>
        </is>
      </c>
      <c r="J10" s="13">
        <f>J2-J5+J7</f>
        <v/>
      </c>
    </row>
    <row r="11">
      <c r="A11" t="n">
        <v>8</v>
      </c>
      <c r="B11" s="8" t="n"/>
      <c r="C11" s="5" t="n"/>
      <c r="D11" s="5" t="n"/>
      <c r="E11" s="5" t="n"/>
      <c r="F11" s="5" t="n"/>
      <c r="G11" s="6" t="n"/>
      <c r="H11" s="5" t="n"/>
      <c r="I11" s="2" t="inlineStr">
        <is>
          <t>CLOSING BANK</t>
        </is>
      </c>
      <c r="J11" s="13">
        <f>J3-J6+J8</f>
        <v/>
      </c>
    </row>
    <row r="12">
      <c r="A12" t="n">
        <v>9</v>
      </c>
      <c r="B12" s="8" t="n"/>
      <c r="C12" s="5" t="n"/>
      <c r="D12" s="5" t="n"/>
      <c r="E12" s="5" t="n"/>
      <c r="F12" s="5" t="n"/>
      <c r="G12" s="6" t="n"/>
      <c r="H12" s="5" t="n"/>
    </row>
    <row r="13">
      <c r="A13" t="n">
        <v>10</v>
      </c>
      <c r="B13" s="8" t="n"/>
      <c r="C13" s="5" t="n"/>
      <c r="D13" s="5" t="n"/>
      <c r="E13" s="5" t="n"/>
      <c r="F13" s="5" t="n"/>
      <c r="G13" s="6" t="n"/>
      <c r="H13" s="5" t="n"/>
    </row>
    <row r="14">
      <c r="A14" t="n">
        <v>11</v>
      </c>
      <c r="B14" s="8" t="n"/>
      <c r="C14" s="5" t="n"/>
      <c r="D14" s="5" t="n"/>
      <c r="E14" s="5" t="n"/>
      <c r="F14" s="5" t="n"/>
      <c r="G14" s="6" t="n"/>
      <c r="H14" s="5" t="n"/>
    </row>
    <row r="15">
      <c r="A15" t="n">
        <v>12</v>
      </c>
      <c r="B15" s="8" t="n"/>
      <c r="C15" s="5" t="n"/>
      <c r="D15" s="5" t="n"/>
      <c r="E15" s="5" t="n"/>
      <c r="F15" s="5" t="n"/>
      <c r="G15" s="6" t="n"/>
      <c r="H15" s="5" t="n"/>
    </row>
    <row r="16">
      <c r="A16" t="n">
        <v>13</v>
      </c>
      <c r="B16" s="8" t="n"/>
      <c r="C16" s="5" t="n"/>
      <c r="D16" s="5" t="n"/>
      <c r="E16" s="5" t="n"/>
      <c r="F16" s="5" t="n"/>
      <c r="G16" s="6" t="n"/>
      <c r="H16" s="5" t="n"/>
    </row>
    <row r="17">
      <c r="A17" t="n">
        <v>14</v>
      </c>
      <c r="B17" s="8" t="n"/>
      <c r="C17" s="5" t="n"/>
      <c r="D17" s="5" t="n"/>
      <c r="E17" s="5" t="n"/>
      <c r="F17" s="5" t="n"/>
      <c r="G17" s="6" t="n"/>
      <c r="H17" s="5" t="n"/>
    </row>
    <row r="18">
      <c r="A18" t="n">
        <v>15</v>
      </c>
      <c r="B18" s="8" t="n"/>
      <c r="C18" s="5" t="n"/>
      <c r="D18" s="5" t="n"/>
      <c r="E18" s="5" t="n"/>
      <c r="F18" s="5" t="n"/>
      <c r="G18" s="6" t="n"/>
      <c r="H18" s="5" t="n"/>
    </row>
    <row r="19">
      <c r="A19" t="n">
        <v>16</v>
      </c>
      <c r="B19" s="8" t="n"/>
      <c r="C19" s="5" t="n"/>
      <c r="D19" s="5" t="n"/>
      <c r="E19" s="5" t="n"/>
      <c r="F19" s="5" t="n"/>
      <c r="G19" s="6" t="n"/>
      <c r="H19" s="5" t="n"/>
    </row>
    <row r="20">
      <c r="A20" t="n">
        <v>17</v>
      </c>
      <c r="B20" s="8" t="n"/>
      <c r="C20" s="5" t="n"/>
      <c r="D20" s="5" t="n"/>
      <c r="E20" s="5" t="n"/>
      <c r="F20" s="5" t="n"/>
      <c r="G20" s="6" t="n"/>
      <c r="H20" s="5" t="n"/>
    </row>
    <row r="21">
      <c r="A21" t="n">
        <v>18</v>
      </c>
      <c r="B21" s="8" t="n"/>
      <c r="C21" s="5" t="n"/>
      <c r="D21" s="5" t="n"/>
      <c r="E21" s="5" t="n"/>
      <c r="F21" s="5" t="n"/>
      <c r="G21" s="6" t="n"/>
      <c r="H21" s="5" t="n"/>
    </row>
    <row r="22">
      <c r="A22" t="n">
        <v>19</v>
      </c>
      <c r="B22" s="8" t="n"/>
      <c r="C22" s="5" t="n"/>
      <c r="D22" s="5" t="n"/>
      <c r="E22" s="5" t="n"/>
      <c r="F22" s="5" t="n"/>
      <c r="G22" s="6" t="n"/>
      <c r="H22" s="5" t="n"/>
    </row>
    <row r="23">
      <c r="A23" t="n">
        <v>20</v>
      </c>
      <c r="B23" s="8" t="n"/>
      <c r="C23" s="5" t="n"/>
      <c r="D23" s="5" t="n"/>
      <c r="E23" s="5" t="n"/>
      <c r="F23" s="5" t="n"/>
      <c r="G23" s="6" t="n"/>
      <c r="H23" s="5" t="n"/>
    </row>
    <row r="24">
      <c r="A24" t="n">
        <v>21</v>
      </c>
      <c r="B24" s="8" t="n"/>
      <c r="C24" s="5" t="n"/>
      <c r="D24" s="5" t="n"/>
      <c r="E24" s="5" t="n"/>
      <c r="F24" s="5" t="n"/>
      <c r="G24" s="6" t="n"/>
      <c r="H24" s="5" t="n"/>
    </row>
    <row r="25">
      <c r="A25" t="n">
        <v>22</v>
      </c>
      <c r="B25" s="8" t="n"/>
      <c r="C25" s="5" t="n"/>
      <c r="D25" s="5" t="n"/>
      <c r="E25" s="5" t="n"/>
      <c r="F25" s="5" t="n"/>
      <c r="G25" s="6" t="n"/>
      <c r="H25" s="5" t="n"/>
    </row>
    <row r="26">
      <c r="A26" t="n">
        <v>23</v>
      </c>
      <c r="B26" s="8" t="n"/>
      <c r="C26" s="5" t="n"/>
      <c r="D26" s="5" t="n"/>
      <c r="E26" s="5" t="n"/>
      <c r="F26" s="5" t="n"/>
      <c r="G26" s="6" t="n"/>
      <c r="H26" s="5" t="n"/>
    </row>
    <row r="27">
      <c r="A27" t="n">
        <v>24</v>
      </c>
      <c r="B27" s="8" t="n"/>
      <c r="C27" s="5" t="n"/>
      <c r="D27" s="5" t="n"/>
      <c r="E27" s="5" t="n"/>
      <c r="F27" s="5" t="n"/>
      <c r="G27" s="6" t="n"/>
      <c r="H27" s="5" t="n"/>
    </row>
    <row r="28">
      <c r="A28" t="n">
        <v>25</v>
      </c>
      <c r="B28" s="8" t="n"/>
      <c r="C28" s="5" t="n"/>
      <c r="D28" s="5" t="n"/>
      <c r="E28" s="5" t="n"/>
      <c r="F28" s="5" t="n"/>
      <c r="G28" s="6" t="n"/>
      <c r="H28" s="5" t="n"/>
    </row>
    <row r="29">
      <c r="A29" t="n">
        <v>26</v>
      </c>
      <c r="B29" s="8" t="n"/>
      <c r="C29" s="5" t="n"/>
      <c r="D29" s="5" t="n"/>
      <c r="E29" s="5" t="n"/>
      <c r="F29" s="5" t="n"/>
      <c r="G29" s="6" t="n"/>
      <c r="H29" s="5" t="n"/>
    </row>
    <row r="30">
      <c r="A30" t="n">
        <v>27</v>
      </c>
      <c r="B30" s="8" t="n"/>
      <c r="C30" s="5" t="n"/>
      <c r="D30" s="5" t="n"/>
      <c r="E30" s="5" t="n"/>
      <c r="F30" s="5" t="n"/>
      <c r="G30" s="6" t="n"/>
      <c r="H30" s="5" t="n"/>
    </row>
    <row r="31">
      <c r="A31" t="n">
        <v>28</v>
      </c>
      <c r="B31" s="8" t="n"/>
      <c r="C31" s="5" t="n"/>
      <c r="D31" s="5" t="n"/>
      <c r="E31" s="5" t="n"/>
      <c r="F31" s="5" t="n"/>
      <c r="G31" s="6" t="n"/>
      <c r="H31" s="5" t="n"/>
    </row>
    <row r="32">
      <c r="A32" t="n">
        <v>29</v>
      </c>
      <c r="B32" s="8" t="n"/>
      <c r="C32" s="5" t="n"/>
      <c r="D32" s="5" t="n"/>
      <c r="E32" s="5" t="n"/>
      <c r="F32" s="5" t="n"/>
      <c r="G32" s="6" t="n"/>
      <c r="H32" s="5" t="n"/>
    </row>
    <row r="33">
      <c r="A33" t="n">
        <v>30</v>
      </c>
      <c r="B33" s="8" t="n"/>
      <c r="C33" s="5" t="n"/>
      <c r="D33" s="5" t="n"/>
      <c r="E33" s="5" t="n"/>
      <c r="F33" s="5" t="n"/>
      <c r="G33" s="6" t="n"/>
      <c r="H33" s="5" t="n"/>
    </row>
    <row r="34">
      <c r="A34" t="n">
        <v>31</v>
      </c>
      <c r="B34" s="8" t="n"/>
      <c r="C34" s="5" t="n"/>
      <c r="D34" s="5" t="n"/>
      <c r="E34" s="5" t="n"/>
      <c r="F34" s="5" t="n"/>
      <c r="G34" s="6" t="n"/>
      <c r="H34" s="5" t="n"/>
    </row>
    <row r="35">
      <c r="A35" t="n">
        <v>32</v>
      </c>
      <c r="B35" s="8" t="n"/>
      <c r="C35" s="5" t="n"/>
      <c r="D35" s="5" t="n"/>
      <c r="E35" s="5" t="n"/>
      <c r="F35" s="5" t="n"/>
      <c r="G35" s="6" t="n"/>
      <c r="H35" s="5" t="n"/>
    </row>
    <row r="36">
      <c r="A36" t="n">
        <v>33</v>
      </c>
      <c r="B36" s="8" t="n"/>
      <c r="C36" s="5" t="n"/>
      <c r="D36" s="5" t="n"/>
      <c r="E36" s="5" t="n"/>
      <c r="F36" s="5" t="n"/>
      <c r="G36" s="6" t="n"/>
      <c r="H36" s="5" t="n"/>
    </row>
    <row r="37">
      <c r="A37" t="n">
        <v>34</v>
      </c>
      <c r="B37" s="8" t="n"/>
      <c r="C37" s="5" t="n"/>
      <c r="D37" s="5" t="n"/>
      <c r="E37" s="5" t="n"/>
      <c r="F37" s="5" t="n"/>
      <c r="G37" s="6" t="n"/>
      <c r="H37" s="5" t="n"/>
    </row>
    <row r="38">
      <c r="A38" t="n">
        <v>35</v>
      </c>
      <c r="B38" s="8" t="n"/>
      <c r="C38" s="5" t="n"/>
      <c r="D38" s="5" t="n"/>
      <c r="E38" s="5" t="n"/>
      <c r="F38" s="5" t="n"/>
      <c r="G38" s="6" t="n"/>
      <c r="H38" s="5" t="n"/>
    </row>
    <row r="39">
      <c r="A39" t="n">
        <v>36</v>
      </c>
      <c r="B39" s="8" t="n"/>
      <c r="C39" s="5" t="n"/>
      <c r="D39" s="5" t="n"/>
      <c r="E39" s="5" t="n"/>
      <c r="F39" s="5" t="n"/>
      <c r="G39" s="6" t="n"/>
      <c r="H39" s="5" t="n"/>
    </row>
    <row r="40">
      <c r="A40" t="n">
        <v>37</v>
      </c>
      <c r="B40" s="8" t="n"/>
      <c r="C40" s="5" t="n"/>
      <c r="D40" s="5" t="n"/>
      <c r="E40" s="5" t="n"/>
      <c r="F40" s="5" t="n"/>
      <c r="G40" s="6" t="n"/>
      <c r="H40" s="5" t="n"/>
    </row>
    <row r="41">
      <c r="A41" t="n">
        <v>38</v>
      </c>
      <c r="B41" s="8" t="n"/>
      <c r="C41" s="5" t="n"/>
      <c r="D41" s="5" t="n"/>
      <c r="E41" s="5" t="n"/>
      <c r="F41" s="5" t="n"/>
      <c r="G41" s="6" t="n"/>
      <c r="H41" s="5" t="n"/>
    </row>
    <row r="42">
      <c r="A42" t="n">
        <v>39</v>
      </c>
      <c r="B42" s="8" t="n"/>
      <c r="C42" s="5" t="n"/>
      <c r="D42" s="5" t="n"/>
      <c r="E42" s="5" t="n"/>
      <c r="F42" s="5" t="n"/>
      <c r="G42" s="6" t="n"/>
      <c r="H42" s="5" t="n"/>
    </row>
    <row r="43">
      <c r="A43" t="n">
        <v>40</v>
      </c>
      <c r="B43" s="8" t="n"/>
      <c r="C43" s="5" t="n"/>
      <c r="D43" s="5" t="n"/>
      <c r="E43" s="5" t="n"/>
      <c r="F43" s="5" t="n"/>
      <c r="G43" s="6" t="n"/>
      <c r="H43" s="5" t="n"/>
    </row>
    <row r="44">
      <c r="A44" t="n">
        <v>41</v>
      </c>
      <c r="B44" s="8" t="n"/>
      <c r="C44" s="5" t="n"/>
      <c r="D44" s="5" t="n"/>
      <c r="E44" s="5" t="n"/>
      <c r="F44" s="5" t="n"/>
      <c r="G44" s="6" t="n"/>
      <c r="H44" s="5" t="n"/>
    </row>
    <row r="45">
      <c r="A45" t="n">
        <v>42</v>
      </c>
      <c r="B45" s="8" t="n"/>
      <c r="C45" s="5" t="n"/>
      <c r="D45" s="5" t="n"/>
      <c r="E45" s="5" t="n"/>
      <c r="F45" s="5" t="n"/>
      <c r="G45" s="6" t="n"/>
      <c r="H45" s="5" t="n"/>
    </row>
    <row r="46">
      <c r="A46" t="n">
        <v>43</v>
      </c>
      <c r="B46" s="8" t="n"/>
      <c r="C46" s="5" t="n"/>
      <c r="D46" s="5" t="n"/>
      <c r="E46" s="5" t="n"/>
      <c r="F46" s="5" t="n"/>
      <c r="G46" s="6" t="n"/>
      <c r="H46" s="5" t="n"/>
    </row>
    <row r="47">
      <c r="A47" t="n">
        <v>44</v>
      </c>
      <c r="B47" s="8" t="n"/>
      <c r="C47" s="5" t="n"/>
      <c r="D47" s="5" t="n"/>
      <c r="E47" s="5" t="n"/>
      <c r="F47" s="5" t="n"/>
      <c r="G47" s="6" t="n"/>
      <c r="H47" s="5" t="n"/>
    </row>
    <row r="48">
      <c r="A48" t="n">
        <v>45</v>
      </c>
      <c r="B48" s="8" t="n"/>
      <c r="C48" s="5" t="n"/>
      <c r="D48" s="5" t="n"/>
      <c r="E48" s="5" t="n"/>
      <c r="F48" s="5" t="n"/>
      <c r="G48" s="6" t="n"/>
      <c r="H48" s="5" t="n"/>
    </row>
    <row r="49">
      <c r="A49" t="n">
        <v>46</v>
      </c>
      <c r="B49" s="8" t="n"/>
      <c r="C49" s="5" t="n"/>
      <c r="D49" s="5" t="n"/>
      <c r="E49" s="5" t="n"/>
      <c r="F49" s="5" t="n"/>
      <c r="G49" s="6" t="n"/>
      <c r="H49" s="5" t="n"/>
    </row>
    <row r="50">
      <c r="A50" t="n">
        <v>47</v>
      </c>
      <c r="B50" s="8" t="n"/>
      <c r="C50" s="5" t="n"/>
      <c r="D50" s="5" t="n"/>
      <c r="E50" s="5" t="n"/>
      <c r="F50" s="5" t="n"/>
      <c r="G50" s="6" t="n"/>
      <c r="H50" s="5" t="n"/>
    </row>
    <row r="51">
      <c r="A51" t="n">
        <v>48</v>
      </c>
      <c r="B51" s="8" t="n"/>
      <c r="C51" s="5" t="n"/>
      <c r="D51" s="5" t="n"/>
      <c r="E51" s="5" t="n"/>
      <c r="F51" s="5" t="n"/>
      <c r="G51" s="6" t="n"/>
      <c r="H51" s="5" t="n"/>
    </row>
    <row r="52">
      <c r="A52" t="n">
        <v>49</v>
      </c>
      <c r="B52" s="8" t="n"/>
      <c r="C52" s="5" t="n"/>
      <c r="D52" s="5" t="n"/>
      <c r="E52" s="5" t="n"/>
      <c r="F52" s="5" t="n"/>
      <c r="G52" s="6" t="n"/>
      <c r="H52" s="5" t="n"/>
    </row>
    <row r="53">
      <c r="A53" t="n">
        <v>50</v>
      </c>
      <c r="B53" s="8" t="n"/>
      <c r="C53" s="5" t="n"/>
      <c r="D53" s="5" t="n"/>
      <c r="E53" s="5" t="n"/>
      <c r="F53" s="5" t="n"/>
      <c r="G53" s="6" t="n"/>
      <c r="H53" s="5" t="n"/>
    </row>
    <row r="54">
      <c r="A54" t="n">
        <v>51</v>
      </c>
      <c r="B54" s="8" t="n"/>
      <c r="C54" s="5" t="n"/>
      <c r="D54" s="5" t="n"/>
      <c r="E54" s="5" t="n"/>
      <c r="F54" s="5" t="n"/>
      <c r="G54" s="6" t="n"/>
      <c r="H54" s="5" t="n"/>
    </row>
    <row r="55">
      <c r="A55" t="n">
        <v>52</v>
      </c>
      <c r="B55" s="8" t="n"/>
      <c r="C55" s="5" t="n"/>
      <c r="D55" s="5" t="n"/>
      <c r="E55" s="5" t="n"/>
      <c r="F55" s="5" t="n"/>
      <c r="G55" s="6" t="n"/>
      <c r="H55" s="5" t="n"/>
    </row>
    <row r="56">
      <c r="A56" t="n">
        <v>53</v>
      </c>
      <c r="B56" s="8" t="n"/>
      <c r="C56" s="5" t="n"/>
      <c r="D56" s="5" t="n"/>
      <c r="E56" s="5" t="n"/>
      <c r="F56" s="5" t="n"/>
      <c r="G56" s="6" t="n"/>
      <c r="H56" s="5" t="n"/>
    </row>
    <row r="57">
      <c r="A57" t="n">
        <v>54</v>
      </c>
      <c r="B57" s="8" t="n"/>
      <c r="C57" s="5" t="n"/>
      <c r="D57" s="5" t="n"/>
      <c r="E57" s="5" t="n"/>
      <c r="F57" s="5" t="n"/>
      <c r="G57" s="6" t="n"/>
      <c r="H57" s="5" t="n"/>
    </row>
    <row r="58">
      <c r="A58" t="n">
        <v>55</v>
      </c>
      <c r="B58" s="8" t="n"/>
      <c r="C58" s="5" t="n"/>
      <c r="D58" s="5" t="n"/>
      <c r="E58" s="5" t="n"/>
      <c r="F58" s="5" t="n"/>
      <c r="G58" s="6" t="n"/>
      <c r="H58" s="5" t="n"/>
    </row>
    <row r="59">
      <c r="A59" t="n">
        <v>56</v>
      </c>
      <c r="B59" s="8" t="n"/>
      <c r="C59" s="5" t="n"/>
      <c r="D59" s="5" t="n"/>
      <c r="E59" s="5" t="n"/>
      <c r="F59" s="5" t="n"/>
      <c r="G59" s="6" t="n"/>
      <c r="H59" s="5" t="n"/>
    </row>
    <row r="60">
      <c r="A60" t="n">
        <v>57</v>
      </c>
      <c r="B60" s="8" t="n"/>
      <c r="C60" s="5" t="n"/>
      <c r="D60" s="5" t="n"/>
      <c r="E60" s="5" t="n"/>
      <c r="F60" s="5" t="n"/>
      <c r="G60" s="6" t="n"/>
      <c r="H60" s="5" t="n"/>
    </row>
    <row r="61">
      <c r="A61" t="n">
        <v>58</v>
      </c>
      <c r="B61" s="8" t="n"/>
      <c r="C61" s="5" t="n"/>
      <c r="D61" s="5" t="n"/>
      <c r="E61" s="5" t="n"/>
      <c r="F61" s="5" t="n"/>
      <c r="G61" s="6" t="n"/>
      <c r="H61" s="5" t="n"/>
    </row>
    <row r="62">
      <c r="A62" t="n">
        <v>59</v>
      </c>
      <c r="B62" s="8" t="n"/>
      <c r="C62" s="5" t="n"/>
      <c r="D62" s="5" t="n"/>
      <c r="E62" s="5" t="n"/>
      <c r="F62" s="5" t="n"/>
      <c r="G62" s="6" t="n"/>
      <c r="H62" s="5" t="n"/>
    </row>
    <row r="63">
      <c r="A63" t="n">
        <v>60</v>
      </c>
      <c r="B63" s="8" t="n"/>
      <c r="C63" s="5" t="n"/>
      <c r="D63" s="5" t="n"/>
      <c r="E63" s="5" t="n"/>
      <c r="F63" s="5" t="n"/>
      <c r="G63" s="6" t="n"/>
      <c r="H63" s="5" t="n"/>
    </row>
    <row r="64">
      <c r="A64" t="n">
        <v>61</v>
      </c>
      <c r="B64" s="8" t="n"/>
      <c r="C64" s="5" t="n"/>
      <c r="D64" s="5" t="n"/>
      <c r="E64" s="5" t="n"/>
      <c r="F64" s="5" t="n"/>
      <c r="G64" s="6" t="n"/>
      <c r="H64" s="5" t="n"/>
    </row>
    <row r="65">
      <c r="A65" t="n">
        <v>62</v>
      </c>
      <c r="B65" s="8" t="n"/>
      <c r="C65" s="5" t="n"/>
      <c r="D65" s="5" t="n"/>
      <c r="E65" s="5" t="n"/>
      <c r="F65" s="5" t="n"/>
      <c r="G65" s="6" t="n"/>
      <c r="H65" s="5" t="n"/>
    </row>
    <row r="66">
      <c r="A66" t="n">
        <v>63</v>
      </c>
      <c r="B66" s="8" t="n"/>
      <c r="C66" s="5" t="n"/>
      <c r="D66" s="5" t="n"/>
      <c r="E66" s="5" t="n"/>
      <c r="F66" s="5" t="n"/>
      <c r="G66" s="6" t="n"/>
      <c r="H66" s="5" t="n"/>
    </row>
    <row r="67">
      <c r="A67" t="n">
        <v>64</v>
      </c>
      <c r="B67" s="8" t="n"/>
      <c r="C67" s="5" t="n"/>
      <c r="D67" s="5" t="n"/>
      <c r="E67" s="5" t="n"/>
      <c r="F67" s="5" t="n"/>
      <c r="G67" s="6" t="n"/>
      <c r="H67" s="5" t="n"/>
    </row>
    <row r="68">
      <c r="A68" t="n">
        <v>65</v>
      </c>
      <c r="B68" s="8" t="n"/>
      <c r="C68" s="5" t="n"/>
      <c r="D68" s="5" t="n"/>
      <c r="E68" s="5" t="n"/>
      <c r="F68" s="5" t="n"/>
      <c r="G68" s="6" t="n"/>
      <c r="H68" s="5" t="n"/>
    </row>
    <row r="69">
      <c r="A69" t="n">
        <v>66</v>
      </c>
      <c r="B69" s="8" t="n"/>
      <c r="C69" s="5" t="n"/>
      <c r="D69" s="5" t="n"/>
      <c r="E69" s="5" t="n"/>
      <c r="F69" s="5" t="n"/>
      <c r="G69" s="6" t="n"/>
      <c r="H69" s="5" t="n"/>
    </row>
    <row r="70">
      <c r="A70" t="n">
        <v>67</v>
      </c>
      <c r="B70" s="8" t="n"/>
      <c r="C70" s="5" t="n"/>
      <c r="D70" s="5" t="n"/>
      <c r="E70" s="5" t="n"/>
      <c r="F70" s="5" t="n"/>
      <c r="G70" s="6" t="n"/>
      <c r="H70" s="5" t="n"/>
    </row>
    <row r="71">
      <c r="A71" t="n">
        <v>68</v>
      </c>
      <c r="B71" s="8" t="n"/>
      <c r="C71" s="5" t="n"/>
      <c r="D71" s="5" t="n"/>
      <c r="E71" s="5" t="n"/>
      <c r="F71" s="5" t="n"/>
      <c r="G71" s="6" t="n"/>
      <c r="H71" s="5" t="n"/>
    </row>
    <row r="72">
      <c r="A72" t="n">
        <v>69</v>
      </c>
      <c r="B72" s="8" t="n"/>
      <c r="C72" s="5" t="n"/>
      <c r="D72" s="5" t="n"/>
      <c r="E72" s="5" t="n"/>
      <c r="F72" s="5" t="n"/>
      <c r="G72" s="6" t="n"/>
      <c r="H72" s="5" t="n"/>
    </row>
    <row r="73">
      <c r="A73" t="n">
        <v>70</v>
      </c>
      <c r="B73" s="8" t="n"/>
      <c r="C73" s="5" t="n"/>
      <c r="D73" s="5" t="n"/>
      <c r="E73" s="5" t="n"/>
      <c r="F73" s="5" t="n"/>
      <c r="G73" s="6" t="n"/>
      <c r="H73" s="5" t="n"/>
    </row>
    <row r="74">
      <c r="A74" t="n">
        <v>71</v>
      </c>
      <c r="B74" s="8" t="n"/>
      <c r="C74" s="5" t="n"/>
      <c r="D74" s="5" t="n"/>
      <c r="E74" s="5" t="n"/>
      <c r="F74" s="5" t="n"/>
      <c r="G74" s="6" t="n"/>
      <c r="H74" s="5" t="n"/>
    </row>
    <row r="75">
      <c r="A75" t="n">
        <v>72</v>
      </c>
      <c r="B75" s="8" t="n"/>
      <c r="C75" s="5" t="n"/>
      <c r="D75" s="5" t="n"/>
      <c r="E75" s="5" t="n"/>
      <c r="F75" s="5" t="n"/>
      <c r="G75" s="6" t="n"/>
      <c r="H75" s="5" t="n"/>
    </row>
    <row r="76">
      <c r="A76" t="n">
        <v>73</v>
      </c>
      <c r="B76" s="8" t="n"/>
      <c r="C76" s="5" t="n"/>
      <c r="D76" s="5" t="n"/>
      <c r="E76" s="5" t="n"/>
      <c r="F76" s="5" t="n"/>
      <c r="G76" s="6" t="n"/>
      <c r="H76" s="5" t="n"/>
    </row>
    <row r="77">
      <c r="A77" t="n">
        <v>74</v>
      </c>
      <c r="B77" s="8" t="n"/>
      <c r="C77" s="5" t="n"/>
      <c r="D77" s="5" t="n"/>
      <c r="E77" s="5" t="n"/>
      <c r="F77" s="5" t="n"/>
      <c r="G77" s="6" t="n"/>
      <c r="H77" s="5" t="n"/>
    </row>
    <row r="78">
      <c r="A78" t="n">
        <v>75</v>
      </c>
      <c r="B78" s="8" t="n"/>
      <c r="C78" s="5" t="n"/>
      <c r="D78" s="5" t="n"/>
      <c r="E78" s="5" t="n"/>
      <c r="F78" s="5" t="n"/>
      <c r="G78" s="6" t="n"/>
      <c r="H78" s="5" t="n"/>
    </row>
    <row r="79">
      <c r="A79" t="n">
        <v>76</v>
      </c>
      <c r="B79" s="8" t="n"/>
      <c r="C79" s="5" t="n"/>
      <c r="D79" s="5" t="n"/>
      <c r="E79" s="5" t="n"/>
      <c r="F79" s="5" t="n"/>
      <c r="G79" s="6" t="n"/>
      <c r="H79" s="5" t="n"/>
    </row>
    <row r="80">
      <c r="A80" t="n">
        <v>77</v>
      </c>
      <c r="B80" s="8" t="n"/>
      <c r="C80" s="5" t="n"/>
      <c r="D80" s="5" t="n"/>
      <c r="E80" s="5" t="n"/>
      <c r="F80" s="5" t="n"/>
      <c r="G80" s="6" t="n"/>
      <c r="H80" s="5" t="n"/>
    </row>
    <row r="81">
      <c r="A81" t="n">
        <v>78</v>
      </c>
      <c r="B81" s="8" t="n"/>
      <c r="C81" s="5" t="n"/>
      <c r="D81" s="5" t="n"/>
      <c r="E81" s="5" t="n"/>
      <c r="F81" s="5" t="n"/>
      <c r="G81" s="6" t="n"/>
      <c r="H81" s="5" t="n"/>
    </row>
    <row r="82">
      <c r="A82" t="n">
        <v>79</v>
      </c>
      <c r="B82" s="8" t="n"/>
      <c r="C82" s="5" t="n"/>
      <c r="D82" s="5" t="n"/>
      <c r="E82" s="5" t="n"/>
      <c r="F82" s="5" t="n"/>
      <c r="G82" s="6" t="n"/>
      <c r="H82" s="5" t="n"/>
    </row>
    <row r="83">
      <c r="A83" t="n">
        <v>80</v>
      </c>
      <c r="B83" s="8" t="n"/>
      <c r="C83" s="5" t="n"/>
      <c r="D83" s="5" t="n"/>
      <c r="E83" s="5" t="n"/>
      <c r="F83" s="5" t="n"/>
      <c r="G83" s="6" t="n"/>
      <c r="H83" s="5" t="n"/>
    </row>
    <row r="84">
      <c r="A84" t="n">
        <v>81</v>
      </c>
      <c r="B84" s="8" t="n"/>
      <c r="C84" s="5" t="n"/>
      <c r="D84" s="5" t="n"/>
      <c r="E84" s="5" t="n"/>
      <c r="F84" s="5" t="n"/>
      <c r="G84" s="6" t="n"/>
      <c r="H84" s="5" t="n"/>
    </row>
    <row r="85">
      <c r="A85" t="n">
        <v>82</v>
      </c>
      <c r="B85" s="8" t="n"/>
      <c r="C85" s="5" t="n"/>
      <c r="D85" s="5" t="n"/>
      <c r="E85" s="5" t="n"/>
      <c r="F85" s="5" t="n"/>
      <c r="G85" s="6" t="n"/>
      <c r="H85" s="5" t="n"/>
    </row>
    <row r="86">
      <c r="A86" t="n">
        <v>83</v>
      </c>
      <c r="B86" s="8" t="n"/>
      <c r="C86" s="5" t="n"/>
      <c r="D86" s="5" t="n"/>
      <c r="E86" s="5" t="n"/>
      <c r="F86" s="5" t="n"/>
      <c r="G86" s="6" t="n"/>
      <c r="H86" s="5" t="n"/>
    </row>
    <row r="87">
      <c r="A87" t="n">
        <v>84</v>
      </c>
      <c r="B87" s="8" t="n"/>
      <c r="C87" s="5" t="n"/>
      <c r="D87" s="5" t="n"/>
      <c r="E87" s="5" t="n"/>
      <c r="F87" s="5" t="n"/>
      <c r="G87" s="6" t="n"/>
      <c r="H87" s="5" t="n"/>
    </row>
    <row r="88">
      <c r="A88" t="n">
        <v>85</v>
      </c>
      <c r="B88" s="8" t="n"/>
      <c r="C88" s="5" t="n"/>
      <c r="D88" s="5" t="n"/>
      <c r="E88" s="5" t="n"/>
      <c r="F88" s="5" t="n"/>
      <c r="G88" s="6" t="n"/>
      <c r="H88" s="5" t="n"/>
    </row>
    <row r="89">
      <c r="A89" t="n">
        <v>86</v>
      </c>
      <c r="B89" s="8" t="n"/>
      <c r="C89" s="5" t="n"/>
      <c r="D89" s="5" t="n"/>
      <c r="E89" s="5" t="n"/>
      <c r="F89" s="5" t="n"/>
      <c r="G89" s="6" t="n"/>
      <c r="H89" s="5" t="n"/>
    </row>
    <row r="90">
      <c r="A90" t="n">
        <v>87</v>
      </c>
      <c r="B90" s="8" t="n"/>
      <c r="C90" s="5" t="n"/>
      <c r="D90" s="5" t="n"/>
      <c r="E90" s="5" t="n"/>
      <c r="F90" s="5" t="n"/>
      <c r="G90" s="6" t="n"/>
      <c r="H90" s="5" t="n"/>
    </row>
    <row r="91">
      <c r="A91" t="n">
        <v>88</v>
      </c>
      <c r="B91" s="8" t="n"/>
      <c r="C91" s="5" t="n"/>
      <c r="D91" s="5" t="n"/>
      <c r="E91" s="5" t="n"/>
      <c r="F91" s="5" t="n"/>
      <c r="G91" s="6" t="n"/>
      <c r="H91" s="5" t="n"/>
    </row>
    <row r="92">
      <c r="A92" t="n">
        <v>89</v>
      </c>
      <c r="B92" s="8" t="n"/>
      <c r="C92" s="5" t="n"/>
      <c r="D92" s="5" t="n"/>
      <c r="E92" s="5" t="n"/>
      <c r="F92" s="5" t="n"/>
      <c r="G92" s="6" t="n"/>
      <c r="H92" s="5" t="n"/>
    </row>
    <row r="93">
      <c r="A93" t="n">
        <v>90</v>
      </c>
      <c r="B93" s="8" t="n"/>
      <c r="C93" s="5" t="n"/>
      <c r="D93" s="5" t="n"/>
      <c r="E93" s="5" t="n"/>
      <c r="F93" s="5" t="n"/>
      <c r="G93" s="6" t="n"/>
      <c r="H93" s="5" t="n"/>
    </row>
    <row r="94">
      <c r="A94" t="n">
        <v>91</v>
      </c>
      <c r="B94" s="8" t="n"/>
      <c r="C94" s="5" t="n"/>
      <c r="D94" s="5" t="n"/>
      <c r="E94" s="5" t="n"/>
      <c r="F94" s="5" t="n"/>
      <c r="G94" s="6" t="n"/>
      <c r="H94" s="5" t="n"/>
    </row>
    <row r="95">
      <c r="A95" t="n">
        <v>92</v>
      </c>
      <c r="B95" s="8" t="n"/>
      <c r="C95" s="5" t="n"/>
      <c r="D95" s="5" t="n"/>
      <c r="E95" s="5" t="n"/>
      <c r="F95" s="5" t="n"/>
      <c r="G95" s="6" t="n"/>
      <c r="H95" s="5" t="n"/>
    </row>
    <row r="96">
      <c r="A96" t="n">
        <v>93</v>
      </c>
      <c r="B96" s="8" t="n"/>
      <c r="C96" s="5" t="n"/>
      <c r="D96" s="5" t="n"/>
      <c r="E96" s="5" t="n"/>
      <c r="F96" s="5" t="n"/>
      <c r="G96" s="6" t="n"/>
      <c r="H96" s="5" t="n"/>
    </row>
    <row r="97">
      <c r="A97" t="n">
        <v>94</v>
      </c>
      <c r="B97" s="8" t="n"/>
      <c r="C97" s="5" t="n"/>
      <c r="D97" s="5" t="n"/>
      <c r="E97" s="5" t="n"/>
      <c r="F97" s="5" t="n"/>
      <c r="G97" s="6" t="n"/>
      <c r="H97" s="5" t="n"/>
    </row>
    <row r="98">
      <c r="A98" t="n">
        <v>95</v>
      </c>
      <c r="B98" s="8" t="n"/>
      <c r="C98" s="5" t="n"/>
      <c r="D98" s="5" t="n"/>
      <c r="E98" s="5" t="n"/>
      <c r="F98" s="5" t="n"/>
      <c r="G98" s="6" t="n"/>
      <c r="H98" s="5" t="n"/>
    </row>
    <row r="99">
      <c r="A99" t="n">
        <v>96</v>
      </c>
      <c r="B99" s="8" t="n"/>
      <c r="C99" s="5" t="n"/>
      <c r="D99" s="5" t="n"/>
      <c r="E99" s="5" t="n"/>
      <c r="F99" s="5" t="n"/>
      <c r="G99" s="6" t="n"/>
      <c r="H99" s="5" t="n"/>
    </row>
    <row r="100">
      <c r="A100" t="n">
        <v>97</v>
      </c>
      <c r="B100" s="8" t="n"/>
      <c r="C100" s="5" t="n"/>
      <c r="D100" s="5" t="n"/>
      <c r="E100" s="5" t="n"/>
      <c r="F100" s="5" t="n"/>
      <c r="G100" s="6" t="n"/>
      <c r="H100" s="5" t="n"/>
    </row>
    <row r="101">
      <c r="A101" t="n">
        <v>98</v>
      </c>
      <c r="B101" s="8" t="n"/>
      <c r="C101" s="5" t="n"/>
      <c r="D101" s="5" t="n"/>
      <c r="E101" s="5" t="n"/>
      <c r="F101" s="5" t="n"/>
      <c r="G101" s="6" t="n"/>
      <c r="H101" s="5" t="n"/>
    </row>
    <row r="102">
      <c r="A102" t="n">
        <v>99</v>
      </c>
      <c r="B102" s="8" t="n"/>
      <c r="C102" s="5" t="n"/>
      <c r="D102" s="5" t="n"/>
      <c r="E102" s="5" t="n"/>
      <c r="F102" s="5" t="n"/>
      <c r="G102" s="6" t="n"/>
      <c r="H102" s="5" t="n"/>
    </row>
    <row r="103">
      <c r="A103" t="n">
        <v>100</v>
      </c>
      <c r="B103" s="8" t="n"/>
      <c r="C103" s="5" t="n"/>
      <c r="D103" s="5" t="n"/>
      <c r="E103" s="5" t="n"/>
      <c r="F103" s="5" t="n"/>
      <c r="G103" s="6" t="n"/>
      <c r="H103" s="5" t="n"/>
    </row>
    <row r="104">
      <c r="A104" t="n">
        <v>101</v>
      </c>
      <c r="B104" s="8" t="n"/>
      <c r="C104" s="5" t="n"/>
      <c r="D104" s="5" t="n"/>
      <c r="E104" s="5" t="n"/>
      <c r="F104" s="5" t="n"/>
      <c r="G104" s="6" t="n"/>
      <c r="H104" s="5" t="n"/>
    </row>
    <row r="105">
      <c r="A105" t="n">
        <v>102</v>
      </c>
      <c r="B105" s="8" t="n"/>
      <c r="C105" s="5" t="n"/>
      <c r="D105" s="5" t="n"/>
      <c r="E105" s="5" t="n"/>
      <c r="F105" s="5" t="n"/>
      <c r="G105" s="6" t="n"/>
      <c r="H105" s="5" t="n"/>
    </row>
    <row r="106">
      <c r="A106" t="n">
        <v>103</v>
      </c>
      <c r="B106" s="8" t="n"/>
      <c r="C106" s="5" t="n"/>
      <c r="D106" s="5" t="n"/>
      <c r="E106" s="5" t="n"/>
      <c r="F106" s="5" t="n"/>
      <c r="G106" s="6" t="n"/>
      <c r="H106" s="5" t="n"/>
    </row>
    <row r="107">
      <c r="A107" t="n">
        <v>104</v>
      </c>
      <c r="B107" s="8" t="n"/>
      <c r="C107" s="5" t="n"/>
      <c r="D107" s="5" t="n"/>
      <c r="E107" s="5" t="n"/>
      <c r="F107" s="5" t="n"/>
      <c r="G107" s="6" t="n"/>
      <c r="H107" s="5" t="n"/>
    </row>
    <row r="108">
      <c r="A108" t="n">
        <v>105</v>
      </c>
      <c r="B108" s="8" t="n"/>
      <c r="C108" s="5" t="n"/>
      <c r="D108" s="5" t="n"/>
      <c r="E108" s="5" t="n"/>
      <c r="F108" s="5" t="n"/>
      <c r="G108" s="6" t="n"/>
      <c r="H108" s="5" t="n"/>
    </row>
    <row r="109">
      <c r="A109" t="n">
        <v>106</v>
      </c>
      <c r="B109" s="8" t="n"/>
      <c r="C109" s="5" t="n"/>
      <c r="D109" s="5" t="n"/>
      <c r="E109" s="5" t="n"/>
      <c r="F109" s="5" t="n"/>
      <c r="G109" s="6" t="n"/>
      <c r="H109" s="5" t="n"/>
    </row>
    <row r="110">
      <c r="A110" t="n">
        <v>107</v>
      </c>
      <c r="B110" s="8" t="n"/>
      <c r="C110" s="5" t="n"/>
      <c r="D110" s="5" t="n"/>
      <c r="E110" s="5" t="n"/>
      <c r="F110" s="5" t="n"/>
      <c r="G110" s="6" t="n"/>
      <c r="H110" s="5" t="n"/>
    </row>
    <row r="111">
      <c r="A111" t="n">
        <v>108</v>
      </c>
      <c r="B111" s="8" t="n"/>
      <c r="C111" s="5" t="n"/>
      <c r="D111" s="5" t="n"/>
      <c r="E111" s="5" t="n"/>
      <c r="F111" s="5" t="n"/>
      <c r="G111" s="6" t="n"/>
      <c r="H111" s="5" t="n"/>
    </row>
    <row r="112">
      <c r="A112" t="n">
        <v>109</v>
      </c>
      <c r="B112" s="8" t="n"/>
      <c r="C112" s="5" t="n"/>
      <c r="D112" s="5" t="n"/>
      <c r="E112" s="5" t="n"/>
      <c r="F112" s="5" t="n"/>
      <c r="G112" s="6" t="n"/>
      <c r="H112" s="5" t="n"/>
    </row>
    <row r="113">
      <c r="A113" t="n">
        <v>110</v>
      </c>
      <c r="B113" s="8" t="n"/>
      <c r="C113" s="5" t="n"/>
      <c r="D113" s="5" t="n"/>
      <c r="E113" s="5" t="n"/>
      <c r="F113" s="5" t="n"/>
      <c r="G113" s="6" t="n"/>
      <c r="H113" s="5" t="n"/>
    </row>
    <row r="114">
      <c r="A114" t="n">
        <v>111</v>
      </c>
      <c r="B114" s="8" t="n"/>
      <c r="C114" s="5" t="n"/>
      <c r="D114" s="5" t="n"/>
      <c r="E114" s="5" t="n"/>
      <c r="F114" s="5" t="n"/>
      <c r="G114" s="6" t="n"/>
      <c r="H114" s="5" t="n"/>
    </row>
    <row r="115">
      <c r="A115" t="n">
        <v>112</v>
      </c>
      <c r="B115" s="8" t="n"/>
      <c r="C115" s="5" t="n"/>
      <c r="D115" s="5" t="n"/>
      <c r="E115" s="5" t="n"/>
      <c r="F115" s="5" t="n"/>
      <c r="G115" s="6" t="n"/>
      <c r="H115" s="5" t="n"/>
    </row>
    <row r="116">
      <c r="A116" t="n">
        <v>113</v>
      </c>
      <c r="B116" s="8" t="n"/>
      <c r="C116" s="5" t="n"/>
      <c r="D116" s="5" t="n"/>
      <c r="E116" s="5" t="n"/>
      <c r="F116" s="5" t="n"/>
      <c r="G116" s="6" t="n"/>
      <c r="H116" s="5" t="n"/>
    </row>
    <row r="117">
      <c r="A117" t="n">
        <v>114</v>
      </c>
      <c r="B117" s="8" t="n"/>
      <c r="C117" s="5" t="n"/>
      <c r="D117" s="5" t="n"/>
      <c r="E117" s="5" t="n"/>
      <c r="F117" s="5" t="n"/>
      <c r="G117" s="6" t="n"/>
      <c r="H117" s="5" t="n"/>
    </row>
    <row r="118">
      <c r="A118" t="n">
        <v>115</v>
      </c>
      <c r="B118" s="8" t="n"/>
      <c r="C118" s="5" t="n"/>
      <c r="D118" s="5" t="n"/>
      <c r="E118" s="5" t="n"/>
      <c r="F118" s="5" t="n"/>
      <c r="G118" s="6" t="n"/>
      <c r="H118" s="5" t="n"/>
    </row>
    <row r="119">
      <c r="A119" t="n">
        <v>116</v>
      </c>
      <c r="B119" s="8" t="n"/>
      <c r="C119" s="5" t="n"/>
      <c r="D119" s="5" t="n"/>
      <c r="E119" s="5" t="n"/>
      <c r="F119" s="5" t="n"/>
      <c r="G119" s="6" t="n"/>
      <c r="H119" s="5" t="n"/>
    </row>
    <row r="120">
      <c r="A120" t="n">
        <v>117</v>
      </c>
      <c r="B120" s="8" t="n"/>
      <c r="C120" s="5" t="n"/>
      <c r="D120" s="5" t="n"/>
      <c r="E120" s="5" t="n"/>
      <c r="F120" s="5" t="n"/>
      <c r="G120" s="6" t="n"/>
      <c r="H120" s="5" t="n"/>
    </row>
    <row r="121">
      <c r="A121" t="n">
        <v>118</v>
      </c>
      <c r="B121" s="8" t="n"/>
      <c r="C121" s="5" t="n"/>
      <c r="D121" s="5" t="n"/>
      <c r="E121" s="5" t="n"/>
      <c r="F121" s="5" t="n"/>
      <c r="G121" s="6" t="n"/>
      <c r="H121" s="5" t="n"/>
    </row>
    <row r="122">
      <c r="A122" t="n">
        <v>119</v>
      </c>
      <c r="B122" s="8" t="n"/>
      <c r="C122" s="5" t="n"/>
      <c r="D122" s="5" t="n"/>
      <c r="E122" s="5" t="n"/>
      <c r="F122" s="5" t="n"/>
      <c r="G122" s="6" t="n"/>
      <c r="H122" s="5" t="n"/>
    </row>
    <row r="123">
      <c r="A123" t="n">
        <v>120</v>
      </c>
      <c r="B123" s="8" t="n"/>
      <c r="C123" s="5" t="n"/>
      <c r="D123" s="5" t="n"/>
      <c r="E123" s="5" t="n"/>
      <c r="F123" s="5" t="n"/>
      <c r="G123" s="6" t="n"/>
      <c r="H123" s="5" t="n"/>
    </row>
    <row r="124">
      <c r="A124" t="n">
        <v>121</v>
      </c>
      <c r="B124" s="8" t="n"/>
      <c r="C124" s="5" t="n"/>
      <c r="D124" s="5" t="n"/>
      <c r="E124" s="5" t="n"/>
      <c r="F124" s="5" t="n"/>
      <c r="G124" s="6" t="n"/>
      <c r="H124" s="5" t="n"/>
    </row>
    <row r="125">
      <c r="A125" t="n">
        <v>122</v>
      </c>
      <c r="B125" s="8" t="n"/>
      <c r="C125" s="5" t="n"/>
      <c r="D125" s="5" t="n"/>
      <c r="E125" s="5" t="n"/>
      <c r="F125" s="5" t="n"/>
      <c r="G125" s="6" t="n"/>
      <c r="H125" s="5" t="n"/>
    </row>
    <row r="126">
      <c r="A126" t="n">
        <v>123</v>
      </c>
      <c r="B126" s="8" t="n"/>
      <c r="C126" s="5" t="n"/>
      <c r="D126" s="5" t="n"/>
      <c r="E126" s="5" t="n"/>
      <c r="F126" s="5" t="n"/>
      <c r="G126" s="6" t="n"/>
      <c r="H126" s="5" t="n"/>
    </row>
    <row r="127">
      <c r="A127" t="n">
        <v>124</v>
      </c>
      <c r="B127" s="8" t="n"/>
      <c r="C127" s="5" t="n"/>
      <c r="D127" s="5" t="n"/>
      <c r="E127" s="5" t="n"/>
      <c r="F127" s="5" t="n"/>
      <c r="G127" s="6" t="n"/>
      <c r="H127" s="5" t="n"/>
    </row>
    <row r="128">
      <c r="A128" t="n">
        <v>125</v>
      </c>
      <c r="B128" s="8" t="n"/>
      <c r="C128" s="5" t="n"/>
      <c r="D128" s="5" t="n"/>
      <c r="E128" s="5" t="n"/>
      <c r="F128" s="5" t="n"/>
      <c r="G128" s="6" t="n"/>
      <c r="H128" s="5" t="n"/>
    </row>
    <row r="129">
      <c r="A129" t="n">
        <v>126</v>
      </c>
      <c r="B129" s="8" t="n"/>
      <c r="C129" s="5" t="n"/>
      <c r="D129" s="5" t="n"/>
      <c r="E129" s="5" t="n"/>
      <c r="F129" s="5" t="n"/>
      <c r="G129" s="6" t="n"/>
      <c r="H129" s="5" t="n"/>
    </row>
    <row r="130">
      <c r="A130" t="n">
        <v>127</v>
      </c>
      <c r="B130" s="8" t="n"/>
      <c r="C130" s="5" t="n"/>
      <c r="D130" s="5" t="n"/>
      <c r="E130" s="5" t="n"/>
      <c r="F130" s="5" t="n"/>
      <c r="G130" s="6" t="n"/>
      <c r="H130" s="5" t="n"/>
    </row>
    <row r="131">
      <c r="A131" t="n">
        <v>128</v>
      </c>
      <c r="B131" s="8" t="n"/>
      <c r="C131" s="5" t="n"/>
      <c r="D131" s="5" t="n"/>
      <c r="E131" s="5" t="n"/>
      <c r="F131" s="5" t="n"/>
      <c r="G131" s="6" t="n"/>
      <c r="H131" s="5" t="n"/>
    </row>
    <row r="132">
      <c r="A132" t="n">
        <v>129</v>
      </c>
      <c r="B132" s="8" t="n"/>
      <c r="C132" s="5" t="n"/>
      <c r="D132" s="5" t="n"/>
      <c r="E132" s="5" t="n"/>
      <c r="F132" s="5" t="n"/>
      <c r="G132" s="6" t="n"/>
      <c r="H132" s="5" t="n"/>
    </row>
    <row r="133">
      <c r="A133" t="n">
        <v>130</v>
      </c>
      <c r="B133" s="8" t="n"/>
      <c r="C133" s="5" t="n"/>
      <c r="D133" s="5" t="n"/>
      <c r="E133" s="5" t="n"/>
      <c r="F133" s="5" t="n"/>
      <c r="G133" s="6" t="n"/>
      <c r="H133" s="5" t="n"/>
    </row>
    <row r="134">
      <c r="A134" t="n">
        <v>131</v>
      </c>
      <c r="B134" s="8" t="n"/>
      <c r="C134" s="5" t="n"/>
      <c r="D134" s="5" t="n"/>
      <c r="E134" s="5" t="n"/>
      <c r="F134" s="5" t="n"/>
      <c r="G134" s="6" t="n"/>
      <c r="H134" s="5" t="n"/>
    </row>
    <row r="135">
      <c r="A135" t="n">
        <v>132</v>
      </c>
      <c r="B135" s="8" t="n"/>
      <c r="C135" s="5" t="n"/>
      <c r="D135" s="5" t="n"/>
      <c r="E135" s="5" t="n"/>
      <c r="F135" s="5" t="n"/>
      <c r="G135" s="6" t="n"/>
      <c r="H135" s="5" t="n"/>
    </row>
    <row r="136">
      <c r="A136" t="n">
        <v>133</v>
      </c>
      <c r="B136" s="8" t="n"/>
      <c r="C136" s="5" t="n"/>
      <c r="D136" s="5" t="n"/>
      <c r="E136" s="5" t="n"/>
      <c r="F136" s="5" t="n"/>
      <c r="G136" s="6" t="n"/>
      <c r="H136" s="5" t="n"/>
    </row>
    <row r="137">
      <c r="A137" t="n">
        <v>134</v>
      </c>
      <c r="B137" s="8" t="n"/>
      <c r="C137" s="5" t="n"/>
      <c r="D137" s="5" t="n"/>
      <c r="E137" s="5" t="n"/>
      <c r="F137" s="5" t="n"/>
      <c r="G137" s="6" t="n"/>
      <c r="H137" s="5" t="n"/>
    </row>
    <row r="138">
      <c r="A138" t="n">
        <v>135</v>
      </c>
      <c r="B138" s="8" t="n"/>
      <c r="C138" s="5" t="n"/>
      <c r="D138" s="5" t="n"/>
      <c r="E138" s="5" t="n"/>
      <c r="F138" s="5" t="n"/>
      <c r="G138" s="6" t="n"/>
      <c r="H138" s="5" t="n"/>
    </row>
    <row r="139">
      <c r="A139" t="n">
        <v>136</v>
      </c>
      <c r="B139" s="8" t="n"/>
      <c r="C139" s="5" t="n"/>
      <c r="D139" s="5" t="n"/>
      <c r="E139" s="5" t="n"/>
      <c r="F139" s="5" t="n"/>
      <c r="G139" s="6" t="n"/>
      <c r="H139" s="5" t="n"/>
    </row>
    <row r="140">
      <c r="A140" t="n">
        <v>137</v>
      </c>
      <c r="B140" s="8" t="n"/>
      <c r="C140" s="5" t="n"/>
      <c r="D140" s="5" t="n"/>
      <c r="E140" s="5" t="n"/>
      <c r="F140" s="5" t="n"/>
      <c r="G140" s="6" t="n"/>
      <c r="H140" s="5" t="n"/>
    </row>
    <row r="141">
      <c r="A141" t="n">
        <v>138</v>
      </c>
      <c r="B141" s="8" t="n"/>
      <c r="C141" s="5" t="n"/>
      <c r="D141" s="5" t="n"/>
      <c r="E141" s="5" t="n"/>
      <c r="F141" s="5" t="n"/>
      <c r="G141" s="6" t="n"/>
      <c r="H141" s="5" t="n"/>
    </row>
    <row r="142">
      <c r="A142" t="n">
        <v>139</v>
      </c>
      <c r="B142" s="8" t="n"/>
      <c r="C142" s="5" t="n"/>
      <c r="D142" s="5" t="n"/>
      <c r="E142" s="5" t="n"/>
      <c r="F142" s="5" t="n"/>
      <c r="G142" s="6" t="n"/>
      <c r="H142" s="5" t="n"/>
    </row>
    <row r="143">
      <c r="A143" t="n">
        <v>140</v>
      </c>
      <c r="B143" s="8" t="n"/>
      <c r="C143" s="5" t="n"/>
      <c r="D143" s="5" t="n"/>
      <c r="E143" s="5" t="n"/>
      <c r="F143" s="5" t="n"/>
      <c r="G143" s="6" t="n"/>
      <c r="H143" s="5" t="n"/>
    </row>
    <row r="144">
      <c r="A144" t="n">
        <v>141</v>
      </c>
      <c r="B144" s="8" t="n"/>
      <c r="C144" s="5" t="n"/>
      <c r="D144" s="5" t="n"/>
      <c r="E144" s="5" t="n"/>
      <c r="F144" s="5" t="n"/>
      <c r="G144" s="6" t="n"/>
      <c r="H144" s="5" t="n"/>
    </row>
    <row r="145">
      <c r="A145" t="n">
        <v>142</v>
      </c>
      <c r="B145" s="8" t="n"/>
      <c r="C145" s="5" t="n"/>
      <c r="D145" s="5" t="n"/>
      <c r="E145" s="5" t="n"/>
      <c r="F145" s="5" t="n"/>
      <c r="G145" s="6" t="n"/>
      <c r="H145" s="5" t="n"/>
    </row>
    <row r="146">
      <c r="A146" t="n">
        <v>143</v>
      </c>
      <c r="B146" s="8" t="n"/>
      <c r="C146" s="5" t="n"/>
      <c r="D146" s="5" t="n"/>
      <c r="E146" s="5" t="n"/>
      <c r="F146" s="5" t="n"/>
      <c r="G146" s="6" t="n"/>
      <c r="H146" s="5" t="n"/>
    </row>
    <row r="147">
      <c r="A147" t="n">
        <v>144</v>
      </c>
      <c r="B147" s="8" t="n"/>
      <c r="C147" s="5" t="n"/>
      <c r="D147" s="5" t="n"/>
      <c r="E147" s="5" t="n"/>
      <c r="F147" s="5" t="n"/>
      <c r="G147" s="6" t="n"/>
      <c r="H147" s="5" t="n"/>
    </row>
    <row r="148">
      <c r="A148" t="n">
        <v>145</v>
      </c>
      <c r="B148" s="8" t="n"/>
      <c r="C148" s="5" t="n"/>
      <c r="D148" s="5" t="n"/>
      <c r="E148" s="5" t="n"/>
      <c r="F148" s="5" t="n"/>
      <c r="G148" s="6" t="n"/>
      <c r="H148" s="5" t="n"/>
    </row>
    <row r="149">
      <c r="A149" t="n">
        <v>146</v>
      </c>
      <c r="B149" s="8" t="n"/>
      <c r="C149" s="5" t="n"/>
      <c r="D149" s="5" t="n"/>
      <c r="E149" s="5" t="n"/>
      <c r="F149" s="5" t="n"/>
      <c r="G149" s="6" t="n"/>
      <c r="H149" s="5" t="n"/>
    </row>
    <row r="150">
      <c r="A150" t="n">
        <v>147</v>
      </c>
      <c r="B150" s="8" t="n"/>
      <c r="C150" s="5" t="n"/>
      <c r="D150" s="5" t="n"/>
      <c r="E150" s="5" t="n"/>
      <c r="F150" s="5" t="n"/>
      <c r="G150" s="6" t="n"/>
      <c r="H150" s="5" t="n"/>
    </row>
    <row r="151">
      <c r="A151" t="n">
        <v>148</v>
      </c>
      <c r="B151" s="8" t="n"/>
      <c r="C151" s="5" t="n"/>
      <c r="D151" s="5" t="n"/>
      <c r="E151" s="5" t="n"/>
      <c r="F151" s="5" t="n"/>
      <c r="G151" s="6" t="n"/>
      <c r="H151" s="5" t="n"/>
    </row>
    <row r="152">
      <c r="A152" t="n">
        <v>149</v>
      </c>
      <c r="B152" s="8" t="n"/>
      <c r="C152" s="5" t="n"/>
      <c r="D152" s="5" t="n"/>
      <c r="E152" s="5" t="n"/>
      <c r="F152" s="5" t="n"/>
      <c r="G152" s="6" t="n"/>
      <c r="H152" s="5" t="n"/>
    </row>
    <row r="153">
      <c r="A153" t="n">
        <v>150</v>
      </c>
      <c r="B153" s="8" t="n"/>
      <c r="C153" s="5" t="n"/>
      <c r="D153" s="5" t="n"/>
      <c r="E153" s="5" t="n"/>
      <c r="F153" s="5" t="n"/>
      <c r="G153" s="6" t="n"/>
      <c r="H153" s="5" t="n"/>
    </row>
    <row r="154">
      <c r="A154" t="n">
        <v>151</v>
      </c>
      <c r="B154" s="8" t="n"/>
      <c r="C154" s="5" t="n"/>
      <c r="D154" s="5" t="n"/>
      <c r="E154" s="5" t="n"/>
      <c r="F154" s="5" t="n"/>
      <c r="G154" s="6" t="n"/>
      <c r="H154" s="5" t="n"/>
    </row>
    <row r="155">
      <c r="A155" t="n">
        <v>152</v>
      </c>
      <c r="B155" s="8" t="n"/>
      <c r="C155" s="5" t="n"/>
      <c r="D155" s="5" t="n"/>
      <c r="E155" s="5" t="n"/>
      <c r="F155" s="5" t="n"/>
      <c r="G155" s="6" t="n"/>
      <c r="H155" s="5" t="n"/>
    </row>
    <row r="156">
      <c r="A156" t="n">
        <v>153</v>
      </c>
      <c r="B156" s="8" t="n"/>
      <c r="C156" s="5" t="n"/>
      <c r="D156" s="5" t="n"/>
      <c r="E156" s="5" t="n"/>
      <c r="F156" s="5" t="n"/>
      <c r="G156" s="6" t="n"/>
      <c r="H156" s="5" t="n"/>
    </row>
    <row r="157">
      <c r="A157" t="n">
        <v>154</v>
      </c>
      <c r="B157" s="8" t="n"/>
      <c r="C157" s="5" t="n"/>
      <c r="D157" s="5" t="n"/>
      <c r="E157" s="5" t="n"/>
      <c r="F157" s="5" t="n"/>
      <c r="G157" s="6" t="n"/>
      <c r="H157" s="5" t="n"/>
    </row>
    <row r="158">
      <c r="A158" t="n">
        <v>155</v>
      </c>
      <c r="B158" s="8" t="n"/>
      <c r="C158" s="5" t="n"/>
      <c r="D158" s="5" t="n"/>
      <c r="E158" s="5" t="n"/>
      <c r="F158" s="5" t="n"/>
      <c r="G158" s="6" t="n"/>
      <c r="H158" s="5" t="n"/>
    </row>
    <row r="159">
      <c r="A159" t="n">
        <v>156</v>
      </c>
      <c r="B159" s="8" t="n"/>
      <c r="C159" s="5" t="n"/>
      <c r="D159" s="5" t="n"/>
      <c r="E159" s="5" t="n"/>
      <c r="F159" s="5" t="n"/>
      <c r="G159" s="6" t="n"/>
      <c r="H159" s="5" t="n"/>
    </row>
    <row r="160">
      <c r="A160" t="n">
        <v>157</v>
      </c>
      <c r="B160" s="8" t="n"/>
      <c r="C160" s="5" t="n"/>
      <c r="D160" s="5" t="n"/>
      <c r="E160" s="5" t="n"/>
      <c r="F160" s="5" t="n"/>
      <c r="G160" s="6" t="n"/>
      <c r="H160" s="5" t="n"/>
    </row>
    <row r="161">
      <c r="A161" t="n">
        <v>158</v>
      </c>
      <c r="B161" s="8" t="n"/>
      <c r="C161" s="5" t="n"/>
      <c r="D161" s="5" t="n"/>
      <c r="E161" s="5" t="n"/>
      <c r="F161" s="5" t="n"/>
      <c r="G161" s="6" t="n"/>
      <c r="H161" s="5" t="n"/>
    </row>
    <row r="162">
      <c r="A162" t="n">
        <v>159</v>
      </c>
      <c r="B162" s="8" t="n"/>
      <c r="C162" s="5" t="n"/>
      <c r="D162" s="5" t="n"/>
      <c r="E162" s="5" t="n"/>
      <c r="F162" s="5" t="n"/>
      <c r="G162" s="6" t="n"/>
      <c r="H162" s="5" t="n"/>
    </row>
    <row r="163">
      <c r="A163" t="n">
        <v>160</v>
      </c>
      <c r="B163" s="8" t="n"/>
      <c r="C163" s="5" t="n"/>
      <c r="D163" s="5" t="n"/>
      <c r="E163" s="5" t="n"/>
      <c r="F163" s="5" t="n"/>
      <c r="G163" s="6" t="n"/>
      <c r="H163" s="5" t="n"/>
    </row>
    <row r="164">
      <c r="A164" t="n">
        <v>161</v>
      </c>
      <c r="B164" s="8" t="n"/>
      <c r="C164" s="5" t="n"/>
      <c r="D164" s="5" t="n"/>
      <c r="E164" s="5" t="n"/>
      <c r="F164" s="5" t="n"/>
      <c r="G164" s="6" t="n"/>
      <c r="H164" s="5" t="n"/>
    </row>
    <row r="165">
      <c r="A165" t="n">
        <v>162</v>
      </c>
      <c r="B165" s="8" t="n"/>
      <c r="C165" s="5" t="n"/>
      <c r="D165" s="5" t="n"/>
      <c r="E165" s="5" t="n"/>
      <c r="F165" s="5" t="n"/>
      <c r="G165" s="6" t="n"/>
      <c r="H165" s="5" t="n"/>
    </row>
    <row r="166">
      <c r="A166" t="n">
        <v>163</v>
      </c>
      <c r="B166" s="8" t="n"/>
      <c r="C166" s="5" t="n"/>
      <c r="D166" s="5" t="n"/>
      <c r="E166" s="5" t="n"/>
      <c r="F166" s="5" t="n"/>
      <c r="G166" s="6" t="n"/>
      <c r="H166" s="5" t="n"/>
    </row>
    <row r="167">
      <c r="A167" t="n">
        <v>164</v>
      </c>
      <c r="B167" s="8" t="n"/>
      <c r="C167" s="5" t="n"/>
      <c r="D167" s="5" t="n"/>
      <c r="E167" s="5" t="n"/>
      <c r="F167" s="5" t="n"/>
      <c r="G167" s="6" t="n"/>
      <c r="H167" s="5" t="n"/>
    </row>
    <row r="168">
      <c r="A168" t="n">
        <v>165</v>
      </c>
      <c r="B168" s="8" t="n"/>
      <c r="C168" s="5" t="n"/>
      <c r="D168" s="5" t="n"/>
      <c r="E168" s="5" t="n"/>
      <c r="F168" s="5" t="n"/>
      <c r="G168" s="6" t="n"/>
      <c r="H168" s="5" t="n"/>
    </row>
    <row r="169">
      <c r="A169" t="n">
        <v>166</v>
      </c>
      <c r="B169" s="8" t="n"/>
      <c r="C169" s="5" t="n"/>
      <c r="D169" s="5" t="n"/>
      <c r="E169" s="5" t="n"/>
      <c r="F169" s="5" t="n"/>
      <c r="G169" s="6" t="n"/>
      <c r="H169" s="5" t="n"/>
    </row>
    <row r="170">
      <c r="A170" t="n">
        <v>167</v>
      </c>
      <c r="B170" s="8" t="n"/>
      <c r="C170" s="5" t="n"/>
      <c r="D170" s="5" t="n"/>
      <c r="E170" s="5" t="n"/>
      <c r="F170" s="5" t="n"/>
      <c r="G170" s="6" t="n"/>
      <c r="H170" s="5" t="n"/>
    </row>
    <row r="171">
      <c r="A171" t="n">
        <v>168</v>
      </c>
      <c r="B171" s="8" t="n"/>
      <c r="C171" s="5" t="n"/>
      <c r="D171" s="5" t="n"/>
      <c r="E171" s="5" t="n"/>
      <c r="F171" s="5" t="n"/>
      <c r="G171" s="6" t="n"/>
      <c r="H171" s="5" t="n"/>
    </row>
    <row r="172">
      <c r="A172" t="n">
        <v>169</v>
      </c>
      <c r="B172" s="8" t="n"/>
      <c r="C172" s="5" t="n"/>
      <c r="D172" s="5" t="n"/>
      <c r="E172" s="5" t="n"/>
      <c r="F172" s="5" t="n"/>
      <c r="G172" s="6" t="n"/>
      <c r="H172" s="5" t="n"/>
    </row>
    <row r="173">
      <c r="A173" t="n">
        <v>170</v>
      </c>
      <c r="B173" s="8" t="n"/>
      <c r="C173" s="5" t="n"/>
      <c r="D173" s="5" t="n"/>
      <c r="E173" s="5" t="n"/>
      <c r="F173" s="5" t="n"/>
      <c r="G173" s="6" t="n"/>
      <c r="H173" s="5" t="n"/>
    </row>
    <row r="174">
      <c r="A174" t="n">
        <v>171</v>
      </c>
      <c r="B174" s="8" t="n"/>
      <c r="C174" s="5" t="n"/>
      <c r="D174" s="5" t="n"/>
      <c r="E174" s="5" t="n"/>
      <c r="F174" s="5" t="n"/>
      <c r="G174" s="6" t="n"/>
      <c r="H174" s="5" t="n"/>
    </row>
    <row r="175">
      <c r="A175" t="n">
        <v>172</v>
      </c>
      <c r="B175" s="8" t="n"/>
      <c r="C175" s="5" t="n"/>
      <c r="D175" s="5" t="n"/>
      <c r="E175" s="5" t="n"/>
      <c r="F175" s="5" t="n"/>
      <c r="G175" s="6" t="n"/>
      <c r="H175" s="5" t="n"/>
    </row>
    <row r="176">
      <c r="A176" t="n">
        <v>173</v>
      </c>
      <c r="B176" s="8" t="n"/>
      <c r="C176" s="5" t="n"/>
      <c r="D176" s="5" t="n"/>
      <c r="E176" s="5" t="n"/>
      <c r="F176" s="5" t="n"/>
      <c r="G176" s="6" t="n"/>
      <c r="H176" s="5" t="n"/>
    </row>
    <row r="177">
      <c r="A177" t="n">
        <v>174</v>
      </c>
      <c r="B177" s="8" t="n"/>
      <c r="C177" s="5" t="n"/>
      <c r="D177" s="5" t="n"/>
      <c r="E177" s="5" t="n"/>
      <c r="F177" s="5" t="n"/>
      <c r="G177" s="6" t="n"/>
      <c r="H177" s="5" t="n"/>
    </row>
    <row r="178">
      <c r="A178" t="n">
        <v>175</v>
      </c>
      <c r="B178" s="8" t="n"/>
      <c r="C178" s="5" t="n"/>
      <c r="D178" s="5" t="n"/>
      <c r="E178" s="5" t="n"/>
      <c r="F178" s="5" t="n"/>
      <c r="G178" s="6" t="n"/>
      <c r="H178" s="5" t="n"/>
    </row>
    <row r="179">
      <c r="A179" t="n">
        <v>176</v>
      </c>
      <c r="B179" s="8" t="n"/>
      <c r="C179" s="5" t="n"/>
      <c r="D179" s="5" t="n"/>
      <c r="E179" s="5" t="n"/>
      <c r="F179" s="5" t="n"/>
      <c r="G179" s="6" t="n"/>
      <c r="H179" s="5" t="n"/>
    </row>
    <row r="180">
      <c r="A180" t="n">
        <v>177</v>
      </c>
      <c r="B180" s="8" t="n"/>
      <c r="C180" s="5" t="n"/>
      <c r="D180" s="5" t="n"/>
      <c r="E180" s="5" t="n"/>
      <c r="F180" s="5" t="n"/>
      <c r="G180" s="6" t="n"/>
      <c r="H180" s="5" t="n"/>
    </row>
    <row r="181">
      <c r="A181" t="n">
        <v>178</v>
      </c>
      <c r="B181" s="8" t="n"/>
      <c r="C181" s="5" t="n"/>
      <c r="D181" s="5" t="n"/>
      <c r="E181" s="5" t="n"/>
      <c r="F181" s="5" t="n"/>
      <c r="G181" s="6" t="n"/>
      <c r="H181" s="5" t="n"/>
    </row>
    <row r="182">
      <c r="A182" t="n">
        <v>179</v>
      </c>
      <c r="B182" s="8" t="n"/>
      <c r="C182" s="5" t="n"/>
      <c r="D182" s="5" t="n"/>
      <c r="E182" s="5" t="n"/>
      <c r="F182" s="5" t="n"/>
      <c r="G182" s="6" t="n"/>
      <c r="H182" s="5" t="n"/>
    </row>
    <row r="183">
      <c r="A183" t="n">
        <v>180</v>
      </c>
      <c r="B183" s="8" t="n"/>
      <c r="C183" s="5" t="n"/>
      <c r="D183" s="5" t="n"/>
      <c r="E183" s="5" t="n"/>
      <c r="F183" s="5" t="n"/>
      <c r="G183" s="6" t="n"/>
      <c r="H183" s="5" t="n"/>
    </row>
    <row r="184">
      <c r="A184" t="n">
        <v>181</v>
      </c>
      <c r="B184" s="8" t="n"/>
      <c r="C184" s="5" t="n"/>
      <c r="D184" s="5" t="n"/>
      <c r="E184" s="5" t="n"/>
      <c r="F184" s="5" t="n"/>
      <c r="G184" s="6" t="n"/>
      <c r="H184" s="5" t="n"/>
    </row>
    <row r="185">
      <c r="A185" t="n">
        <v>182</v>
      </c>
      <c r="B185" s="8" t="n"/>
      <c r="C185" s="5" t="n"/>
      <c r="D185" s="5" t="n"/>
      <c r="E185" s="5" t="n"/>
      <c r="F185" s="5" t="n"/>
      <c r="G185" s="6" t="n"/>
      <c r="H185" s="5" t="n"/>
    </row>
    <row r="186">
      <c r="A186" t="n">
        <v>183</v>
      </c>
      <c r="B186" s="8" t="n"/>
      <c r="C186" s="5" t="n"/>
      <c r="D186" s="5" t="n"/>
      <c r="E186" s="5" t="n"/>
      <c r="F186" s="5" t="n"/>
      <c r="G186" s="6" t="n"/>
      <c r="H186" s="5" t="n"/>
    </row>
    <row r="187">
      <c r="A187" t="n">
        <v>184</v>
      </c>
      <c r="B187" s="8" t="n"/>
      <c r="C187" s="5" t="n"/>
      <c r="D187" s="5" t="n"/>
      <c r="E187" s="5" t="n"/>
      <c r="F187" s="5" t="n"/>
      <c r="G187" s="6" t="n"/>
      <c r="H187" s="5" t="n"/>
    </row>
    <row r="188">
      <c r="A188" t="n">
        <v>185</v>
      </c>
      <c r="B188" s="8" t="n"/>
      <c r="C188" s="5" t="n"/>
      <c r="D188" s="5" t="n"/>
      <c r="E188" s="5" t="n"/>
      <c r="F188" s="5" t="n"/>
      <c r="G188" s="6" t="n"/>
      <c r="H188" s="5" t="n"/>
    </row>
    <row r="189">
      <c r="A189" t="n">
        <v>186</v>
      </c>
      <c r="B189" s="8" t="n"/>
      <c r="C189" s="5" t="n"/>
      <c r="D189" s="5" t="n"/>
      <c r="E189" s="5" t="n"/>
      <c r="F189" s="5" t="n"/>
      <c r="G189" s="6" t="n"/>
      <c r="H189" s="5" t="n"/>
    </row>
    <row r="190">
      <c r="A190" t="n">
        <v>187</v>
      </c>
      <c r="B190" s="8" t="n"/>
      <c r="C190" s="5" t="n"/>
      <c r="D190" s="5" t="n"/>
      <c r="E190" s="5" t="n"/>
      <c r="F190" s="5" t="n"/>
      <c r="G190" s="6" t="n"/>
      <c r="H190" s="5" t="n"/>
    </row>
    <row r="191">
      <c r="A191" t="n">
        <v>188</v>
      </c>
      <c r="B191" s="8" t="n"/>
      <c r="C191" s="5" t="n"/>
      <c r="D191" s="5" t="n"/>
      <c r="E191" s="5" t="n"/>
      <c r="F191" s="5" t="n"/>
      <c r="G191" s="6" t="n"/>
      <c r="H191" s="5" t="n"/>
    </row>
    <row r="192">
      <c r="A192" t="n">
        <v>189</v>
      </c>
      <c r="B192" s="8" t="n"/>
      <c r="C192" s="5" t="n"/>
      <c r="D192" s="5" t="n"/>
      <c r="E192" s="5" t="n"/>
      <c r="F192" s="5" t="n"/>
      <c r="G192" s="6" t="n"/>
      <c r="H192" s="5" t="n"/>
    </row>
    <row r="193">
      <c r="A193" t="n">
        <v>190</v>
      </c>
      <c r="B193" s="8" t="n"/>
      <c r="C193" s="5" t="n"/>
      <c r="D193" s="5" t="n"/>
      <c r="E193" s="5" t="n"/>
      <c r="F193" s="5" t="n"/>
      <c r="G193" s="6" t="n"/>
      <c r="H193" s="5" t="n"/>
    </row>
    <row r="194">
      <c r="A194" t="n">
        <v>191</v>
      </c>
      <c r="B194" s="8" t="n"/>
      <c r="C194" s="5" t="n"/>
      <c r="D194" s="5" t="n"/>
      <c r="E194" s="5" t="n"/>
      <c r="F194" s="5" t="n"/>
      <c r="G194" s="6" t="n"/>
      <c r="H194" s="5" t="n"/>
    </row>
    <row r="195">
      <c r="A195" t="n">
        <v>192</v>
      </c>
      <c r="B195" s="8" t="n"/>
      <c r="C195" s="5" t="n"/>
      <c r="D195" s="5" t="n"/>
      <c r="E195" s="5" t="n"/>
      <c r="F195" s="5" t="n"/>
      <c r="G195" s="6" t="n"/>
      <c r="H195" s="5" t="n"/>
    </row>
    <row r="196">
      <c r="A196" t="n">
        <v>193</v>
      </c>
      <c r="B196" s="8" t="n"/>
      <c r="C196" s="5" t="n"/>
      <c r="D196" s="5" t="n"/>
      <c r="E196" s="5" t="n"/>
      <c r="F196" s="5" t="n"/>
      <c r="G196" s="6" t="n"/>
      <c r="H196" s="5" t="n"/>
    </row>
    <row r="197">
      <c r="A197" t="n">
        <v>194</v>
      </c>
      <c r="B197" s="8" t="n"/>
      <c r="C197" s="5" t="n"/>
      <c r="D197" s="5" t="n"/>
      <c r="E197" s="5" t="n"/>
      <c r="F197" s="5" t="n"/>
      <c r="G197" s="6" t="n"/>
      <c r="H197" s="5" t="n"/>
    </row>
    <row r="198">
      <c r="A198" t="n">
        <v>195</v>
      </c>
      <c r="B198" s="8" t="n"/>
      <c r="C198" s="5" t="n"/>
      <c r="D198" s="5" t="n"/>
      <c r="E198" s="5" t="n"/>
      <c r="F198" s="5" t="n"/>
      <c r="G198" s="6" t="n"/>
      <c r="H198" s="5" t="n"/>
    </row>
    <row r="199">
      <c r="A199" t="n">
        <v>196</v>
      </c>
      <c r="B199" s="8" t="n"/>
      <c r="C199" s="5" t="n"/>
      <c r="D199" s="5" t="n"/>
      <c r="E199" s="5" t="n"/>
      <c r="F199" s="5" t="n"/>
      <c r="G199" s="6" t="n"/>
      <c r="H199" s="5" t="n"/>
    </row>
    <row r="200">
      <c r="A200" t="n">
        <v>197</v>
      </c>
      <c r="B200" s="8" t="n"/>
      <c r="C200" s="5" t="n"/>
      <c r="D200" s="5" t="n"/>
      <c r="E200" s="5" t="n"/>
      <c r="F200" s="5" t="n"/>
      <c r="G200" s="6" t="n"/>
      <c r="H200" s="5" t="n"/>
    </row>
    <row r="201">
      <c r="A201" t="n">
        <v>198</v>
      </c>
      <c r="B201" s="8" t="n"/>
      <c r="C201" s="5" t="n"/>
      <c r="D201" s="5" t="n"/>
      <c r="E201" s="5" t="n"/>
      <c r="F201" s="5" t="n"/>
      <c r="G201" s="6" t="n"/>
      <c r="H201" s="5" t="n"/>
    </row>
    <row r="202">
      <c r="A202" t="n">
        <v>199</v>
      </c>
      <c r="B202" s="8" t="n"/>
      <c r="C202" s="5" t="n"/>
      <c r="D202" s="5" t="n"/>
      <c r="E202" s="5" t="n"/>
      <c r="F202" s="5" t="n"/>
      <c r="G202" s="6" t="n"/>
      <c r="H202" s="5" t="n"/>
    </row>
    <row r="203">
      <c r="A203" t="n">
        <v>200</v>
      </c>
      <c r="B203" s="8" t="n"/>
      <c r="C203" s="5" t="n"/>
      <c r="D203" s="5" t="n"/>
      <c r="E203" s="5" t="n"/>
      <c r="F203" s="5" t="n"/>
      <c r="G203" s="6" t="n"/>
      <c r="H203" s="5" t="n"/>
    </row>
    <row r="204">
      <c r="A204" t="n">
        <v>201</v>
      </c>
      <c r="B204" s="8" t="n"/>
      <c r="C204" s="5" t="n"/>
      <c r="D204" s="5" t="n"/>
      <c r="E204" s="5" t="n"/>
      <c r="F204" s="5" t="n"/>
      <c r="G204" s="6" t="n"/>
      <c r="H204" s="5" t="n"/>
    </row>
    <row r="205">
      <c r="A205" t="n">
        <v>202</v>
      </c>
      <c r="B205" s="8" t="n"/>
      <c r="C205" s="5" t="n"/>
      <c r="D205" s="5" t="n"/>
      <c r="E205" s="5" t="n"/>
      <c r="F205" s="5" t="n"/>
      <c r="G205" s="6" t="n"/>
      <c r="H205" s="5" t="n"/>
    </row>
    <row r="206">
      <c r="A206" t="n">
        <v>203</v>
      </c>
      <c r="B206" s="8" t="n"/>
      <c r="C206" s="5" t="n"/>
      <c r="D206" s="5" t="n"/>
      <c r="E206" s="5" t="n"/>
      <c r="F206" s="5" t="n"/>
      <c r="G206" s="6" t="n"/>
      <c r="H206" s="5" t="n"/>
    </row>
    <row r="207">
      <c r="A207" t="n">
        <v>204</v>
      </c>
      <c r="B207" s="8" t="n"/>
      <c r="C207" s="5" t="n"/>
      <c r="D207" s="5" t="n"/>
      <c r="E207" s="5" t="n"/>
      <c r="F207" s="5" t="n"/>
      <c r="G207" s="6" t="n"/>
      <c r="H207" s="5" t="n"/>
    </row>
    <row r="208">
      <c r="A208" t="n">
        <v>205</v>
      </c>
      <c r="B208" s="8" t="n"/>
      <c r="C208" s="5" t="n"/>
      <c r="D208" s="5" t="n"/>
      <c r="E208" s="5" t="n"/>
      <c r="F208" s="5" t="n"/>
      <c r="G208" s="6" t="n"/>
      <c r="H208" s="5" t="n"/>
    </row>
    <row r="209">
      <c r="A209" t="n">
        <v>206</v>
      </c>
      <c r="B209" s="8" t="n"/>
      <c r="C209" s="5" t="n"/>
      <c r="D209" s="5" t="n"/>
      <c r="E209" s="5" t="n"/>
      <c r="F209" s="5" t="n"/>
      <c r="G209" s="6" t="n"/>
      <c r="H209" s="5" t="n"/>
    </row>
    <row r="210">
      <c r="A210" t="n">
        <v>207</v>
      </c>
      <c r="B210" s="8" t="n"/>
      <c r="C210" s="5" t="n"/>
      <c r="D210" s="5" t="n"/>
      <c r="E210" s="5" t="n"/>
      <c r="F210" s="5" t="n"/>
      <c r="G210" s="6" t="n"/>
      <c r="H210" s="5" t="n"/>
    </row>
    <row r="211">
      <c r="A211" t="n">
        <v>208</v>
      </c>
      <c r="B211" s="8" t="n"/>
      <c r="C211" s="5" t="n"/>
      <c r="D211" s="5" t="n"/>
      <c r="E211" s="5" t="n"/>
      <c r="F211" s="5" t="n"/>
      <c r="G211" s="6" t="n"/>
      <c r="H211" s="5" t="n"/>
    </row>
    <row r="212">
      <c r="A212" t="n">
        <v>209</v>
      </c>
      <c r="B212" s="8" t="n"/>
      <c r="C212" s="5" t="n"/>
      <c r="D212" s="5" t="n"/>
      <c r="E212" s="5" t="n"/>
      <c r="F212" s="5" t="n"/>
      <c r="G212" s="6" t="n"/>
      <c r="H212" s="5" t="n"/>
    </row>
    <row r="213">
      <c r="A213" t="n">
        <v>210</v>
      </c>
      <c r="B213" s="8" t="n"/>
      <c r="C213" s="5" t="n"/>
      <c r="D213" s="5" t="n"/>
      <c r="E213" s="5" t="n"/>
      <c r="F213" s="5" t="n"/>
      <c r="G213" s="6" t="n"/>
      <c r="H213" s="5" t="n"/>
    </row>
    <row r="214">
      <c r="A214" t="n">
        <v>211</v>
      </c>
      <c r="B214" s="8" t="n"/>
      <c r="C214" s="5" t="n"/>
      <c r="D214" s="5" t="n"/>
      <c r="E214" s="5" t="n"/>
      <c r="F214" s="5" t="n"/>
      <c r="G214" s="6" t="n"/>
      <c r="H214" s="5" t="n"/>
    </row>
    <row r="215">
      <c r="A215" t="n">
        <v>212</v>
      </c>
      <c r="B215" s="8" t="n"/>
      <c r="C215" s="5" t="n"/>
      <c r="D215" s="5" t="n"/>
      <c r="E215" s="5" t="n"/>
      <c r="F215" s="5" t="n"/>
      <c r="G215" s="6" t="n"/>
      <c r="H215" s="5" t="n"/>
    </row>
    <row r="216">
      <c r="A216" t="n">
        <v>213</v>
      </c>
      <c r="B216" s="8" t="n"/>
      <c r="C216" s="5" t="n"/>
      <c r="D216" s="5" t="n"/>
      <c r="E216" s="5" t="n"/>
      <c r="F216" s="5" t="n"/>
      <c r="G216" s="6" t="n"/>
      <c r="H216" s="5" t="n"/>
    </row>
    <row r="217">
      <c r="A217" t="n">
        <v>214</v>
      </c>
      <c r="B217" s="8" t="n"/>
      <c r="C217" s="5" t="n"/>
      <c r="D217" s="5" t="n"/>
      <c r="E217" s="5" t="n"/>
      <c r="F217" s="5" t="n"/>
      <c r="G217" s="6" t="n"/>
      <c r="H217" s="5" t="n"/>
    </row>
    <row r="218">
      <c r="A218" t="n">
        <v>215</v>
      </c>
      <c r="B218" s="8" t="n"/>
      <c r="C218" s="5" t="n"/>
      <c r="D218" s="5" t="n"/>
      <c r="E218" s="5" t="n"/>
      <c r="F218" s="5" t="n"/>
      <c r="G218" s="6" t="n"/>
      <c r="H218" s="5" t="n"/>
    </row>
    <row r="219">
      <c r="A219" t="n">
        <v>216</v>
      </c>
      <c r="B219" s="8" t="n"/>
      <c r="C219" s="5" t="n"/>
      <c r="D219" s="5" t="n"/>
      <c r="E219" s="5" t="n"/>
      <c r="F219" s="5" t="n"/>
      <c r="G219" s="6" t="n"/>
      <c r="H219" s="5" t="n"/>
    </row>
    <row r="220">
      <c r="A220" t="n">
        <v>217</v>
      </c>
      <c r="B220" s="8" t="n"/>
      <c r="C220" s="5" t="n"/>
      <c r="D220" s="5" t="n"/>
      <c r="E220" s="5" t="n"/>
      <c r="F220" s="5" t="n"/>
      <c r="G220" s="6" t="n"/>
      <c r="H220" s="5" t="n"/>
    </row>
    <row r="221">
      <c r="A221" t="n">
        <v>218</v>
      </c>
      <c r="B221" s="8" t="n"/>
      <c r="C221" s="5" t="n"/>
      <c r="D221" s="5" t="n"/>
      <c r="E221" s="5" t="n"/>
      <c r="F221" s="5" t="n"/>
      <c r="G221" s="6" t="n"/>
      <c r="H221" s="5" t="n"/>
    </row>
    <row r="222">
      <c r="A222" t="n">
        <v>219</v>
      </c>
      <c r="B222" s="8" t="n"/>
      <c r="C222" s="5" t="n"/>
      <c r="D222" s="5" t="n"/>
      <c r="E222" s="5" t="n"/>
      <c r="F222" s="5" t="n"/>
      <c r="G222" s="6" t="n"/>
      <c r="H222" s="5" t="n"/>
    </row>
    <row r="223">
      <c r="A223" t="n">
        <v>220</v>
      </c>
      <c r="B223" s="8" t="n"/>
      <c r="C223" s="5" t="n"/>
      <c r="D223" s="5" t="n"/>
      <c r="E223" s="5" t="n"/>
      <c r="F223" s="5" t="n"/>
      <c r="G223" s="6" t="n"/>
      <c r="H223" s="5" t="n"/>
    </row>
    <row r="224">
      <c r="A224" t="n">
        <v>221</v>
      </c>
      <c r="B224" s="8" t="n"/>
      <c r="C224" s="5" t="n"/>
      <c r="D224" s="5" t="n"/>
      <c r="E224" s="5" t="n"/>
      <c r="F224" s="5" t="n"/>
      <c r="G224" s="6" t="n"/>
      <c r="H224" s="5" t="n"/>
    </row>
    <row r="225">
      <c r="A225" t="n">
        <v>222</v>
      </c>
      <c r="B225" s="8" t="n"/>
      <c r="C225" s="5" t="n"/>
      <c r="D225" s="5" t="n"/>
      <c r="E225" s="5" t="n"/>
      <c r="F225" s="5" t="n"/>
      <c r="G225" s="6" t="n"/>
      <c r="H225" s="5" t="n"/>
    </row>
    <row r="226">
      <c r="A226" t="n">
        <v>223</v>
      </c>
      <c r="B226" s="8" t="n"/>
      <c r="C226" s="5" t="n"/>
      <c r="D226" s="5" t="n"/>
      <c r="E226" s="5" t="n"/>
      <c r="F226" s="5" t="n"/>
      <c r="G226" s="6" t="n"/>
      <c r="H226" s="5" t="n"/>
    </row>
    <row r="227">
      <c r="A227" t="n">
        <v>224</v>
      </c>
      <c r="B227" s="8" t="n"/>
      <c r="C227" s="5" t="n"/>
      <c r="D227" s="5" t="n"/>
      <c r="E227" s="5" t="n"/>
      <c r="F227" s="5" t="n"/>
      <c r="G227" s="6" t="n"/>
      <c r="H227" s="5" t="n"/>
    </row>
    <row r="228">
      <c r="A228" t="n">
        <v>225</v>
      </c>
      <c r="B228" s="8" t="n"/>
      <c r="C228" s="5" t="n"/>
      <c r="D228" s="5" t="n"/>
      <c r="E228" s="5" t="n"/>
      <c r="F228" s="5" t="n"/>
      <c r="G228" s="6" t="n"/>
      <c r="H228" s="5" t="n"/>
    </row>
    <row r="229">
      <c r="A229" t="n">
        <v>226</v>
      </c>
      <c r="B229" s="8" t="n"/>
      <c r="C229" s="5" t="n"/>
      <c r="D229" s="5" t="n"/>
      <c r="E229" s="5" t="n"/>
      <c r="F229" s="5" t="n"/>
      <c r="G229" s="6" t="n"/>
      <c r="H229" s="5" t="n"/>
    </row>
    <row r="230">
      <c r="A230" t="n">
        <v>227</v>
      </c>
      <c r="B230" s="8" t="n"/>
      <c r="C230" s="5" t="n"/>
      <c r="D230" s="5" t="n"/>
      <c r="E230" s="5" t="n"/>
      <c r="F230" s="5" t="n"/>
      <c r="G230" s="6" t="n"/>
      <c r="H230" s="5" t="n"/>
    </row>
    <row r="231">
      <c r="A231" t="n">
        <v>228</v>
      </c>
      <c r="B231" s="8" t="n"/>
      <c r="C231" s="5" t="n"/>
      <c r="D231" s="5" t="n"/>
      <c r="E231" s="5" t="n"/>
      <c r="F231" s="5" t="n"/>
      <c r="G231" s="6" t="n"/>
      <c r="H231" s="5" t="n"/>
    </row>
    <row r="232">
      <c r="A232" t="n">
        <v>229</v>
      </c>
      <c r="B232" s="8" t="n"/>
      <c r="C232" s="5" t="n"/>
      <c r="D232" s="5" t="n"/>
      <c r="E232" s="5" t="n"/>
      <c r="F232" s="5" t="n"/>
      <c r="G232" s="6" t="n"/>
      <c r="H232" s="5" t="n"/>
    </row>
    <row r="233">
      <c r="A233" t="n">
        <v>230</v>
      </c>
      <c r="B233" s="8" t="n"/>
      <c r="C233" s="5" t="n"/>
      <c r="D233" s="5" t="n"/>
      <c r="E233" s="5" t="n"/>
      <c r="F233" s="5" t="n"/>
      <c r="G233" s="6" t="n"/>
      <c r="H233" s="5" t="n"/>
    </row>
    <row r="234">
      <c r="A234" t="n">
        <v>231</v>
      </c>
      <c r="B234" s="8" t="n"/>
      <c r="C234" s="5" t="n"/>
      <c r="D234" s="5" t="n"/>
      <c r="E234" s="5" t="n"/>
      <c r="F234" s="5" t="n"/>
      <c r="G234" s="6" t="n"/>
      <c r="H234" s="5" t="n"/>
    </row>
    <row r="235">
      <c r="A235" t="n">
        <v>232</v>
      </c>
      <c r="B235" s="8" t="n"/>
      <c r="C235" s="5" t="n"/>
      <c r="D235" s="5" t="n"/>
      <c r="E235" s="5" t="n"/>
      <c r="F235" s="5" t="n"/>
      <c r="G235" s="6" t="n"/>
      <c r="H235" s="5" t="n"/>
    </row>
    <row r="236">
      <c r="A236" t="n">
        <v>233</v>
      </c>
      <c r="B236" s="8" t="n"/>
      <c r="C236" s="5" t="n"/>
      <c r="D236" s="5" t="n"/>
      <c r="E236" s="5" t="n"/>
      <c r="F236" s="5" t="n"/>
      <c r="G236" s="6" t="n"/>
      <c r="H236" s="5" t="n"/>
    </row>
    <row r="237">
      <c r="A237" t="n">
        <v>234</v>
      </c>
      <c r="B237" s="8" t="n"/>
      <c r="C237" s="5" t="n"/>
      <c r="D237" s="5" t="n"/>
      <c r="E237" s="5" t="n"/>
      <c r="F237" s="5" t="n"/>
      <c r="G237" s="6" t="n"/>
      <c r="H237" s="5" t="n"/>
    </row>
    <row r="238">
      <c r="A238" t="n">
        <v>235</v>
      </c>
      <c r="B238" s="8" t="n"/>
      <c r="C238" s="5" t="n"/>
      <c r="D238" s="5" t="n"/>
      <c r="E238" s="5" t="n"/>
      <c r="F238" s="5" t="n"/>
      <c r="G238" s="6" t="n"/>
      <c r="H238" s="5" t="n"/>
    </row>
    <row r="239">
      <c r="A239" t="n">
        <v>236</v>
      </c>
      <c r="B239" s="8" t="n"/>
      <c r="C239" s="5" t="n"/>
      <c r="D239" s="5" t="n"/>
      <c r="E239" s="5" t="n"/>
      <c r="F239" s="5" t="n"/>
      <c r="G239" s="6" t="n"/>
      <c r="H239" s="5" t="n"/>
    </row>
    <row r="240">
      <c r="A240" t="n">
        <v>237</v>
      </c>
      <c r="B240" s="8" t="n"/>
      <c r="C240" s="5" t="n"/>
      <c r="D240" s="5" t="n"/>
      <c r="E240" s="5" t="n"/>
      <c r="F240" s="5" t="n"/>
      <c r="G240" s="6" t="n"/>
      <c r="H240" s="5" t="n"/>
    </row>
    <row r="241">
      <c r="A241" t="n">
        <v>238</v>
      </c>
      <c r="B241" s="8" t="n"/>
      <c r="C241" s="5" t="n"/>
      <c r="D241" s="5" t="n"/>
      <c r="E241" s="5" t="n"/>
      <c r="F241" s="5" t="n"/>
      <c r="G241" s="6" t="n"/>
      <c r="H241" s="5" t="n"/>
    </row>
    <row r="242">
      <c r="A242" t="n">
        <v>239</v>
      </c>
      <c r="B242" s="8" t="n"/>
      <c r="C242" s="5" t="n"/>
      <c r="D242" s="5" t="n"/>
      <c r="E242" s="5" t="n"/>
      <c r="F242" s="5" t="n"/>
      <c r="G242" s="6" t="n"/>
      <c r="H242" s="5" t="n"/>
    </row>
    <row r="243">
      <c r="A243" t="n">
        <v>240</v>
      </c>
      <c r="B243" s="8" t="n"/>
      <c r="C243" s="5" t="n"/>
      <c r="D243" s="5" t="n"/>
      <c r="E243" s="5" t="n"/>
      <c r="F243" s="5" t="n"/>
      <c r="G243" s="6" t="n"/>
      <c r="H243" s="5" t="n"/>
    </row>
    <row r="244">
      <c r="A244" t="n">
        <v>241</v>
      </c>
      <c r="B244" s="8" t="n"/>
      <c r="C244" s="5" t="n"/>
      <c r="D244" s="5" t="n"/>
      <c r="E244" s="5" t="n"/>
      <c r="F244" s="5" t="n"/>
      <c r="G244" s="6" t="n"/>
      <c r="H244" s="5" t="n"/>
    </row>
    <row r="245">
      <c r="A245" t="n">
        <v>242</v>
      </c>
      <c r="B245" s="8" t="n"/>
      <c r="C245" s="5" t="n"/>
      <c r="D245" s="5" t="n"/>
      <c r="E245" s="5" t="n"/>
      <c r="F245" s="5" t="n"/>
      <c r="G245" s="6" t="n"/>
      <c r="H245" s="5" t="n"/>
    </row>
    <row r="246">
      <c r="A246" t="n">
        <v>243</v>
      </c>
      <c r="B246" s="8" t="n"/>
      <c r="C246" s="5" t="n"/>
      <c r="D246" s="5" t="n"/>
      <c r="E246" s="5" t="n"/>
      <c r="F246" s="5" t="n"/>
      <c r="G246" s="6" t="n"/>
      <c r="H246" s="5" t="n"/>
    </row>
    <row r="247">
      <c r="A247" t="n">
        <v>244</v>
      </c>
      <c r="B247" s="8" t="n"/>
      <c r="C247" s="5" t="n"/>
      <c r="D247" s="5" t="n"/>
      <c r="E247" s="5" t="n"/>
      <c r="F247" s="5" t="n"/>
      <c r="G247" s="6" t="n"/>
      <c r="H247" s="5" t="n"/>
    </row>
    <row r="248">
      <c r="A248" t="n">
        <v>245</v>
      </c>
      <c r="B248" s="8" t="n"/>
      <c r="C248" s="5" t="n"/>
      <c r="D248" s="5" t="n"/>
      <c r="E248" s="5" t="n"/>
      <c r="F248" s="5" t="n"/>
      <c r="G248" s="6" t="n"/>
      <c r="H248" s="5" t="n"/>
    </row>
    <row r="249">
      <c r="A249" t="n">
        <v>246</v>
      </c>
      <c r="B249" s="8" t="n"/>
      <c r="C249" s="5" t="n"/>
      <c r="D249" s="5" t="n"/>
      <c r="E249" s="5" t="n"/>
      <c r="F249" s="5" t="n"/>
      <c r="G249" s="6" t="n"/>
      <c r="H249" s="5" t="n"/>
    </row>
    <row r="250">
      <c r="A250" t="n">
        <v>247</v>
      </c>
      <c r="B250" s="8" t="n"/>
      <c r="C250" s="5" t="n"/>
      <c r="D250" s="5" t="n"/>
      <c r="E250" s="5" t="n"/>
      <c r="F250" s="5" t="n"/>
      <c r="G250" s="6" t="n"/>
      <c r="H250" s="5" t="n"/>
    </row>
    <row r="251">
      <c r="A251" t="n">
        <v>248</v>
      </c>
      <c r="B251" s="8" t="n"/>
      <c r="C251" s="5" t="n"/>
      <c r="D251" s="5" t="n"/>
      <c r="E251" s="5" t="n"/>
      <c r="F251" s="5" t="n"/>
      <c r="G251" s="6" t="n"/>
      <c r="H251" s="5" t="n"/>
    </row>
    <row r="252">
      <c r="A252" t="n">
        <v>249</v>
      </c>
      <c r="B252" s="8" t="n"/>
      <c r="C252" s="5" t="n"/>
      <c r="D252" s="5" t="n"/>
      <c r="E252" s="5" t="n"/>
      <c r="F252" s="5" t="n"/>
      <c r="G252" s="6" t="n"/>
      <c r="H252" s="5" t="n"/>
    </row>
    <row r="253">
      <c r="A253" t="n">
        <v>250</v>
      </c>
      <c r="B253" s="8" t="n"/>
      <c r="C253" s="5" t="n"/>
      <c r="D253" s="5" t="n"/>
      <c r="E253" s="5" t="n"/>
      <c r="F253" s="5" t="n"/>
      <c r="G253" s="6" t="n"/>
      <c r="H253" s="5" t="n"/>
    </row>
    <row r="254">
      <c r="A254" t="n">
        <v>251</v>
      </c>
      <c r="B254" s="8" t="n"/>
      <c r="C254" s="5" t="n"/>
      <c r="D254" s="5" t="n"/>
      <c r="E254" s="5" t="n"/>
      <c r="F254" s="5" t="n"/>
      <c r="G254" s="6" t="n"/>
      <c r="H254" s="5" t="n"/>
    </row>
    <row r="255">
      <c r="A255" t="n">
        <v>252</v>
      </c>
      <c r="B255" s="8" t="n"/>
      <c r="C255" s="5" t="n"/>
      <c r="D255" s="5" t="n"/>
      <c r="E255" s="5" t="n"/>
      <c r="F255" s="5" t="n"/>
      <c r="G255" s="6" t="n"/>
      <c r="H255" s="5" t="n"/>
    </row>
    <row r="256">
      <c r="A256" t="n">
        <v>253</v>
      </c>
      <c r="B256" s="8" t="n"/>
      <c r="C256" s="5" t="n"/>
      <c r="D256" s="5" t="n"/>
      <c r="E256" s="5" t="n"/>
      <c r="F256" s="5" t="n"/>
      <c r="G256" s="6" t="n"/>
      <c r="H256" s="5" t="n"/>
    </row>
    <row r="257">
      <c r="A257" t="n">
        <v>254</v>
      </c>
      <c r="B257" s="8" t="n"/>
      <c r="C257" s="5" t="n"/>
      <c r="D257" s="5" t="n"/>
      <c r="E257" s="5" t="n"/>
      <c r="F257" s="5" t="n"/>
      <c r="G257" s="6" t="n"/>
      <c r="H257" s="5" t="n"/>
    </row>
    <row r="258">
      <c r="A258" t="n">
        <v>255</v>
      </c>
      <c r="B258" s="8" t="n"/>
      <c r="C258" s="5" t="n"/>
      <c r="D258" s="5" t="n"/>
      <c r="E258" s="5" t="n"/>
      <c r="F258" s="5" t="n"/>
      <c r="G258" s="6" t="n"/>
      <c r="H258" s="5" t="n"/>
    </row>
    <row r="259">
      <c r="A259" t="n">
        <v>256</v>
      </c>
      <c r="B259" s="8" t="n"/>
      <c r="C259" s="5" t="n"/>
      <c r="D259" s="5" t="n"/>
      <c r="E259" s="5" t="n"/>
      <c r="F259" s="5" t="n"/>
      <c r="G259" s="6" t="n"/>
      <c r="H259" s="5" t="n"/>
    </row>
    <row r="260">
      <c r="A260" t="n">
        <v>257</v>
      </c>
      <c r="B260" s="8" t="n"/>
      <c r="C260" s="5" t="n"/>
      <c r="D260" s="5" t="n"/>
      <c r="E260" s="5" t="n"/>
      <c r="F260" s="5" t="n"/>
      <c r="G260" s="6" t="n"/>
      <c r="H260" s="5" t="n"/>
    </row>
    <row r="261">
      <c r="A261" t="n">
        <v>258</v>
      </c>
      <c r="B261" s="8" t="n"/>
      <c r="C261" s="5" t="n"/>
      <c r="D261" s="5" t="n"/>
      <c r="E261" s="5" t="n"/>
      <c r="F261" s="5" t="n"/>
      <c r="G261" s="6" t="n"/>
      <c r="H261" s="5" t="n"/>
    </row>
    <row r="262">
      <c r="A262" t="n">
        <v>259</v>
      </c>
      <c r="B262" s="8" t="n"/>
      <c r="C262" s="5" t="n"/>
      <c r="D262" s="5" t="n"/>
      <c r="E262" s="5" t="n"/>
      <c r="F262" s="5" t="n"/>
      <c r="G262" s="6" t="n"/>
      <c r="H262" s="5" t="n"/>
    </row>
    <row r="263">
      <c r="A263" t="n">
        <v>260</v>
      </c>
      <c r="B263" s="8" t="n"/>
      <c r="C263" s="5" t="n"/>
      <c r="D263" s="5" t="n"/>
      <c r="E263" s="5" t="n"/>
      <c r="F263" s="5" t="n"/>
      <c r="G263" s="6" t="n"/>
      <c r="H263" s="5" t="n"/>
    </row>
    <row r="264">
      <c r="A264" t="n">
        <v>261</v>
      </c>
      <c r="B264" s="8" t="n"/>
      <c r="C264" s="5" t="n"/>
      <c r="D264" s="5" t="n"/>
      <c r="E264" s="5" t="n"/>
      <c r="F264" s="5" t="n"/>
      <c r="G264" s="6" t="n"/>
      <c r="H264" s="5" t="n"/>
    </row>
    <row r="265">
      <c r="A265" t="n">
        <v>262</v>
      </c>
      <c r="B265" s="8" t="n"/>
      <c r="C265" s="5" t="n"/>
      <c r="D265" s="5" t="n"/>
      <c r="E265" s="5" t="n"/>
      <c r="F265" s="5" t="n"/>
      <c r="G265" s="6" t="n"/>
      <c r="H265" s="5" t="n"/>
    </row>
    <row r="266">
      <c r="A266" t="n">
        <v>263</v>
      </c>
      <c r="B266" s="8" t="n"/>
      <c r="C266" s="5" t="n"/>
      <c r="D266" s="5" t="n"/>
      <c r="E266" s="5" t="n"/>
      <c r="F266" s="5" t="n"/>
      <c r="G266" s="6" t="n"/>
      <c r="H266" s="5" t="n"/>
    </row>
    <row r="267">
      <c r="A267" t="n">
        <v>264</v>
      </c>
      <c r="B267" s="8" t="n"/>
      <c r="C267" s="5" t="n"/>
      <c r="D267" s="5" t="n"/>
      <c r="E267" s="5" t="n"/>
      <c r="F267" s="5" t="n"/>
      <c r="G267" s="6" t="n"/>
      <c r="H267" s="5" t="n"/>
    </row>
    <row r="268">
      <c r="A268" t="n">
        <v>265</v>
      </c>
      <c r="B268" s="8" t="n"/>
      <c r="C268" s="5" t="n"/>
      <c r="D268" s="5" t="n"/>
      <c r="E268" s="5" t="n"/>
      <c r="F268" s="5" t="n"/>
      <c r="G268" s="6" t="n"/>
      <c r="H268" s="5" t="n"/>
    </row>
    <row r="269">
      <c r="A269" t="n">
        <v>266</v>
      </c>
      <c r="B269" s="8" t="n"/>
      <c r="C269" s="5" t="n"/>
      <c r="D269" s="5" t="n"/>
      <c r="E269" s="5" t="n"/>
      <c r="F269" s="5" t="n"/>
      <c r="G269" s="6" t="n"/>
      <c r="H269" s="5" t="n"/>
    </row>
    <row r="270">
      <c r="A270" t="n">
        <v>267</v>
      </c>
      <c r="B270" s="8" t="n"/>
      <c r="C270" s="5" t="n"/>
      <c r="D270" s="5" t="n"/>
      <c r="E270" s="5" t="n"/>
      <c r="F270" s="5" t="n"/>
      <c r="G270" s="6" t="n"/>
      <c r="H270" s="5" t="n"/>
    </row>
    <row r="271">
      <c r="A271" t="n">
        <v>268</v>
      </c>
      <c r="B271" s="8" t="n"/>
      <c r="C271" s="5" t="n"/>
      <c r="D271" s="5" t="n"/>
      <c r="E271" s="5" t="n"/>
      <c r="F271" s="5" t="n"/>
      <c r="G271" s="6" t="n"/>
      <c r="H271" s="5" t="n"/>
    </row>
    <row r="272">
      <c r="A272" t="n">
        <v>269</v>
      </c>
      <c r="B272" s="8" t="n"/>
      <c r="C272" s="5" t="n"/>
      <c r="D272" s="5" t="n"/>
      <c r="E272" s="5" t="n"/>
      <c r="F272" s="5" t="n"/>
      <c r="G272" s="6" t="n"/>
      <c r="H272" s="5" t="n"/>
    </row>
    <row r="273">
      <c r="A273" t="n">
        <v>270</v>
      </c>
      <c r="B273" s="8" t="n"/>
      <c r="C273" s="5" t="n"/>
      <c r="D273" s="5" t="n"/>
      <c r="E273" s="5" t="n"/>
      <c r="F273" s="5" t="n"/>
      <c r="G273" s="6" t="n"/>
      <c r="H273" s="5" t="n"/>
    </row>
    <row r="274">
      <c r="A274" t="n">
        <v>271</v>
      </c>
      <c r="B274" s="8" t="n"/>
      <c r="C274" s="5" t="n"/>
      <c r="D274" s="5" t="n"/>
      <c r="E274" s="5" t="n"/>
      <c r="F274" s="5" t="n"/>
      <c r="G274" s="6" t="n"/>
      <c r="H274" s="5" t="n"/>
    </row>
    <row r="275">
      <c r="A275" t="n">
        <v>272</v>
      </c>
      <c r="B275" s="8" t="n"/>
      <c r="C275" s="5" t="n"/>
      <c r="D275" s="5" t="n"/>
      <c r="E275" s="5" t="n"/>
      <c r="F275" s="5" t="n"/>
      <c r="G275" s="6" t="n"/>
      <c r="H275" s="5" t="n"/>
    </row>
    <row r="276">
      <c r="A276" t="n">
        <v>273</v>
      </c>
      <c r="B276" s="8" t="n"/>
      <c r="C276" s="5" t="n"/>
      <c r="D276" s="5" t="n"/>
      <c r="E276" s="5" t="n"/>
      <c r="F276" s="5" t="n"/>
      <c r="G276" s="6" t="n"/>
      <c r="H276" s="5" t="n"/>
    </row>
    <row r="277">
      <c r="A277" t="n">
        <v>274</v>
      </c>
      <c r="B277" s="8" t="n"/>
      <c r="C277" s="5" t="n"/>
      <c r="D277" s="5" t="n"/>
      <c r="E277" s="5" t="n"/>
      <c r="F277" s="5" t="n"/>
      <c r="G277" s="6" t="n"/>
      <c r="H277" s="5" t="n"/>
    </row>
    <row r="278">
      <c r="A278" t="n">
        <v>275</v>
      </c>
      <c r="B278" s="8" t="n"/>
      <c r="C278" s="5" t="n"/>
      <c r="D278" s="5" t="n"/>
      <c r="E278" s="5" t="n"/>
      <c r="F278" s="5" t="n"/>
      <c r="G278" s="6" t="n"/>
      <c r="H278" s="5" t="n"/>
    </row>
    <row r="279">
      <c r="A279" t="n">
        <v>276</v>
      </c>
      <c r="B279" s="8" t="n"/>
      <c r="C279" s="5" t="n"/>
      <c r="D279" s="5" t="n"/>
      <c r="E279" s="5" t="n"/>
      <c r="F279" s="5" t="n"/>
      <c r="G279" s="6" t="n"/>
      <c r="H279" s="5" t="n"/>
    </row>
    <row r="280">
      <c r="A280" t="n">
        <v>277</v>
      </c>
      <c r="B280" s="8" t="n"/>
      <c r="C280" s="5" t="n"/>
      <c r="D280" s="5" t="n"/>
      <c r="E280" s="5" t="n"/>
      <c r="F280" s="5" t="n"/>
      <c r="G280" s="6" t="n"/>
      <c r="H280" s="5" t="n"/>
    </row>
    <row r="281">
      <c r="A281" t="n">
        <v>278</v>
      </c>
      <c r="B281" s="8" t="n"/>
      <c r="C281" s="5" t="n"/>
      <c r="D281" s="5" t="n"/>
      <c r="E281" s="5" t="n"/>
      <c r="F281" s="5" t="n"/>
      <c r="G281" s="6" t="n"/>
      <c r="H281" s="5" t="n"/>
    </row>
    <row r="282">
      <c r="A282" t="n">
        <v>279</v>
      </c>
      <c r="B282" s="8" t="n"/>
      <c r="C282" s="5" t="n"/>
      <c r="D282" s="5" t="n"/>
      <c r="E282" s="5" t="n"/>
      <c r="F282" s="5" t="n"/>
      <c r="G282" s="6" t="n"/>
      <c r="H282" s="5" t="n"/>
    </row>
    <row r="283">
      <c r="A283" t="n">
        <v>280</v>
      </c>
      <c r="B283" s="8" t="n"/>
      <c r="C283" s="5" t="n"/>
      <c r="D283" s="5" t="n"/>
      <c r="E283" s="5" t="n"/>
      <c r="F283" s="5" t="n"/>
      <c r="G283" s="6" t="n"/>
      <c r="H283" s="5" t="n"/>
    </row>
    <row r="284">
      <c r="A284" t="n">
        <v>281</v>
      </c>
      <c r="B284" s="8" t="n"/>
      <c r="C284" s="5" t="n"/>
      <c r="D284" s="5" t="n"/>
      <c r="E284" s="5" t="n"/>
      <c r="F284" s="5" t="n"/>
      <c r="G284" s="6" t="n"/>
      <c r="H284" s="5" t="n"/>
    </row>
    <row r="285">
      <c r="A285" t="n">
        <v>282</v>
      </c>
      <c r="B285" s="8" t="n"/>
      <c r="C285" s="5" t="n"/>
      <c r="D285" s="5" t="n"/>
      <c r="E285" s="5" t="n"/>
      <c r="F285" s="5" t="n"/>
      <c r="G285" s="6" t="n"/>
      <c r="H285" s="5" t="n"/>
    </row>
    <row r="286">
      <c r="A286" t="n">
        <v>283</v>
      </c>
      <c r="B286" s="8" t="n"/>
      <c r="C286" s="5" t="n"/>
      <c r="D286" s="5" t="n"/>
      <c r="E286" s="5" t="n"/>
      <c r="F286" s="5" t="n"/>
      <c r="G286" s="6" t="n"/>
      <c r="H286" s="5" t="n"/>
    </row>
    <row r="287">
      <c r="A287" t="n">
        <v>284</v>
      </c>
      <c r="B287" s="8" t="n"/>
      <c r="C287" s="5" t="n"/>
      <c r="D287" s="5" t="n"/>
      <c r="E287" s="5" t="n"/>
      <c r="F287" s="5" t="n"/>
      <c r="G287" s="6" t="n"/>
      <c r="H287" s="5" t="n"/>
    </row>
    <row r="288">
      <c r="A288" t="n">
        <v>285</v>
      </c>
      <c r="B288" s="8" t="n"/>
      <c r="C288" s="5" t="n"/>
      <c r="D288" s="5" t="n"/>
      <c r="E288" s="5" t="n"/>
      <c r="F288" s="5" t="n"/>
      <c r="G288" s="6" t="n"/>
      <c r="H288" s="5" t="n"/>
    </row>
    <row r="289">
      <c r="A289" t="n">
        <v>286</v>
      </c>
      <c r="B289" s="8" t="n"/>
      <c r="C289" s="5" t="n"/>
      <c r="D289" s="5" t="n"/>
      <c r="E289" s="5" t="n"/>
      <c r="F289" s="5" t="n"/>
      <c r="G289" s="6" t="n"/>
      <c r="H289" s="5" t="n"/>
    </row>
    <row r="290">
      <c r="A290" t="n">
        <v>287</v>
      </c>
      <c r="B290" s="8" t="n"/>
      <c r="C290" s="5" t="n"/>
      <c r="D290" s="5" t="n"/>
      <c r="E290" s="5" t="n"/>
      <c r="F290" s="5" t="n"/>
      <c r="G290" s="6" t="n"/>
      <c r="H290" s="5" t="n"/>
    </row>
    <row r="291">
      <c r="A291" t="n">
        <v>288</v>
      </c>
      <c r="B291" s="8" t="n"/>
      <c r="C291" s="5" t="n"/>
      <c r="D291" s="5" t="n"/>
      <c r="E291" s="5" t="n"/>
      <c r="F291" s="5" t="n"/>
      <c r="G291" s="6" t="n"/>
      <c r="H291" s="5" t="n"/>
    </row>
    <row r="292">
      <c r="A292" t="n">
        <v>289</v>
      </c>
      <c r="B292" s="8" t="n"/>
      <c r="C292" s="5" t="n"/>
      <c r="D292" s="5" t="n"/>
      <c r="E292" s="5" t="n"/>
      <c r="F292" s="5" t="n"/>
      <c r="G292" s="6" t="n"/>
      <c r="H292" s="5" t="n"/>
    </row>
    <row r="293">
      <c r="A293" t="n">
        <v>290</v>
      </c>
      <c r="B293" s="8" t="n"/>
      <c r="C293" s="5" t="n"/>
      <c r="D293" s="5" t="n"/>
      <c r="E293" s="5" t="n"/>
      <c r="F293" s="5" t="n"/>
      <c r="G293" s="6" t="n"/>
      <c r="H293" s="5" t="n"/>
    </row>
    <row r="294">
      <c r="A294" t="n">
        <v>291</v>
      </c>
      <c r="B294" s="8" t="n"/>
      <c r="C294" s="5" t="n"/>
      <c r="D294" s="5" t="n"/>
      <c r="E294" s="5" t="n"/>
      <c r="F294" s="5" t="n"/>
      <c r="G294" s="6" t="n"/>
      <c r="H294" s="5" t="n"/>
    </row>
    <row r="295">
      <c r="A295" t="n">
        <v>292</v>
      </c>
      <c r="B295" s="8" t="n"/>
      <c r="C295" s="5" t="n"/>
      <c r="D295" s="5" t="n"/>
      <c r="E295" s="5" t="n"/>
      <c r="F295" s="5" t="n"/>
      <c r="G295" s="6" t="n"/>
      <c r="H295" s="5" t="n"/>
    </row>
    <row r="296">
      <c r="A296" t="n">
        <v>293</v>
      </c>
      <c r="B296" s="8" t="n"/>
      <c r="C296" s="5" t="n"/>
      <c r="D296" s="5" t="n"/>
      <c r="E296" s="5" t="n"/>
      <c r="F296" s="5" t="n"/>
      <c r="G296" s="6" t="n"/>
      <c r="H296" s="5" t="n"/>
    </row>
    <row r="297">
      <c r="A297" t="n">
        <v>294</v>
      </c>
      <c r="B297" s="8" t="n"/>
      <c r="C297" s="5" t="n"/>
      <c r="D297" s="5" t="n"/>
      <c r="E297" s="5" t="n"/>
      <c r="F297" s="5" t="n"/>
      <c r="G297" s="6" t="n"/>
      <c r="H297" s="5" t="n"/>
    </row>
    <row r="298">
      <c r="A298" t="n">
        <v>295</v>
      </c>
      <c r="B298" s="8" t="n"/>
      <c r="C298" s="5" t="n"/>
      <c r="D298" s="5" t="n"/>
      <c r="E298" s="5" t="n"/>
      <c r="F298" s="5" t="n"/>
      <c r="G298" s="6" t="n"/>
      <c r="H298" s="5" t="n"/>
    </row>
    <row r="299">
      <c r="A299" t="n">
        <v>296</v>
      </c>
      <c r="B299" s="8" t="n"/>
      <c r="C299" s="5" t="n"/>
      <c r="D299" s="5" t="n"/>
      <c r="E299" s="5" t="n"/>
      <c r="F299" s="5" t="n"/>
      <c r="G299" s="6" t="n"/>
      <c r="H299" s="5" t="n"/>
    </row>
    <row r="300">
      <c r="A300" t="n">
        <v>297</v>
      </c>
      <c r="B300" s="8" t="n"/>
      <c r="C300" s="5" t="n"/>
      <c r="D300" s="5" t="n"/>
      <c r="E300" s="5" t="n"/>
      <c r="F300" s="5" t="n"/>
      <c r="G300" s="6" t="n"/>
      <c r="H300" s="5" t="n"/>
    </row>
    <row r="301">
      <c r="A301" t="n">
        <v>298</v>
      </c>
      <c r="B301" s="8" t="n"/>
      <c r="C301" s="5" t="n"/>
      <c r="D301" s="5" t="n"/>
      <c r="E301" s="5" t="n"/>
      <c r="F301" s="5" t="n"/>
      <c r="G301" s="6" t="n"/>
      <c r="H301" s="5" t="n"/>
    </row>
    <row r="302">
      <c r="A302" t="n">
        <v>299</v>
      </c>
      <c r="B302" s="8" t="n"/>
      <c r="C302" s="5" t="n"/>
      <c r="D302" s="5" t="n"/>
      <c r="E302" s="5" t="n"/>
      <c r="F302" s="5" t="n"/>
      <c r="G302" s="6" t="n"/>
      <c r="H302" s="5" t="n"/>
    </row>
    <row r="303">
      <c r="A303" t="n">
        <v>300</v>
      </c>
      <c r="B303" s="8" t="n"/>
      <c r="C303" s="5" t="n"/>
      <c r="D303" s="5" t="n"/>
      <c r="E303" s="5" t="n"/>
      <c r="F303" s="5" t="n"/>
      <c r="G303" s="6" t="n"/>
      <c r="H303" s="5" t="n"/>
    </row>
    <row r="304">
      <c r="A304" t="n">
        <v>301</v>
      </c>
      <c r="B304" s="8" t="n"/>
      <c r="C304" s="5" t="n"/>
      <c r="D304" s="5" t="n"/>
      <c r="E304" s="5" t="n"/>
      <c r="F304" s="5" t="n"/>
      <c r="G304" s="6" t="n"/>
      <c r="H304" s="5" t="n"/>
    </row>
    <row r="305">
      <c r="A305" t="n">
        <v>302</v>
      </c>
      <c r="B305" s="8" t="n"/>
      <c r="C305" s="5" t="n"/>
      <c r="D305" s="5" t="n"/>
      <c r="E305" s="5" t="n"/>
      <c r="F305" s="5" t="n"/>
      <c r="G305" s="6" t="n"/>
      <c r="H305" s="5" t="n"/>
    </row>
    <row r="306">
      <c r="A306" t="n">
        <v>303</v>
      </c>
      <c r="B306" s="8" t="n"/>
      <c r="C306" s="5" t="n"/>
      <c r="D306" s="5" t="n"/>
      <c r="E306" s="5" t="n"/>
      <c r="F306" s="5" t="n"/>
      <c r="G306" s="6" t="n"/>
      <c r="H306" s="5" t="n"/>
    </row>
    <row r="307">
      <c r="A307" t="n">
        <v>304</v>
      </c>
      <c r="B307" s="8" t="n"/>
      <c r="C307" s="5" t="n"/>
      <c r="D307" s="5" t="n"/>
      <c r="E307" s="5" t="n"/>
      <c r="F307" s="5" t="n"/>
      <c r="G307" s="6" t="n"/>
      <c r="H307" s="5" t="n"/>
    </row>
    <row r="308">
      <c r="A308" t="n">
        <v>305</v>
      </c>
      <c r="B308" s="8" t="n"/>
      <c r="C308" s="5" t="n"/>
      <c r="D308" s="5" t="n"/>
      <c r="E308" s="5" t="n"/>
      <c r="F308" s="5" t="n"/>
      <c r="G308" s="6" t="n"/>
      <c r="H308" s="5" t="n"/>
    </row>
    <row r="309">
      <c r="A309" t="n">
        <v>306</v>
      </c>
      <c r="B309" s="8" t="n"/>
      <c r="C309" s="5" t="n"/>
      <c r="D309" s="5" t="n"/>
      <c r="E309" s="5" t="n"/>
      <c r="F309" s="5" t="n"/>
      <c r="G309" s="6" t="n"/>
      <c r="H309" s="5" t="n"/>
    </row>
    <row r="310">
      <c r="A310" t="n">
        <v>307</v>
      </c>
      <c r="B310" s="8" t="n"/>
      <c r="C310" s="5" t="n"/>
      <c r="D310" s="5" t="n"/>
      <c r="E310" s="5" t="n"/>
      <c r="F310" s="5" t="n"/>
      <c r="G310" s="6" t="n"/>
      <c r="H310" s="5" t="n"/>
    </row>
    <row r="311">
      <c r="A311" t="n">
        <v>308</v>
      </c>
      <c r="B311" s="8" t="n"/>
      <c r="C311" s="5" t="n"/>
      <c r="D311" s="5" t="n"/>
      <c r="E311" s="5" t="n"/>
      <c r="F311" s="5" t="n"/>
      <c r="G311" s="6" t="n"/>
      <c r="H311" s="5" t="n"/>
    </row>
    <row r="312">
      <c r="A312" t="n">
        <v>309</v>
      </c>
      <c r="B312" s="8" t="n"/>
      <c r="C312" s="5" t="n"/>
      <c r="D312" s="5" t="n"/>
      <c r="E312" s="5" t="n"/>
      <c r="F312" s="5" t="n"/>
      <c r="G312" s="6" t="n"/>
      <c r="H312" s="5" t="n"/>
    </row>
    <row r="313">
      <c r="A313" t="n">
        <v>310</v>
      </c>
      <c r="B313" s="8" t="n"/>
      <c r="C313" s="5" t="n"/>
      <c r="D313" s="5" t="n"/>
      <c r="E313" s="5" t="n"/>
      <c r="F313" s="5" t="n"/>
      <c r="G313" s="6" t="n"/>
      <c r="H313" s="5" t="n"/>
    </row>
    <row r="314">
      <c r="A314" t="n">
        <v>311</v>
      </c>
      <c r="B314" s="8" t="n"/>
      <c r="C314" s="5" t="n"/>
      <c r="D314" s="5" t="n"/>
      <c r="E314" s="5" t="n"/>
      <c r="F314" s="5" t="n"/>
      <c r="G314" s="6" t="n"/>
      <c r="H314" s="5" t="n"/>
    </row>
    <row r="315">
      <c r="A315" t="n">
        <v>312</v>
      </c>
      <c r="B315" s="8" t="n"/>
      <c r="C315" s="5" t="n"/>
      <c r="D315" s="5" t="n"/>
      <c r="E315" s="5" t="n"/>
      <c r="F315" s="5" t="n"/>
      <c r="G315" s="6" t="n"/>
      <c r="H315" s="5" t="n"/>
    </row>
    <row r="316">
      <c r="A316" t="n">
        <v>313</v>
      </c>
      <c r="B316" s="8" t="n"/>
      <c r="C316" s="5" t="n"/>
      <c r="D316" s="5" t="n"/>
      <c r="E316" s="5" t="n"/>
      <c r="F316" s="5" t="n"/>
      <c r="G316" s="6" t="n"/>
      <c r="H316" s="5" t="n"/>
    </row>
    <row r="317">
      <c r="A317" t="n">
        <v>314</v>
      </c>
      <c r="B317" s="8" t="n"/>
      <c r="C317" s="5" t="n"/>
      <c r="D317" s="5" t="n"/>
      <c r="E317" s="5" t="n"/>
      <c r="F317" s="5" t="n"/>
      <c r="G317" s="6" t="n"/>
      <c r="H317" s="5" t="n"/>
    </row>
    <row r="318">
      <c r="A318" t="n">
        <v>315</v>
      </c>
      <c r="B318" s="8" t="n"/>
      <c r="C318" s="5" t="n"/>
      <c r="D318" s="5" t="n"/>
      <c r="E318" s="5" t="n"/>
      <c r="F318" s="5" t="n"/>
      <c r="G318" s="6" t="n"/>
      <c r="H318" s="5" t="n"/>
    </row>
    <row r="319">
      <c r="A319" t="n">
        <v>316</v>
      </c>
      <c r="B319" s="8" t="n"/>
      <c r="C319" s="5" t="n"/>
      <c r="D319" s="5" t="n"/>
      <c r="E319" s="5" t="n"/>
      <c r="F319" s="5" t="n"/>
      <c r="G319" s="6" t="n"/>
      <c r="H319" s="5" t="n"/>
    </row>
    <row r="320">
      <c r="A320" t="n">
        <v>317</v>
      </c>
      <c r="B320" s="8" t="n"/>
      <c r="C320" s="5" t="n"/>
      <c r="D320" s="5" t="n"/>
      <c r="E320" s="5" t="n"/>
      <c r="F320" s="5" t="n"/>
      <c r="G320" s="6" t="n"/>
      <c r="H320" s="5" t="n"/>
    </row>
    <row r="321">
      <c r="A321" t="n">
        <v>318</v>
      </c>
      <c r="B321" s="8" t="n"/>
      <c r="C321" s="5" t="n"/>
      <c r="D321" s="5" t="n"/>
      <c r="E321" s="5" t="n"/>
      <c r="F321" s="5" t="n"/>
      <c r="G321" s="6" t="n"/>
      <c r="H321" s="5" t="n"/>
    </row>
    <row r="322">
      <c r="A322" t="n">
        <v>319</v>
      </c>
      <c r="B322" s="8" t="n"/>
      <c r="C322" s="5" t="n"/>
      <c r="D322" s="5" t="n"/>
      <c r="E322" s="5" t="n"/>
      <c r="F322" s="5" t="n"/>
      <c r="G322" s="6" t="n"/>
      <c r="H322" s="5" t="n"/>
    </row>
    <row r="323">
      <c r="A323" t="n">
        <v>320</v>
      </c>
      <c r="B323" s="8" t="n"/>
      <c r="C323" s="5" t="n"/>
      <c r="D323" s="5" t="n"/>
      <c r="E323" s="5" t="n"/>
      <c r="F323" s="5" t="n"/>
      <c r="G323" s="6" t="n"/>
      <c r="H323" s="5" t="n"/>
    </row>
    <row r="324">
      <c r="A324" t="n">
        <v>321</v>
      </c>
      <c r="B324" s="8" t="n"/>
      <c r="C324" s="5" t="n"/>
      <c r="D324" s="5" t="n"/>
      <c r="E324" s="5" t="n"/>
      <c r="F324" s="5" t="n"/>
      <c r="G324" s="6" t="n"/>
      <c r="H324" s="5" t="n"/>
    </row>
    <row r="325">
      <c r="A325" t="n">
        <v>322</v>
      </c>
      <c r="B325" s="8" t="n"/>
      <c r="C325" s="5" t="n"/>
      <c r="D325" s="5" t="n"/>
      <c r="E325" s="5" t="n"/>
      <c r="F325" s="5" t="n"/>
      <c r="G325" s="6" t="n"/>
      <c r="H325" s="5" t="n"/>
    </row>
    <row r="326">
      <c r="A326" t="n">
        <v>323</v>
      </c>
      <c r="B326" s="8" t="n"/>
      <c r="C326" s="5" t="n"/>
      <c r="D326" s="5" t="n"/>
      <c r="E326" s="5" t="n"/>
      <c r="F326" s="5" t="n"/>
      <c r="G326" s="6" t="n"/>
      <c r="H326" s="5" t="n"/>
    </row>
    <row r="327">
      <c r="A327" t="n">
        <v>324</v>
      </c>
      <c r="B327" s="8" t="n"/>
      <c r="C327" s="5" t="n"/>
      <c r="D327" s="5" t="n"/>
      <c r="E327" s="5" t="n"/>
      <c r="F327" s="5" t="n"/>
      <c r="G327" s="6" t="n"/>
      <c r="H327" s="5" t="n"/>
    </row>
    <row r="328">
      <c r="A328" t="n">
        <v>325</v>
      </c>
      <c r="B328" s="8" t="n"/>
      <c r="C328" s="5" t="n"/>
      <c r="D328" s="5" t="n"/>
      <c r="E328" s="5" t="n"/>
      <c r="F328" s="5" t="n"/>
      <c r="G328" s="6" t="n"/>
      <c r="H328" s="5" t="n"/>
    </row>
    <row r="329">
      <c r="A329" t="n">
        <v>326</v>
      </c>
      <c r="B329" s="8" t="n"/>
      <c r="C329" s="5" t="n"/>
      <c r="D329" s="5" t="n"/>
      <c r="E329" s="5" t="n"/>
      <c r="F329" s="5" t="n"/>
      <c r="G329" s="6" t="n"/>
      <c r="H329" s="5" t="n"/>
    </row>
    <row r="330">
      <c r="A330" t="n">
        <v>327</v>
      </c>
      <c r="B330" s="8" t="n"/>
      <c r="C330" s="5" t="n"/>
      <c r="D330" s="5" t="n"/>
      <c r="E330" s="5" t="n"/>
      <c r="F330" s="5" t="n"/>
      <c r="G330" s="6" t="n"/>
      <c r="H330" s="5" t="n"/>
    </row>
    <row r="331">
      <c r="A331" t="n">
        <v>328</v>
      </c>
      <c r="B331" s="8" t="n"/>
      <c r="C331" s="5" t="n"/>
      <c r="D331" s="5" t="n"/>
      <c r="E331" s="5" t="n"/>
      <c r="F331" s="5" t="n"/>
      <c r="G331" s="6" t="n"/>
      <c r="H331" s="5" t="n"/>
    </row>
    <row r="332">
      <c r="A332" t="n">
        <v>329</v>
      </c>
      <c r="B332" s="8" t="n"/>
      <c r="C332" s="5" t="n"/>
      <c r="D332" s="5" t="n"/>
      <c r="E332" s="5" t="n"/>
      <c r="F332" s="5" t="n"/>
      <c r="G332" s="6" t="n"/>
      <c r="H332" s="5" t="n"/>
    </row>
    <row r="333">
      <c r="A333" t="n">
        <v>330</v>
      </c>
      <c r="B333" s="8" t="n"/>
      <c r="C333" s="5" t="n"/>
      <c r="D333" s="5" t="n"/>
      <c r="E333" s="5" t="n"/>
      <c r="F333" s="5" t="n"/>
      <c r="G333" s="6" t="n"/>
      <c r="H333" s="5" t="n"/>
    </row>
    <row r="334">
      <c r="A334" t="n">
        <v>331</v>
      </c>
      <c r="B334" s="8" t="n"/>
      <c r="C334" s="5" t="n"/>
      <c r="D334" s="5" t="n"/>
      <c r="E334" s="5" t="n"/>
      <c r="F334" s="5" t="n"/>
      <c r="G334" s="6" t="n"/>
      <c r="H334" s="5" t="n"/>
    </row>
    <row r="335">
      <c r="A335" t="n">
        <v>332</v>
      </c>
      <c r="B335" s="8" t="n"/>
      <c r="C335" s="5" t="n"/>
      <c r="D335" s="5" t="n"/>
      <c r="E335" s="5" t="n"/>
      <c r="F335" s="5" t="n"/>
      <c r="G335" s="6" t="n"/>
      <c r="H335" s="5" t="n"/>
    </row>
    <row r="336">
      <c r="A336" t="n">
        <v>333</v>
      </c>
      <c r="B336" s="8" t="n"/>
      <c r="C336" s="5" t="n"/>
      <c r="D336" s="5" t="n"/>
      <c r="E336" s="5" t="n"/>
      <c r="F336" s="5" t="n"/>
      <c r="G336" s="6" t="n"/>
      <c r="H336" s="5" t="n"/>
    </row>
    <row r="337">
      <c r="A337" t="n">
        <v>334</v>
      </c>
      <c r="B337" s="8" t="n"/>
      <c r="C337" s="5" t="n"/>
      <c r="D337" s="5" t="n"/>
      <c r="E337" s="5" t="n"/>
      <c r="F337" s="5" t="n"/>
      <c r="G337" s="6" t="n"/>
      <c r="H337" s="5" t="n"/>
    </row>
    <row r="338">
      <c r="A338" t="n">
        <v>335</v>
      </c>
      <c r="B338" s="8" t="n"/>
      <c r="C338" s="5" t="n"/>
      <c r="D338" s="5" t="n"/>
      <c r="E338" s="5" t="n"/>
      <c r="F338" s="5" t="n"/>
      <c r="G338" s="6" t="n"/>
      <c r="H338" s="5" t="n"/>
    </row>
    <row r="339">
      <c r="A339" t="n">
        <v>336</v>
      </c>
      <c r="B339" s="8" t="n"/>
      <c r="C339" s="5" t="n"/>
      <c r="D339" s="5" t="n"/>
      <c r="E339" s="5" t="n"/>
      <c r="F339" s="5" t="n"/>
      <c r="G339" s="6" t="n"/>
      <c r="H339" s="5" t="n"/>
    </row>
    <row r="340">
      <c r="A340" t="n">
        <v>337</v>
      </c>
      <c r="B340" s="8" t="n"/>
      <c r="C340" s="5" t="n"/>
      <c r="D340" s="5" t="n"/>
      <c r="E340" s="5" t="n"/>
      <c r="F340" s="5" t="n"/>
      <c r="G340" s="6" t="n"/>
      <c r="H340" s="5" t="n"/>
    </row>
    <row r="341">
      <c r="A341" t="n">
        <v>338</v>
      </c>
      <c r="B341" s="8" t="n"/>
      <c r="C341" s="5" t="n"/>
      <c r="D341" s="5" t="n"/>
      <c r="E341" s="5" t="n"/>
      <c r="F341" s="5" t="n"/>
      <c r="G341" s="6" t="n"/>
      <c r="H341" s="5" t="n"/>
    </row>
    <row r="342">
      <c r="A342" t="n">
        <v>339</v>
      </c>
      <c r="B342" s="8" t="n"/>
      <c r="C342" s="5" t="n"/>
      <c r="D342" s="5" t="n"/>
      <c r="E342" s="5" t="n"/>
      <c r="F342" s="5" t="n"/>
      <c r="G342" s="6" t="n"/>
      <c r="H342" s="5" t="n"/>
    </row>
    <row r="343">
      <c r="A343" t="n">
        <v>340</v>
      </c>
      <c r="B343" s="8" t="n"/>
      <c r="C343" s="5" t="n"/>
      <c r="D343" s="5" t="n"/>
      <c r="E343" s="5" t="n"/>
      <c r="F343" s="5" t="n"/>
      <c r="G343" s="6" t="n"/>
      <c r="H343" s="5" t="n"/>
    </row>
    <row r="344">
      <c r="A344" t="n">
        <v>341</v>
      </c>
      <c r="B344" s="8" t="n"/>
      <c r="C344" s="5" t="n"/>
      <c r="D344" s="5" t="n"/>
      <c r="E344" s="5" t="n"/>
      <c r="F344" s="5" t="n"/>
      <c r="G344" s="6" t="n"/>
      <c r="H344" s="5" t="n"/>
    </row>
    <row r="345">
      <c r="A345" t="n">
        <v>342</v>
      </c>
      <c r="B345" s="8" t="n"/>
      <c r="C345" s="5" t="n"/>
      <c r="D345" s="5" t="n"/>
      <c r="E345" s="5" t="n"/>
      <c r="F345" s="5" t="n"/>
      <c r="G345" s="6" t="n"/>
      <c r="H345" s="5" t="n"/>
    </row>
    <row r="346">
      <c r="A346" t="n">
        <v>343</v>
      </c>
      <c r="B346" s="8" t="n"/>
      <c r="C346" s="5" t="n"/>
      <c r="D346" s="5" t="n"/>
      <c r="E346" s="5" t="n"/>
      <c r="F346" s="5" t="n"/>
      <c r="G346" s="6" t="n"/>
      <c r="H346" s="5" t="n"/>
    </row>
    <row r="347">
      <c r="A347" t="n">
        <v>344</v>
      </c>
      <c r="B347" s="8" t="n"/>
      <c r="C347" s="5" t="n"/>
      <c r="D347" s="5" t="n"/>
      <c r="E347" s="5" t="n"/>
      <c r="F347" s="5" t="n"/>
      <c r="G347" s="6" t="n"/>
      <c r="H347" s="5" t="n"/>
    </row>
    <row r="348">
      <c r="A348" t="n">
        <v>345</v>
      </c>
      <c r="B348" s="8" t="n"/>
      <c r="C348" s="5" t="n"/>
      <c r="D348" s="5" t="n"/>
      <c r="E348" s="5" t="n"/>
      <c r="F348" s="5" t="n"/>
      <c r="G348" s="6" t="n"/>
      <c r="H348" s="5" t="n"/>
    </row>
    <row r="349">
      <c r="A349" t="n">
        <v>346</v>
      </c>
      <c r="B349" s="8" t="n"/>
      <c r="C349" s="5" t="n"/>
      <c r="D349" s="5" t="n"/>
      <c r="E349" s="5" t="n"/>
      <c r="F349" s="5" t="n"/>
      <c r="G349" s="6" t="n"/>
      <c r="H349" s="5" t="n"/>
    </row>
    <row r="350">
      <c r="A350" t="n">
        <v>347</v>
      </c>
      <c r="B350" s="8" t="n"/>
      <c r="C350" s="5" t="n"/>
      <c r="D350" s="5" t="n"/>
      <c r="E350" s="5" t="n"/>
      <c r="F350" s="5" t="n"/>
      <c r="G350" s="6" t="n"/>
      <c r="H350" s="5" t="n"/>
    </row>
    <row r="351">
      <c r="A351" t="n">
        <v>348</v>
      </c>
      <c r="B351" s="8" t="n"/>
      <c r="C351" s="5" t="n"/>
      <c r="D351" s="5" t="n"/>
      <c r="E351" s="5" t="n"/>
      <c r="F351" s="5" t="n"/>
      <c r="G351" s="6" t="n"/>
      <c r="H351" s="5" t="n"/>
    </row>
    <row r="352">
      <c r="A352" t="n">
        <v>349</v>
      </c>
      <c r="B352" s="8" t="n"/>
      <c r="C352" s="5" t="n"/>
      <c r="D352" s="5" t="n"/>
      <c r="E352" s="5" t="n"/>
      <c r="F352" s="5" t="n"/>
      <c r="G352" s="6" t="n"/>
      <c r="H352" s="5" t="n"/>
    </row>
    <row r="353">
      <c r="A353" t="n">
        <v>350</v>
      </c>
      <c r="B353" s="8" t="n"/>
      <c r="C353" s="5" t="n"/>
      <c r="D353" s="5" t="n"/>
      <c r="E353" s="5" t="n"/>
      <c r="F353" s="5" t="n"/>
      <c r="G353" s="6" t="n"/>
      <c r="H353" s="5" t="n"/>
    </row>
    <row r="354">
      <c r="A354" t="n">
        <v>351</v>
      </c>
      <c r="B354" s="8" t="n"/>
      <c r="C354" s="5" t="n"/>
      <c r="D354" s="5" t="n"/>
      <c r="E354" s="5" t="n"/>
      <c r="F354" s="5" t="n"/>
      <c r="G354" s="6" t="n"/>
      <c r="H354" s="5" t="n"/>
    </row>
    <row r="355">
      <c r="A355" t="n">
        <v>352</v>
      </c>
      <c r="B355" s="8" t="n"/>
      <c r="C355" s="5" t="n"/>
      <c r="D355" s="5" t="n"/>
      <c r="E355" s="5" t="n"/>
      <c r="F355" s="5" t="n"/>
      <c r="G355" s="6" t="n"/>
      <c r="H355" s="5" t="n"/>
    </row>
    <row r="356">
      <c r="A356" t="n">
        <v>353</v>
      </c>
      <c r="B356" s="8" t="n"/>
      <c r="C356" s="5" t="n"/>
      <c r="D356" s="5" t="n"/>
      <c r="E356" s="5" t="n"/>
      <c r="F356" s="5" t="n"/>
      <c r="G356" s="6" t="n"/>
      <c r="H356" s="5" t="n"/>
    </row>
    <row r="357">
      <c r="A357" t="n">
        <v>354</v>
      </c>
      <c r="B357" s="8" t="n"/>
      <c r="C357" s="5" t="n"/>
      <c r="D357" s="5" t="n"/>
      <c r="E357" s="5" t="n"/>
      <c r="F357" s="5" t="n"/>
      <c r="G357" s="6" t="n"/>
      <c r="H357" s="5" t="n"/>
    </row>
    <row r="358">
      <c r="A358" t="n">
        <v>355</v>
      </c>
      <c r="B358" s="8" t="n"/>
      <c r="C358" s="5" t="n"/>
      <c r="D358" s="5" t="n"/>
      <c r="E358" s="5" t="n"/>
      <c r="F358" s="5" t="n"/>
      <c r="G358" s="6" t="n"/>
      <c r="H358" s="5" t="n"/>
    </row>
    <row r="359">
      <c r="A359" t="n">
        <v>356</v>
      </c>
      <c r="B359" s="8" t="n"/>
      <c r="C359" s="5" t="n"/>
      <c r="D359" s="5" t="n"/>
      <c r="E359" s="5" t="n"/>
      <c r="F359" s="5" t="n"/>
      <c r="G359" s="6" t="n"/>
      <c r="H359" s="5" t="n"/>
    </row>
    <row r="360">
      <c r="A360" t="n">
        <v>357</v>
      </c>
      <c r="B360" s="8" t="n"/>
      <c r="C360" s="5" t="n"/>
      <c r="D360" s="5" t="n"/>
      <c r="E360" s="5" t="n"/>
      <c r="F360" s="5" t="n"/>
      <c r="G360" s="6" t="n"/>
      <c r="H360" s="5" t="n"/>
    </row>
    <row r="361">
      <c r="A361" t="n">
        <v>358</v>
      </c>
      <c r="B361" s="8" t="n"/>
      <c r="C361" s="5" t="n"/>
      <c r="D361" s="5" t="n"/>
      <c r="E361" s="5" t="n"/>
      <c r="F361" s="5" t="n"/>
      <c r="G361" s="6" t="n"/>
      <c r="H361" s="5" t="n"/>
    </row>
    <row r="362">
      <c r="A362" t="n">
        <v>359</v>
      </c>
      <c r="B362" s="8" t="n"/>
      <c r="C362" s="5" t="n"/>
      <c r="D362" s="5" t="n"/>
      <c r="E362" s="5" t="n"/>
      <c r="F362" s="5" t="n"/>
      <c r="G362" s="6" t="n"/>
      <c r="H362" s="5" t="n"/>
    </row>
    <row r="363">
      <c r="A363" t="n">
        <v>360</v>
      </c>
      <c r="B363" s="8" t="n"/>
      <c r="C363" s="5" t="n"/>
      <c r="D363" s="5" t="n"/>
      <c r="E363" s="5" t="n"/>
      <c r="F363" s="5" t="n"/>
      <c r="G363" s="6" t="n"/>
      <c r="H363" s="5" t="n"/>
    </row>
    <row r="364">
      <c r="A364" t="n">
        <v>361</v>
      </c>
      <c r="B364" s="8" t="n"/>
      <c r="C364" s="5" t="n"/>
      <c r="D364" s="5" t="n"/>
      <c r="E364" s="5" t="n"/>
      <c r="F364" s="5" t="n"/>
      <c r="G364" s="6" t="n"/>
      <c r="H364" s="5" t="n"/>
    </row>
    <row r="365">
      <c r="A365" t="n">
        <v>362</v>
      </c>
      <c r="B365" s="8" t="n"/>
      <c r="C365" s="5" t="n"/>
      <c r="D365" s="5" t="n"/>
      <c r="E365" s="5" t="n"/>
      <c r="F365" s="5" t="n"/>
      <c r="G365" s="6" t="n"/>
      <c r="H365" s="5" t="n"/>
    </row>
    <row r="366">
      <c r="A366" t="n">
        <v>363</v>
      </c>
      <c r="B366" s="8" t="n"/>
      <c r="C366" s="5" t="n"/>
      <c r="D366" s="5" t="n"/>
      <c r="E366" s="5" t="n"/>
      <c r="F366" s="5" t="n"/>
      <c r="G366" s="6" t="n"/>
      <c r="H366" s="5" t="n"/>
    </row>
    <row r="367">
      <c r="A367" t="n">
        <v>364</v>
      </c>
      <c r="B367" s="8" t="n"/>
      <c r="C367" s="5" t="n"/>
      <c r="D367" s="5" t="n"/>
      <c r="E367" s="5" t="n"/>
      <c r="F367" s="5" t="n"/>
      <c r="G367" s="6" t="n"/>
      <c r="H367" s="5" t="n"/>
    </row>
    <row r="368">
      <c r="A368" t="n">
        <v>365</v>
      </c>
      <c r="B368" s="8" t="n"/>
      <c r="C368" s="5" t="n"/>
      <c r="D368" s="5" t="n"/>
      <c r="E368" s="5" t="n"/>
      <c r="F368" s="5" t="n"/>
      <c r="G368" s="6" t="n"/>
      <c r="H368" s="5" t="n"/>
    </row>
    <row r="369">
      <c r="A369" t="n">
        <v>366</v>
      </c>
      <c r="B369" s="8" t="n"/>
      <c r="C369" s="5" t="n"/>
      <c r="D369" s="5" t="n"/>
      <c r="E369" s="5" t="n"/>
      <c r="F369" s="5" t="n"/>
      <c r="G369" s="6" t="n"/>
      <c r="H369" s="5" t="n"/>
    </row>
    <row r="370">
      <c r="A370" t="n">
        <v>367</v>
      </c>
      <c r="B370" s="8" t="n"/>
      <c r="C370" s="5" t="n"/>
      <c r="D370" s="5" t="n"/>
      <c r="E370" s="5" t="n"/>
      <c r="F370" s="5" t="n"/>
      <c r="G370" s="6" t="n"/>
      <c r="H370" s="5" t="n"/>
    </row>
    <row r="371">
      <c r="A371" t="n">
        <v>368</v>
      </c>
      <c r="B371" s="8" t="n"/>
      <c r="C371" s="5" t="n"/>
      <c r="D371" s="5" t="n"/>
      <c r="E371" s="5" t="n"/>
      <c r="F371" s="5" t="n"/>
      <c r="G371" s="6" t="n"/>
      <c r="H371" s="5" t="n"/>
    </row>
    <row r="372">
      <c r="A372" t="n">
        <v>369</v>
      </c>
      <c r="B372" s="8" t="n"/>
      <c r="C372" s="5" t="n"/>
      <c r="D372" s="5" t="n"/>
      <c r="E372" s="5" t="n"/>
      <c r="F372" s="5" t="n"/>
      <c r="G372" s="6" t="n"/>
      <c r="H372" s="5" t="n"/>
    </row>
    <row r="373">
      <c r="A373" t="n">
        <v>370</v>
      </c>
      <c r="B373" s="8" t="n"/>
      <c r="C373" s="5" t="n"/>
      <c r="D373" s="5" t="n"/>
      <c r="E373" s="5" t="n"/>
      <c r="F373" s="5" t="n"/>
      <c r="G373" s="6" t="n"/>
      <c r="H373" s="5" t="n"/>
    </row>
    <row r="374">
      <c r="A374" t="n">
        <v>371</v>
      </c>
      <c r="B374" s="8" t="n"/>
      <c r="C374" s="5" t="n"/>
      <c r="D374" s="5" t="n"/>
      <c r="E374" s="5" t="n"/>
      <c r="F374" s="5" t="n"/>
      <c r="G374" s="6" t="n"/>
      <c r="H374" s="5" t="n"/>
    </row>
    <row r="375">
      <c r="A375" t="n">
        <v>372</v>
      </c>
      <c r="B375" s="8" t="n"/>
      <c r="C375" s="5" t="n"/>
      <c r="D375" s="5" t="n"/>
      <c r="E375" s="5" t="n"/>
      <c r="F375" s="5" t="n"/>
      <c r="G375" s="6" t="n"/>
      <c r="H375" s="5" t="n"/>
    </row>
    <row r="376">
      <c r="A376" t="n">
        <v>373</v>
      </c>
      <c r="B376" s="8" t="n"/>
      <c r="C376" s="5" t="n"/>
      <c r="D376" s="5" t="n"/>
      <c r="E376" s="5" t="n"/>
      <c r="F376" s="5" t="n"/>
      <c r="G376" s="6" t="n"/>
      <c r="H376" s="5" t="n"/>
    </row>
    <row r="377">
      <c r="A377" t="n">
        <v>374</v>
      </c>
      <c r="B377" s="8" t="n"/>
      <c r="C377" s="5" t="n"/>
      <c r="D377" s="5" t="n"/>
      <c r="E377" s="5" t="n"/>
      <c r="F377" s="5" t="n"/>
      <c r="G377" s="6" t="n"/>
      <c r="H377" s="5" t="n"/>
    </row>
    <row r="378">
      <c r="A378" t="n">
        <v>375</v>
      </c>
      <c r="B378" s="8" t="n"/>
      <c r="C378" s="5" t="n"/>
      <c r="D378" s="5" t="n"/>
      <c r="E378" s="5" t="n"/>
      <c r="F378" s="5" t="n"/>
      <c r="G378" s="6" t="n"/>
      <c r="H378" s="5" t="n"/>
    </row>
    <row r="379">
      <c r="A379" t="n">
        <v>376</v>
      </c>
      <c r="B379" s="8" t="n"/>
      <c r="C379" s="5" t="n"/>
      <c r="D379" s="5" t="n"/>
      <c r="E379" s="5" t="n"/>
      <c r="F379" s="5" t="n"/>
      <c r="G379" s="6" t="n"/>
      <c r="H379" s="5" t="n"/>
    </row>
    <row r="380">
      <c r="A380" t="n">
        <v>377</v>
      </c>
      <c r="B380" s="8" t="n"/>
      <c r="C380" s="5" t="n"/>
      <c r="D380" s="5" t="n"/>
      <c r="E380" s="5" t="n"/>
      <c r="F380" s="5" t="n"/>
      <c r="G380" s="6" t="n"/>
      <c r="H380" s="5" t="n"/>
    </row>
    <row r="381">
      <c r="A381" t="n">
        <v>378</v>
      </c>
      <c r="B381" s="8" t="n"/>
      <c r="C381" s="5" t="n"/>
      <c r="D381" s="5" t="n"/>
      <c r="E381" s="5" t="n"/>
      <c r="F381" s="5" t="n"/>
      <c r="G381" s="6" t="n"/>
      <c r="H381" s="5" t="n"/>
    </row>
    <row r="382">
      <c r="A382" t="n">
        <v>379</v>
      </c>
      <c r="B382" s="8" t="n"/>
      <c r="C382" s="5" t="n"/>
      <c r="D382" s="5" t="n"/>
      <c r="E382" s="5" t="n"/>
      <c r="F382" s="5" t="n"/>
      <c r="G382" s="6" t="n"/>
      <c r="H382" s="5" t="n"/>
    </row>
    <row r="383">
      <c r="A383" t="n">
        <v>380</v>
      </c>
      <c r="B383" s="8" t="n"/>
      <c r="C383" s="5" t="n"/>
      <c r="D383" s="5" t="n"/>
      <c r="E383" s="5" t="n"/>
      <c r="F383" s="5" t="n"/>
      <c r="G383" s="6" t="n"/>
      <c r="H383" s="5" t="n"/>
    </row>
    <row r="384">
      <c r="A384" t="n">
        <v>381</v>
      </c>
      <c r="B384" s="8" t="n"/>
      <c r="C384" s="5" t="n"/>
      <c r="D384" s="5" t="n"/>
      <c r="E384" s="5" t="n"/>
      <c r="F384" s="5" t="n"/>
      <c r="G384" s="6" t="n"/>
      <c r="H384" s="5" t="n"/>
    </row>
    <row r="385">
      <c r="A385" t="n">
        <v>382</v>
      </c>
      <c r="B385" s="8" t="n"/>
      <c r="C385" s="5" t="n"/>
      <c r="D385" s="5" t="n"/>
      <c r="E385" s="5" t="n"/>
      <c r="F385" s="5" t="n"/>
      <c r="G385" s="6" t="n"/>
      <c r="H385" s="5" t="n"/>
    </row>
    <row r="386">
      <c r="A386" t="n">
        <v>383</v>
      </c>
      <c r="B386" s="8" t="n"/>
      <c r="C386" s="5" t="n"/>
      <c r="D386" s="5" t="n"/>
      <c r="E386" s="5" t="n"/>
      <c r="F386" s="5" t="n"/>
      <c r="G386" s="6" t="n"/>
      <c r="H386" s="5" t="n"/>
    </row>
    <row r="387">
      <c r="A387" t="n">
        <v>384</v>
      </c>
      <c r="B387" s="8" t="n"/>
      <c r="C387" s="5" t="n"/>
      <c r="D387" s="5" t="n"/>
      <c r="E387" s="5" t="n"/>
      <c r="F387" s="5" t="n"/>
      <c r="G387" s="6" t="n"/>
      <c r="H387" s="5" t="n"/>
    </row>
    <row r="388">
      <c r="A388" t="n">
        <v>385</v>
      </c>
      <c r="B388" s="8" t="n"/>
      <c r="C388" s="5" t="n"/>
      <c r="D388" s="5" t="n"/>
      <c r="E388" s="5" t="n"/>
      <c r="F388" s="5" t="n"/>
      <c r="G388" s="6" t="n"/>
      <c r="H388" s="5" t="n"/>
    </row>
    <row r="389">
      <c r="A389" t="n">
        <v>386</v>
      </c>
      <c r="B389" s="8" t="n"/>
      <c r="C389" s="5" t="n"/>
      <c r="D389" s="5" t="n"/>
      <c r="E389" s="5" t="n"/>
      <c r="F389" s="5" t="n"/>
      <c r="G389" s="6" t="n"/>
      <c r="H389" s="5" t="n"/>
    </row>
    <row r="390">
      <c r="A390" t="n">
        <v>387</v>
      </c>
      <c r="B390" s="8" t="n"/>
      <c r="C390" s="5" t="n"/>
      <c r="D390" s="5" t="n"/>
      <c r="E390" s="5" t="n"/>
      <c r="F390" s="5" t="n"/>
      <c r="G390" s="6" t="n"/>
      <c r="H390" s="5" t="n"/>
    </row>
    <row r="391">
      <c r="A391" t="n">
        <v>388</v>
      </c>
      <c r="B391" s="8" t="n"/>
      <c r="C391" s="5" t="n"/>
      <c r="D391" s="5" t="n"/>
      <c r="E391" s="5" t="n"/>
      <c r="F391" s="5" t="n"/>
      <c r="G391" s="6" t="n"/>
      <c r="H391" s="5" t="n"/>
    </row>
    <row r="392">
      <c r="A392" t="n">
        <v>389</v>
      </c>
      <c r="B392" s="8" t="n"/>
      <c r="C392" s="5" t="n"/>
      <c r="D392" s="5" t="n"/>
      <c r="E392" s="5" t="n"/>
      <c r="F392" s="5" t="n"/>
      <c r="G392" s="6" t="n"/>
      <c r="H392" s="5" t="n"/>
    </row>
    <row r="393">
      <c r="A393" t="n">
        <v>390</v>
      </c>
      <c r="B393" s="8" t="n"/>
      <c r="C393" s="5" t="n"/>
      <c r="D393" s="5" t="n"/>
      <c r="E393" s="5" t="n"/>
      <c r="F393" s="5" t="n"/>
      <c r="G393" s="6" t="n"/>
      <c r="H393" s="5" t="n"/>
    </row>
    <row r="394">
      <c r="A394" t="n">
        <v>391</v>
      </c>
      <c r="B394" s="8" t="n"/>
      <c r="C394" s="5" t="n"/>
      <c r="D394" s="5" t="n"/>
      <c r="E394" s="5" t="n"/>
      <c r="F394" s="5" t="n"/>
      <c r="G394" s="6" t="n"/>
      <c r="H394" s="5" t="n"/>
    </row>
    <row r="395">
      <c r="A395" t="n">
        <v>392</v>
      </c>
      <c r="B395" s="8" t="n"/>
      <c r="C395" s="5" t="n"/>
      <c r="D395" s="5" t="n"/>
      <c r="E395" s="5" t="n"/>
      <c r="F395" s="5" t="n"/>
      <c r="G395" s="6" t="n"/>
      <c r="H395" s="5" t="n"/>
    </row>
    <row r="396">
      <c r="A396" t="n">
        <v>393</v>
      </c>
      <c r="B396" s="8" t="n"/>
      <c r="C396" s="5" t="n"/>
      <c r="D396" s="5" t="n"/>
      <c r="E396" s="5" t="n"/>
      <c r="F396" s="5" t="n"/>
      <c r="G396" s="6" t="n"/>
      <c r="H396" s="5" t="n"/>
    </row>
    <row r="397">
      <c r="A397" t="n">
        <v>394</v>
      </c>
      <c r="B397" s="8" t="n"/>
      <c r="C397" s="5" t="n"/>
      <c r="D397" s="5" t="n"/>
      <c r="E397" s="5" t="n"/>
      <c r="F397" s="5" t="n"/>
      <c r="G397" s="6" t="n"/>
      <c r="H397" s="5" t="n"/>
    </row>
    <row r="398">
      <c r="A398" t="n">
        <v>395</v>
      </c>
      <c r="B398" s="8" t="n"/>
      <c r="C398" s="5" t="n"/>
      <c r="D398" s="5" t="n"/>
      <c r="E398" s="5" t="n"/>
      <c r="F398" s="5" t="n"/>
      <c r="G398" s="6" t="n"/>
      <c r="H398" s="5" t="n"/>
    </row>
    <row r="399">
      <c r="A399" t="n">
        <v>396</v>
      </c>
      <c r="B399" s="8" t="n"/>
      <c r="C399" s="5" t="n"/>
      <c r="D399" s="5" t="n"/>
      <c r="E399" s="5" t="n"/>
      <c r="F399" s="5" t="n"/>
      <c r="G399" s="6" t="n"/>
      <c r="H399" s="5" t="n"/>
    </row>
    <row r="400">
      <c r="A400" t="n">
        <v>397</v>
      </c>
      <c r="B400" s="8" t="n"/>
      <c r="C400" s="5" t="n"/>
      <c r="D400" s="5" t="n"/>
      <c r="E400" s="5" t="n"/>
      <c r="F400" s="5" t="n"/>
      <c r="G400" s="6" t="n"/>
      <c r="H400" s="5" t="n"/>
    </row>
    <row r="401">
      <c r="A401" t="n">
        <v>398</v>
      </c>
      <c r="B401" s="8" t="n"/>
      <c r="C401" s="5" t="n"/>
      <c r="D401" s="5" t="n"/>
      <c r="E401" s="5" t="n"/>
      <c r="F401" s="5" t="n"/>
      <c r="G401" s="6" t="n"/>
      <c r="H401" s="5" t="n"/>
    </row>
    <row r="402">
      <c r="A402" t="n">
        <v>399</v>
      </c>
      <c r="B402" s="8" t="n"/>
      <c r="C402" s="5" t="n"/>
      <c r="D402" s="5" t="n"/>
      <c r="E402" s="5" t="n"/>
      <c r="F402" s="5" t="n"/>
      <c r="G402" s="6" t="n"/>
      <c r="H402" s="5" t="n"/>
    </row>
    <row r="403">
      <c r="A403" t="n">
        <v>400</v>
      </c>
      <c r="B403" s="8" t="n"/>
      <c r="C403" s="5" t="n"/>
      <c r="D403" s="5" t="n"/>
      <c r="E403" s="5" t="n"/>
      <c r="F403" s="5" t="n"/>
      <c r="G403" s="6" t="n"/>
      <c r="H403" s="5" t="n"/>
    </row>
    <row r="404">
      <c r="A404" t="n">
        <v>401</v>
      </c>
      <c r="B404" s="8" t="n"/>
      <c r="C404" s="5" t="n"/>
      <c r="D404" s="5" t="n"/>
      <c r="E404" s="5" t="n"/>
      <c r="F404" s="5" t="n"/>
      <c r="G404" s="6" t="n"/>
      <c r="H404" s="5" t="n"/>
    </row>
    <row r="405">
      <c r="A405" t="n">
        <v>402</v>
      </c>
      <c r="B405" s="8" t="n"/>
      <c r="C405" s="5" t="n"/>
      <c r="D405" s="5" t="n"/>
      <c r="E405" s="5" t="n"/>
      <c r="F405" s="5" t="n"/>
      <c r="G405" s="6" t="n"/>
      <c r="H405" s="5" t="n"/>
    </row>
    <row r="406">
      <c r="A406" t="n">
        <v>403</v>
      </c>
      <c r="B406" s="8" t="n"/>
      <c r="C406" s="5" t="n"/>
      <c r="D406" s="5" t="n"/>
      <c r="E406" s="5" t="n"/>
      <c r="F406" s="5" t="n"/>
      <c r="G406" s="6" t="n"/>
      <c r="H406" s="5" t="n"/>
    </row>
    <row r="407">
      <c r="A407" t="n">
        <v>404</v>
      </c>
      <c r="B407" s="8" t="n"/>
      <c r="C407" s="5" t="n"/>
      <c r="D407" s="5" t="n"/>
      <c r="E407" s="5" t="n"/>
      <c r="F407" s="5" t="n"/>
      <c r="G407" s="6" t="n"/>
      <c r="H407" s="5" t="n"/>
    </row>
    <row r="408">
      <c r="A408" t="n">
        <v>405</v>
      </c>
      <c r="B408" s="8" t="n"/>
      <c r="C408" s="5" t="n"/>
      <c r="D408" s="5" t="n"/>
      <c r="E408" s="5" t="n"/>
      <c r="F408" s="5" t="n"/>
      <c r="G408" s="6" t="n"/>
      <c r="H408" s="5" t="n"/>
    </row>
    <row r="409">
      <c r="A409" t="n">
        <v>406</v>
      </c>
      <c r="B409" s="8" t="n"/>
      <c r="C409" s="5" t="n"/>
      <c r="D409" s="5" t="n"/>
      <c r="E409" s="5" t="n"/>
      <c r="F409" s="5" t="n"/>
      <c r="G409" s="6" t="n"/>
      <c r="H409" s="5" t="n"/>
    </row>
    <row r="410">
      <c r="A410" t="n">
        <v>407</v>
      </c>
      <c r="B410" s="8" t="n"/>
      <c r="C410" s="5" t="n"/>
      <c r="D410" s="5" t="n"/>
      <c r="E410" s="5" t="n"/>
      <c r="F410" s="5" t="n"/>
      <c r="G410" s="6" t="n"/>
      <c r="H410" s="5" t="n"/>
    </row>
    <row r="411">
      <c r="A411" t="n">
        <v>408</v>
      </c>
      <c r="B411" s="8" t="n"/>
      <c r="C411" s="5" t="n"/>
      <c r="D411" s="5" t="n"/>
      <c r="E411" s="5" t="n"/>
      <c r="F411" s="5" t="n"/>
      <c r="G411" s="6" t="n"/>
      <c r="H411" s="5" t="n"/>
    </row>
    <row r="412">
      <c r="A412" t="n">
        <v>409</v>
      </c>
      <c r="B412" s="8" t="n"/>
      <c r="C412" s="5" t="n"/>
      <c r="D412" s="5" t="n"/>
      <c r="E412" s="5" t="n"/>
      <c r="F412" s="5" t="n"/>
      <c r="G412" s="6" t="n"/>
      <c r="H412" s="5" t="n"/>
    </row>
    <row r="413">
      <c r="A413" t="n">
        <v>410</v>
      </c>
      <c r="B413" s="8" t="n"/>
      <c r="C413" s="5" t="n"/>
      <c r="D413" s="5" t="n"/>
      <c r="E413" s="5" t="n"/>
      <c r="F413" s="5" t="n"/>
      <c r="G413" s="6" t="n"/>
      <c r="H413" s="5" t="n"/>
    </row>
    <row r="414">
      <c r="A414" t="n">
        <v>411</v>
      </c>
      <c r="B414" s="8" t="n"/>
      <c r="C414" s="5" t="n"/>
      <c r="D414" s="5" t="n"/>
      <c r="E414" s="5" t="n"/>
      <c r="F414" s="5" t="n"/>
      <c r="G414" s="6" t="n"/>
      <c r="H414" s="5" t="n"/>
    </row>
    <row r="415">
      <c r="A415" t="n">
        <v>412</v>
      </c>
      <c r="B415" s="8" t="n"/>
      <c r="C415" s="5" t="n"/>
      <c r="D415" s="5" t="n"/>
      <c r="E415" s="5" t="n"/>
      <c r="F415" s="5" t="n"/>
      <c r="G415" s="6" t="n"/>
      <c r="H415" s="5" t="n"/>
    </row>
    <row r="416">
      <c r="A416" t="n">
        <v>413</v>
      </c>
      <c r="B416" s="8" t="n"/>
      <c r="C416" s="5" t="n"/>
      <c r="D416" s="5" t="n"/>
      <c r="E416" s="5" t="n"/>
      <c r="F416" s="5" t="n"/>
      <c r="G416" s="6" t="n"/>
      <c r="H416" s="5" t="n"/>
    </row>
    <row r="417">
      <c r="A417" t="n">
        <v>414</v>
      </c>
      <c r="B417" s="8" t="n"/>
      <c r="C417" s="5" t="n"/>
      <c r="D417" s="5" t="n"/>
      <c r="E417" s="5" t="n"/>
      <c r="F417" s="5" t="n"/>
      <c r="G417" s="6" t="n"/>
      <c r="H417" s="5" t="n"/>
    </row>
    <row r="418">
      <c r="A418" t="n">
        <v>415</v>
      </c>
      <c r="B418" s="8" t="n"/>
      <c r="C418" s="5" t="n"/>
      <c r="D418" s="5" t="n"/>
      <c r="E418" s="5" t="n"/>
      <c r="F418" s="5" t="n"/>
      <c r="G418" s="6" t="n"/>
      <c r="H418" s="5" t="n"/>
    </row>
    <row r="419">
      <c r="A419" t="n">
        <v>416</v>
      </c>
      <c r="B419" s="8" t="n"/>
      <c r="C419" s="5" t="n"/>
      <c r="D419" s="5" t="n"/>
      <c r="E419" s="5" t="n"/>
      <c r="F419" s="5" t="n"/>
      <c r="G419" s="6" t="n"/>
      <c r="H419" s="5" t="n"/>
    </row>
    <row r="420">
      <c r="A420" t="n">
        <v>417</v>
      </c>
      <c r="B420" s="8" t="n"/>
      <c r="C420" s="5" t="n"/>
      <c r="D420" s="5" t="n"/>
      <c r="E420" s="5" t="n"/>
      <c r="F420" s="5" t="n"/>
      <c r="G420" s="6" t="n"/>
      <c r="H420" s="5" t="n"/>
    </row>
    <row r="421">
      <c r="A421" t="n">
        <v>418</v>
      </c>
      <c r="B421" s="8" t="n"/>
      <c r="C421" s="5" t="n"/>
      <c r="D421" s="5" t="n"/>
      <c r="E421" s="5" t="n"/>
      <c r="F421" s="5" t="n"/>
      <c r="G421" s="6" t="n"/>
      <c r="H421" s="5" t="n"/>
    </row>
    <row r="422">
      <c r="A422" t="n">
        <v>419</v>
      </c>
      <c r="B422" s="8" t="n"/>
      <c r="C422" s="5" t="n"/>
      <c r="D422" s="5" t="n"/>
      <c r="E422" s="5" t="n"/>
      <c r="F422" s="5" t="n"/>
      <c r="G422" s="6" t="n"/>
      <c r="H422" s="5" t="n"/>
    </row>
    <row r="423">
      <c r="A423" t="n">
        <v>420</v>
      </c>
      <c r="B423" s="8" t="n"/>
      <c r="C423" s="5" t="n"/>
      <c r="D423" s="5" t="n"/>
      <c r="E423" s="5" t="n"/>
      <c r="F423" s="5" t="n"/>
      <c r="G423" s="6" t="n"/>
      <c r="H423" s="5" t="n"/>
    </row>
    <row r="424">
      <c r="A424" t="n">
        <v>421</v>
      </c>
      <c r="B424" s="8" t="n"/>
      <c r="C424" s="5" t="n"/>
      <c r="D424" s="5" t="n"/>
      <c r="E424" s="5" t="n"/>
      <c r="F424" s="5" t="n"/>
      <c r="G424" s="6" t="n"/>
      <c r="H424" s="5" t="n"/>
    </row>
    <row r="425">
      <c r="A425" t="n">
        <v>422</v>
      </c>
      <c r="B425" s="8" t="n"/>
      <c r="C425" s="5" t="n"/>
      <c r="D425" s="5" t="n"/>
      <c r="E425" s="5" t="n"/>
      <c r="F425" s="5" t="n"/>
      <c r="G425" s="6" t="n"/>
      <c r="H425" s="5" t="n"/>
    </row>
    <row r="426">
      <c r="A426" t="n">
        <v>423</v>
      </c>
      <c r="B426" s="8" t="n"/>
      <c r="C426" s="5" t="n"/>
      <c r="D426" s="5" t="n"/>
      <c r="E426" s="5" t="n"/>
      <c r="F426" s="5" t="n"/>
      <c r="G426" s="6" t="n"/>
      <c r="H426" s="5" t="n"/>
    </row>
    <row r="427">
      <c r="A427" t="n">
        <v>424</v>
      </c>
      <c r="B427" s="8" t="n"/>
      <c r="C427" s="5" t="n"/>
      <c r="D427" s="5" t="n"/>
      <c r="E427" s="5" t="n"/>
      <c r="F427" s="5" t="n"/>
      <c r="G427" s="6" t="n"/>
      <c r="H427" s="5" t="n"/>
    </row>
    <row r="428">
      <c r="A428" t="n">
        <v>425</v>
      </c>
      <c r="B428" s="8" t="n"/>
      <c r="C428" s="5" t="n"/>
      <c r="D428" s="5" t="n"/>
      <c r="E428" s="5" t="n"/>
      <c r="F428" s="5" t="n"/>
      <c r="G428" s="6" t="n"/>
      <c r="H428" s="5" t="n"/>
    </row>
    <row r="429">
      <c r="A429" t="n">
        <v>426</v>
      </c>
      <c r="B429" s="8" t="n"/>
      <c r="C429" s="5" t="n"/>
      <c r="D429" s="5" t="n"/>
      <c r="E429" s="5" t="n"/>
      <c r="F429" s="5" t="n"/>
      <c r="G429" s="6" t="n"/>
      <c r="H429" s="5" t="n"/>
    </row>
    <row r="430">
      <c r="A430" t="n">
        <v>427</v>
      </c>
      <c r="B430" s="8" t="n"/>
      <c r="C430" s="5" t="n"/>
      <c r="D430" s="5" t="n"/>
      <c r="E430" s="5" t="n"/>
      <c r="F430" s="5" t="n"/>
      <c r="G430" s="6" t="n"/>
      <c r="H430" s="5" t="n"/>
    </row>
    <row r="431">
      <c r="A431" t="n">
        <v>428</v>
      </c>
      <c r="B431" s="8" t="n"/>
      <c r="C431" s="5" t="n"/>
      <c r="D431" s="5" t="n"/>
      <c r="E431" s="5" t="n"/>
      <c r="F431" s="5" t="n"/>
      <c r="G431" s="6" t="n"/>
      <c r="H431" s="5" t="n"/>
    </row>
    <row r="432">
      <c r="A432" t="n">
        <v>429</v>
      </c>
      <c r="B432" s="8" t="n"/>
      <c r="C432" s="5" t="n"/>
      <c r="D432" s="5" t="n"/>
      <c r="E432" s="5" t="n"/>
      <c r="F432" s="5" t="n"/>
      <c r="G432" s="6" t="n"/>
      <c r="H432" s="5" t="n"/>
    </row>
    <row r="433">
      <c r="A433" t="n">
        <v>430</v>
      </c>
      <c r="B433" s="8" t="n"/>
      <c r="C433" s="5" t="n"/>
      <c r="D433" s="5" t="n"/>
      <c r="E433" s="5" t="n"/>
      <c r="F433" s="5" t="n"/>
      <c r="G433" s="6" t="n"/>
      <c r="H433" s="5" t="n"/>
    </row>
    <row r="434">
      <c r="A434" t="n">
        <v>431</v>
      </c>
      <c r="B434" s="8" t="n"/>
      <c r="C434" s="5" t="n"/>
      <c r="D434" s="5" t="n"/>
      <c r="E434" s="5" t="n"/>
      <c r="F434" s="5" t="n"/>
      <c r="G434" s="6" t="n"/>
      <c r="H434" s="5" t="n"/>
    </row>
    <row r="435">
      <c r="A435" t="n">
        <v>432</v>
      </c>
      <c r="B435" s="8" t="n"/>
      <c r="C435" s="5" t="n"/>
      <c r="D435" s="5" t="n"/>
      <c r="E435" s="5" t="n"/>
      <c r="F435" s="5" t="n"/>
      <c r="G435" s="6" t="n"/>
      <c r="H435" s="5" t="n"/>
    </row>
    <row r="436">
      <c r="A436" t="n">
        <v>433</v>
      </c>
      <c r="B436" s="8" t="n"/>
      <c r="C436" s="5" t="n"/>
      <c r="D436" s="5" t="n"/>
      <c r="E436" s="5" t="n"/>
      <c r="F436" s="5" t="n"/>
      <c r="G436" s="6" t="n"/>
      <c r="H436" s="5" t="n"/>
    </row>
    <row r="437">
      <c r="A437" t="n">
        <v>434</v>
      </c>
      <c r="B437" s="8" t="n"/>
      <c r="C437" s="5" t="n"/>
      <c r="D437" s="5" t="n"/>
      <c r="E437" s="5" t="n"/>
      <c r="F437" s="5" t="n"/>
      <c r="G437" s="6" t="n"/>
      <c r="H437" s="5" t="n"/>
    </row>
    <row r="438">
      <c r="A438" t="n">
        <v>435</v>
      </c>
      <c r="B438" s="8" t="n"/>
      <c r="C438" s="5" t="n"/>
      <c r="D438" s="5" t="n"/>
      <c r="E438" s="5" t="n"/>
      <c r="F438" s="5" t="n"/>
      <c r="G438" s="6" t="n"/>
      <c r="H438" s="5" t="n"/>
    </row>
    <row r="439">
      <c r="A439" t="n">
        <v>436</v>
      </c>
      <c r="B439" s="8" t="n"/>
      <c r="C439" s="5" t="n"/>
      <c r="D439" s="5" t="n"/>
      <c r="E439" s="5" t="n"/>
      <c r="F439" s="5" t="n"/>
      <c r="G439" s="6" t="n"/>
      <c r="H439" s="5" t="n"/>
    </row>
    <row r="440">
      <c r="A440" t="n">
        <v>437</v>
      </c>
      <c r="B440" s="8" t="n"/>
      <c r="C440" s="5" t="n"/>
      <c r="D440" s="5" t="n"/>
      <c r="E440" s="5" t="n"/>
      <c r="F440" s="5" t="n"/>
      <c r="G440" s="6" t="n"/>
      <c r="H440" s="5" t="n"/>
    </row>
    <row r="441">
      <c r="A441" t="n">
        <v>438</v>
      </c>
      <c r="B441" s="8" t="n"/>
      <c r="C441" s="5" t="n"/>
      <c r="D441" s="5" t="n"/>
      <c r="E441" s="5" t="n"/>
      <c r="F441" s="5" t="n"/>
      <c r="G441" s="6" t="n"/>
      <c r="H441" s="5" t="n"/>
    </row>
    <row r="442">
      <c r="A442" t="n">
        <v>439</v>
      </c>
      <c r="B442" s="8" t="n"/>
      <c r="C442" s="5" t="n"/>
      <c r="D442" s="5" t="n"/>
      <c r="E442" s="5" t="n"/>
      <c r="F442" s="5" t="n"/>
      <c r="G442" s="6" t="n"/>
      <c r="H442" s="5" t="n"/>
    </row>
    <row r="443">
      <c r="A443" t="n">
        <v>440</v>
      </c>
      <c r="B443" s="8" t="n"/>
      <c r="C443" s="5" t="n"/>
      <c r="D443" s="5" t="n"/>
      <c r="E443" s="5" t="n"/>
      <c r="F443" s="5" t="n"/>
      <c r="G443" s="6" t="n"/>
      <c r="H443" s="5" t="n"/>
    </row>
    <row r="444">
      <c r="A444" t="n">
        <v>441</v>
      </c>
      <c r="B444" s="8" t="n"/>
      <c r="C444" s="5" t="n"/>
      <c r="D444" s="5" t="n"/>
      <c r="E444" s="5" t="n"/>
      <c r="F444" s="5" t="n"/>
      <c r="G444" s="6" t="n"/>
      <c r="H444" s="5" t="n"/>
    </row>
    <row r="445">
      <c r="A445" t="n">
        <v>442</v>
      </c>
      <c r="B445" s="8" t="n"/>
      <c r="C445" s="5" t="n"/>
      <c r="D445" s="5" t="n"/>
      <c r="E445" s="5" t="n"/>
      <c r="F445" s="5" t="n"/>
      <c r="G445" s="6" t="n"/>
      <c r="H445" s="5" t="n"/>
    </row>
    <row r="446">
      <c r="A446" t="n">
        <v>443</v>
      </c>
      <c r="B446" s="8" t="n"/>
      <c r="C446" s="5" t="n"/>
      <c r="D446" s="5" t="n"/>
      <c r="E446" s="5" t="n"/>
      <c r="F446" s="5" t="n"/>
      <c r="G446" s="6" t="n"/>
      <c r="H446" s="5" t="n"/>
    </row>
    <row r="447">
      <c r="A447" t="n">
        <v>444</v>
      </c>
      <c r="B447" s="8" t="n"/>
      <c r="C447" s="5" t="n"/>
      <c r="D447" s="5" t="n"/>
      <c r="E447" s="5" t="n"/>
      <c r="F447" s="5" t="n"/>
      <c r="G447" s="6" t="n"/>
      <c r="H447" s="5" t="n"/>
    </row>
    <row r="448">
      <c r="A448" t="n">
        <v>445</v>
      </c>
      <c r="B448" s="8" t="n"/>
      <c r="C448" s="5" t="n"/>
      <c r="D448" s="5" t="n"/>
      <c r="E448" s="5" t="n"/>
      <c r="F448" s="5" t="n"/>
      <c r="G448" s="6" t="n"/>
      <c r="H448" s="5" t="n"/>
    </row>
    <row r="449">
      <c r="A449" t="n">
        <v>446</v>
      </c>
      <c r="B449" s="8" t="n"/>
      <c r="C449" s="5" t="n"/>
      <c r="D449" s="5" t="n"/>
      <c r="E449" s="5" t="n"/>
      <c r="F449" s="5" t="n"/>
      <c r="G449" s="6" t="n"/>
      <c r="H449" s="5" t="n"/>
    </row>
    <row r="450">
      <c r="A450" t="n">
        <v>447</v>
      </c>
      <c r="B450" s="8" t="n"/>
      <c r="C450" s="5" t="n"/>
      <c r="D450" s="5" t="n"/>
      <c r="E450" s="5" t="n"/>
      <c r="F450" s="5" t="n"/>
      <c r="G450" s="6" t="n"/>
      <c r="H450" s="5" t="n"/>
    </row>
    <row r="451">
      <c r="A451" t="n">
        <v>448</v>
      </c>
      <c r="B451" s="8" t="n"/>
      <c r="C451" s="5" t="n"/>
      <c r="D451" s="5" t="n"/>
      <c r="E451" s="5" t="n"/>
      <c r="F451" s="5" t="n"/>
      <c r="G451" s="6" t="n"/>
      <c r="H451" s="5" t="n"/>
    </row>
    <row r="452">
      <c r="A452" t="n">
        <v>449</v>
      </c>
      <c r="B452" s="8" t="n"/>
      <c r="C452" s="5" t="n"/>
      <c r="D452" s="5" t="n"/>
      <c r="E452" s="5" t="n"/>
      <c r="F452" s="5" t="n"/>
      <c r="G452" s="6" t="n"/>
      <c r="H452" s="5" t="n"/>
    </row>
    <row r="453">
      <c r="A453" t="n">
        <v>450</v>
      </c>
      <c r="B453" s="8" t="n"/>
      <c r="C453" s="5" t="n"/>
      <c r="D453" s="5" t="n"/>
      <c r="E453" s="5" t="n"/>
      <c r="F453" s="5" t="n"/>
      <c r="G453" s="6" t="n"/>
      <c r="H453" s="5" t="n"/>
    </row>
    <row r="454">
      <c r="A454" t="n">
        <v>451</v>
      </c>
      <c r="B454" s="8" t="n"/>
      <c r="C454" s="5" t="n"/>
      <c r="D454" s="5" t="n"/>
      <c r="E454" s="5" t="n"/>
      <c r="F454" s="5" t="n"/>
      <c r="G454" s="6" t="n"/>
      <c r="H454" s="5" t="n"/>
    </row>
    <row r="455">
      <c r="A455" t="n">
        <v>452</v>
      </c>
      <c r="B455" s="8" t="n"/>
      <c r="C455" s="5" t="n"/>
      <c r="D455" s="5" t="n"/>
      <c r="E455" s="5" t="n"/>
      <c r="F455" s="5" t="n"/>
      <c r="G455" s="6" t="n"/>
      <c r="H455" s="5" t="n"/>
    </row>
    <row r="456">
      <c r="A456" t="n">
        <v>453</v>
      </c>
      <c r="B456" s="8" t="n"/>
      <c r="C456" s="5" t="n"/>
      <c r="D456" s="5" t="n"/>
      <c r="E456" s="5" t="n"/>
      <c r="F456" s="5" t="n"/>
      <c r="G456" s="6" t="n"/>
      <c r="H456" s="5" t="n"/>
    </row>
    <row r="457">
      <c r="A457" t="n">
        <v>454</v>
      </c>
      <c r="B457" s="8" t="n"/>
      <c r="C457" s="5" t="n"/>
      <c r="D457" s="5" t="n"/>
      <c r="E457" s="5" t="n"/>
      <c r="F457" s="5" t="n"/>
      <c r="G457" s="6" t="n"/>
      <c r="H457" s="5" t="n"/>
    </row>
    <row r="458">
      <c r="A458" t="n">
        <v>455</v>
      </c>
      <c r="B458" s="8" t="n"/>
      <c r="C458" s="5" t="n"/>
      <c r="D458" s="5" t="n"/>
      <c r="E458" s="5" t="n"/>
      <c r="F458" s="5" t="n"/>
      <c r="G458" s="6" t="n"/>
      <c r="H458" s="5" t="n"/>
    </row>
    <row r="459">
      <c r="A459" t="n">
        <v>456</v>
      </c>
      <c r="B459" s="8" t="n"/>
      <c r="C459" s="5" t="n"/>
      <c r="D459" s="5" t="n"/>
      <c r="E459" s="5" t="n"/>
      <c r="F459" s="5" t="n"/>
      <c r="G459" s="6" t="n"/>
      <c r="H459" s="5" t="n"/>
    </row>
    <row r="460">
      <c r="A460" t="n">
        <v>457</v>
      </c>
      <c r="B460" s="8" t="n"/>
      <c r="C460" s="5" t="n"/>
      <c r="D460" s="5" t="n"/>
      <c r="E460" s="5" t="n"/>
      <c r="F460" s="5" t="n"/>
      <c r="G460" s="6" t="n"/>
      <c r="H460" s="5" t="n"/>
    </row>
    <row r="461">
      <c r="A461" t="n">
        <v>458</v>
      </c>
      <c r="B461" s="8" t="n"/>
      <c r="C461" s="5" t="n"/>
      <c r="D461" s="5" t="n"/>
      <c r="E461" s="5" t="n"/>
      <c r="F461" s="5" t="n"/>
      <c r="G461" s="6" t="n"/>
      <c r="H461" s="5" t="n"/>
    </row>
    <row r="462">
      <c r="A462" t="n">
        <v>459</v>
      </c>
      <c r="B462" s="8" t="n"/>
      <c r="C462" s="5" t="n"/>
      <c r="D462" s="5" t="n"/>
      <c r="E462" s="5" t="n"/>
      <c r="F462" s="5" t="n"/>
      <c r="G462" s="6" t="n"/>
      <c r="H462" s="5" t="n"/>
    </row>
    <row r="463">
      <c r="A463" t="n">
        <v>460</v>
      </c>
      <c r="B463" s="8" t="n"/>
      <c r="C463" s="5" t="n"/>
      <c r="D463" s="5" t="n"/>
      <c r="E463" s="5" t="n"/>
      <c r="F463" s="5" t="n"/>
      <c r="G463" s="6" t="n"/>
      <c r="H463" s="5" t="n"/>
    </row>
    <row r="464">
      <c r="A464" t="n">
        <v>461</v>
      </c>
      <c r="B464" s="8" t="n"/>
      <c r="C464" s="5" t="n"/>
      <c r="D464" s="5" t="n"/>
      <c r="E464" s="5" t="n"/>
      <c r="F464" s="5" t="n"/>
      <c r="G464" s="6" t="n"/>
      <c r="H464" s="5" t="n"/>
    </row>
    <row r="465">
      <c r="A465" t="n">
        <v>462</v>
      </c>
      <c r="B465" s="8" t="n"/>
      <c r="C465" s="5" t="n"/>
      <c r="D465" s="5" t="n"/>
      <c r="E465" s="5" t="n"/>
      <c r="F465" s="5" t="n"/>
      <c r="G465" s="6" t="n"/>
      <c r="H465" s="5" t="n"/>
    </row>
    <row r="466">
      <c r="A466" t="n">
        <v>463</v>
      </c>
      <c r="B466" s="8" t="n"/>
      <c r="C466" s="5" t="n"/>
      <c r="D466" s="5" t="n"/>
      <c r="E466" s="5" t="n"/>
      <c r="F466" s="5" t="n"/>
      <c r="G466" s="6" t="n"/>
      <c r="H466" s="5" t="n"/>
    </row>
    <row r="467">
      <c r="A467" t="n">
        <v>464</v>
      </c>
      <c r="B467" s="8" t="n"/>
      <c r="C467" s="5" t="n"/>
      <c r="D467" s="5" t="n"/>
      <c r="E467" s="5" t="n"/>
      <c r="F467" s="5" t="n"/>
      <c r="G467" s="6" t="n"/>
      <c r="H467" s="5" t="n"/>
    </row>
    <row r="468">
      <c r="A468" t="n">
        <v>465</v>
      </c>
      <c r="B468" s="8" t="n"/>
      <c r="C468" s="5" t="n"/>
      <c r="D468" s="5" t="n"/>
      <c r="E468" s="5" t="n"/>
      <c r="F468" s="5" t="n"/>
      <c r="G468" s="6" t="n"/>
      <c r="H468" s="5" t="n"/>
    </row>
    <row r="469">
      <c r="A469" t="n">
        <v>466</v>
      </c>
      <c r="B469" s="8" t="n"/>
      <c r="C469" s="5" t="n"/>
      <c r="D469" s="5" t="n"/>
      <c r="E469" s="5" t="n"/>
      <c r="F469" s="5" t="n"/>
      <c r="G469" s="6" t="n"/>
      <c r="H469" s="5" t="n"/>
    </row>
    <row r="470">
      <c r="A470" t="n">
        <v>467</v>
      </c>
      <c r="B470" s="8" t="n"/>
      <c r="C470" s="5" t="n"/>
      <c r="D470" s="5" t="n"/>
      <c r="E470" s="5" t="n"/>
      <c r="F470" s="5" t="n"/>
      <c r="G470" s="6" t="n"/>
      <c r="H470" s="5" t="n"/>
    </row>
    <row r="471">
      <c r="A471" t="n">
        <v>468</v>
      </c>
      <c r="B471" s="8" t="n"/>
      <c r="C471" s="5" t="n"/>
      <c r="D471" s="5" t="n"/>
      <c r="E471" s="5" t="n"/>
      <c r="F471" s="5" t="n"/>
      <c r="G471" s="6" t="n"/>
      <c r="H471" s="5" t="n"/>
    </row>
    <row r="472">
      <c r="A472" t="n">
        <v>469</v>
      </c>
      <c r="B472" s="8" t="n"/>
      <c r="C472" s="5" t="n"/>
      <c r="D472" s="5" t="n"/>
      <c r="E472" s="5" t="n"/>
      <c r="F472" s="5" t="n"/>
      <c r="G472" s="6" t="n"/>
      <c r="H472" s="5" t="n"/>
    </row>
    <row r="473">
      <c r="A473" t="n">
        <v>470</v>
      </c>
      <c r="B473" s="8" t="n"/>
      <c r="C473" s="5" t="n"/>
      <c r="D473" s="5" t="n"/>
      <c r="E473" s="5" t="n"/>
      <c r="F473" s="5" t="n"/>
      <c r="G473" s="6" t="n"/>
      <c r="H473" s="5" t="n"/>
    </row>
    <row r="474">
      <c r="A474" t="n">
        <v>471</v>
      </c>
      <c r="B474" s="8" t="n"/>
      <c r="C474" s="5" t="n"/>
      <c r="D474" s="5" t="n"/>
      <c r="E474" s="5" t="n"/>
      <c r="F474" s="5" t="n"/>
      <c r="G474" s="6" t="n"/>
      <c r="H474" s="5" t="n"/>
    </row>
    <row r="475">
      <c r="A475" t="n">
        <v>472</v>
      </c>
      <c r="B475" s="8" t="n"/>
      <c r="C475" s="5" t="n"/>
      <c r="D475" s="5" t="n"/>
      <c r="E475" s="5" t="n"/>
      <c r="F475" s="5" t="n"/>
      <c r="G475" s="6" t="n"/>
      <c r="H475" s="5" t="n"/>
    </row>
    <row r="476">
      <c r="A476" t="n">
        <v>473</v>
      </c>
      <c r="B476" s="8" t="n"/>
      <c r="C476" s="5" t="n"/>
      <c r="D476" s="5" t="n"/>
      <c r="E476" s="5" t="n"/>
      <c r="F476" s="5" t="n"/>
      <c r="G476" s="6" t="n"/>
      <c r="H476" s="5" t="n"/>
    </row>
    <row r="477">
      <c r="A477" t="n">
        <v>474</v>
      </c>
      <c r="B477" s="8" t="n"/>
      <c r="C477" s="5" t="n"/>
      <c r="D477" s="5" t="n"/>
      <c r="E477" s="5" t="n"/>
      <c r="F477" s="5" t="n"/>
      <c r="G477" s="6" t="n"/>
      <c r="H477" s="5" t="n"/>
    </row>
    <row r="478">
      <c r="A478" t="n">
        <v>475</v>
      </c>
      <c r="B478" s="8" t="n"/>
      <c r="C478" s="5" t="n"/>
      <c r="D478" s="5" t="n"/>
      <c r="E478" s="5" t="n"/>
      <c r="F478" s="5" t="n"/>
      <c r="G478" s="6" t="n"/>
      <c r="H478" s="5" t="n"/>
    </row>
    <row r="479">
      <c r="A479" t="n">
        <v>476</v>
      </c>
      <c r="B479" s="8" t="n"/>
      <c r="C479" s="5" t="n"/>
      <c r="D479" s="5" t="n"/>
      <c r="E479" s="5" t="n"/>
      <c r="F479" s="5" t="n"/>
      <c r="G479" s="6" t="n"/>
      <c r="H479" s="5" t="n"/>
    </row>
    <row r="480">
      <c r="A480" t="n">
        <v>477</v>
      </c>
      <c r="B480" s="8" t="n"/>
      <c r="C480" s="5" t="n"/>
      <c r="D480" s="5" t="n"/>
      <c r="E480" s="5" t="n"/>
      <c r="F480" s="5" t="n"/>
      <c r="G480" s="6" t="n"/>
      <c r="H480" s="5" t="n"/>
    </row>
    <row r="481">
      <c r="A481" t="n">
        <v>478</v>
      </c>
      <c r="B481" s="8" t="n"/>
      <c r="C481" s="5" t="n"/>
      <c r="D481" s="5" t="n"/>
      <c r="E481" s="5" t="n"/>
      <c r="F481" s="5" t="n"/>
      <c r="G481" s="6" t="n"/>
      <c r="H481" s="5" t="n"/>
    </row>
    <row r="482">
      <c r="A482" t="n">
        <v>479</v>
      </c>
      <c r="B482" s="8" t="n"/>
      <c r="C482" s="5" t="n"/>
      <c r="D482" s="5" t="n"/>
      <c r="E482" s="5" t="n"/>
      <c r="F482" s="5" t="n"/>
      <c r="G482" s="6" t="n"/>
      <c r="H482" s="5" t="n"/>
    </row>
    <row r="483">
      <c r="A483" t="n">
        <v>480</v>
      </c>
      <c r="B483" s="8" t="n"/>
      <c r="C483" s="5" t="n"/>
      <c r="D483" s="5" t="n"/>
      <c r="E483" s="5" t="n"/>
      <c r="F483" s="5" t="n"/>
      <c r="G483" s="6" t="n"/>
      <c r="H483" s="5" t="n"/>
    </row>
    <row r="484">
      <c r="A484" t="n">
        <v>481</v>
      </c>
      <c r="B484" s="8" t="n"/>
      <c r="C484" s="5" t="n"/>
      <c r="D484" s="5" t="n"/>
      <c r="E484" s="5" t="n"/>
      <c r="F484" s="5" t="n"/>
      <c r="G484" s="6" t="n"/>
      <c r="H484" s="5" t="n"/>
    </row>
    <row r="485">
      <c r="A485" t="n">
        <v>482</v>
      </c>
      <c r="B485" s="8" t="n"/>
      <c r="C485" s="5" t="n"/>
      <c r="D485" s="5" t="n"/>
      <c r="E485" s="5" t="n"/>
      <c r="F485" s="5" t="n"/>
      <c r="G485" s="6" t="n"/>
      <c r="H485" s="5" t="n"/>
    </row>
    <row r="486">
      <c r="A486" t="n">
        <v>483</v>
      </c>
      <c r="B486" s="8" t="n"/>
      <c r="C486" s="5" t="n"/>
      <c r="D486" s="5" t="n"/>
      <c r="E486" s="5" t="n"/>
      <c r="F486" s="5" t="n"/>
      <c r="G486" s="6" t="n"/>
      <c r="H486" s="5" t="n"/>
    </row>
    <row r="487">
      <c r="A487" t="n">
        <v>484</v>
      </c>
      <c r="B487" s="8" t="n"/>
      <c r="C487" s="5" t="n"/>
      <c r="D487" s="5" t="n"/>
      <c r="E487" s="5" t="n"/>
      <c r="F487" s="5" t="n"/>
      <c r="G487" s="6" t="n"/>
      <c r="H487" s="5" t="n"/>
    </row>
    <row r="488">
      <c r="A488" t="n">
        <v>485</v>
      </c>
      <c r="B488" s="8" t="n"/>
      <c r="C488" s="5" t="n"/>
      <c r="D488" s="5" t="n"/>
      <c r="E488" s="5" t="n"/>
      <c r="F488" s="5" t="n"/>
      <c r="G488" s="6" t="n"/>
      <c r="H488" s="5" t="n"/>
    </row>
    <row r="489">
      <c r="A489" t="n">
        <v>486</v>
      </c>
      <c r="B489" s="8" t="n"/>
      <c r="C489" s="5" t="n"/>
      <c r="D489" s="5" t="n"/>
      <c r="E489" s="5" t="n"/>
      <c r="F489" s="5" t="n"/>
      <c r="G489" s="6" t="n"/>
      <c r="H489" s="5" t="n"/>
    </row>
    <row r="490">
      <c r="A490" t="n">
        <v>487</v>
      </c>
      <c r="B490" s="8" t="n"/>
      <c r="C490" s="5" t="n"/>
      <c r="D490" s="5" t="n"/>
      <c r="E490" s="5" t="n"/>
      <c r="F490" s="5" t="n"/>
      <c r="G490" s="6" t="n"/>
      <c r="H490" s="5" t="n"/>
    </row>
    <row r="491">
      <c r="A491" t="n">
        <v>488</v>
      </c>
      <c r="B491" s="8" t="n"/>
      <c r="C491" s="5" t="n"/>
      <c r="D491" s="5" t="n"/>
      <c r="E491" s="5" t="n"/>
      <c r="F491" s="5" t="n"/>
      <c r="G491" s="6" t="n"/>
      <c r="H491" s="5" t="n"/>
    </row>
    <row r="492">
      <c r="A492" t="n">
        <v>489</v>
      </c>
      <c r="B492" s="8" t="n"/>
      <c r="C492" s="5" t="n"/>
      <c r="D492" s="5" t="n"/>
      <c r="E492" s="5" t="n"/>
      <c r="F492" s="5" t="n"/>
      <c r="G492" s="6" t="n"/>
      <c r="H492" s="5" t="n"/>
    </row>
    <row r="493">
      <c r="A493" t="n">
        <v>490</v>
      </c>
      <c r="B493" s="8" t="n"/>
      <c r="C493" s="5" t="n"/>
      <c r="D493" s="5" t="n"/>
      <c r="E493" s="5" t="n"/>
      <c r="F493" s="5" t="n"/>
      <c r="G493" s="6" t="n"/>
      <c r="H493" s="5" t="n"/>
    </row>
    <row r="494">
      <c r="A494" t="n">
        <v>491</v>
      </c>
      <c r="B494" s="8" t="n"/>
      <c r="C494" s="5" t="n"/>
      <c r="D494" s="5" t="n"/>
      <c r="E494" s="5" t="n"/>
      <c r="F494" s="5" t="n"/>
      <c r="G494" s="6" t="n"/>
      <c r="H494" s="5" t="n"/>
    </row>
    <row r="495">
      <c r="A495" t="n">
        <v>492</v>
      </c>
      <c r="B495" s="8" t="n"/>
      <c r="C495" s="5" t="n"/>
      <c r="D495" s="5" t="n"/>
      <c r="E495" s="5" t="n"/>
      <c r="F495" s="5" t="n"/>
      <c r="G495" s="6" t="n"/>
      <c r="H495" s="5" t="n"/>
    </row>
    <row r="496">
      <c r="A496" t="n">
        <v>493</v>
      </c>
      <c r="B496" s="8" t="n"/>
      <c r="C496" s="5" t="n"/>
      <c r="D496" s="5" t="n"/>
      <c r="E496" s="5" t="n"/>
      <c r="F496" s="5" t="n"/>
      <c r="G496" s="6" t="n"/>
      <c r="H496" s="5" t="n"/>
    </row>
    <row r="497">
      <c r="A497" t="n">
        <v>494</v>
      </c>
      <c r="B497" s="8" t="n"/>
      <c r="C497" s="5" t="n"/>
      <c r="D497" s="5" t="n"/>
      <c r="E497" s="5" t="n"/>
      <c r="F497" s="5" t="n"/>
      <c r="G497" s="6" t="n"/>
      <c r="H497" s="5" t="n"/>
    </row>
    <row r="498">
      <c r="A498" t="n">
        <v>495</v>
      </c>
      <c r="B498" s="8" t="n"/>
      <c r="C498" s="5" t="n"/>
      <c r="D498" s="5" t="n"/>
      <c r="E498" s="5" t="n"/>
      <c r="F498" s="5" t="n"/>
      <c r="G498" s="6" t="n"/>
      <c r="H498" s="5" t="n"/>
    </row>
    <row r="499">
      <c r="A499" t="n">
        <v>496</v>
      </c>
      <c r="B499" s="8" t="n"/>
      <c r="C499" s="5" t="n"/>
      <c r="D499" s="5" t="n"/>
      <c r="E499" s="5" t="n"/>
      <c r="F499" s="5" t="n"/>
      <c r="G499" s="6" t="n"/>
      <c r="H499" s="5" t="n"/>
    </row>
    <row r="500">
      <c r="A500" t="n">
        <v>497</v>
      </c>
      <c r="B500" s="8" t="n"/>
      <c r="C500" s="5" t="n"/>
      <c r="D500" s="5" t="n"/>
      <c r="E500" s="5" t="n"/>
      <c r="F500" s="5" t="n"/>
      <c r="G500" s="6" t="n"/>
      <c r="H500" s="5" t="n"/>
    </row>
    <row r="501">
      <c r="A501" t="n">
        <v>498</v>
      </c>
      <c r="B501" s="8" t="n"/>
      <c r="C501" s="5" t="n"/>
      <c r="D501" s="5" t="n"/>
      <c r="E501" s="5" t="n"/>
      <c r="F501" s="5" t="n"/>
      <c r="G501" s="6" t="n"/>
      <c r="H501" s="5" t="n"/>
    </row>
    <row r="502">
      <c r="A502" t="n">
        <v>499</v>
      </c>
      <c r="B502" s="8" t="n"/>
      <c r="C502" s="5" t="n"/>
      <c r="D502" s="5" t="n"/>
      <c r="E502" s="5" t="n"/>
      <c r="F502" s="5" t="n"/>
      <c r="G502" s="6" t="n"/>
      <c r="H502" s="5" t="n"/>
    </row>
    <row r="503">
      <c r="A503" t="n">
        <v>500</v>
      </c>
      <c r="B503" s="8" t="n"/>
      <c r="C503" s="5" t="n"/>
      <c r="D503" s="5" t="n"/>
      <c r="E503" s="5" t="n"/>
      <c r="F503" s="5" t="n"/>
      <c r="G503" s="6" t="n"/>
      <c r="H503" s="5" t="n"/>
    </row>
    <row r="504">
      <c r="A504" t="n">
        <v>501</v>
      </c>
      <c r="B504" s="8" t="n"/>
      <c r="C504" s="5" t="n"/>
      <c r="D504" s="5" t="n"/>
      <c r="E504" s="5" t="n"/>
      <c r="F504" s="5" t="n"/>
      <c r="G504" s="6" t="n"/>
      <c r="H504" s="5" t="n"/>
    </row>
    <row r="505">
      <c r="A505" t="n">
        <v>502</v>
      </c>
      <c r="B505" s="8" t="n"/>
      <c r="C505" s="5" t="n"/>
      <c r="D505" s="5" t="n"/>
      <c r="E505" s="5" t="n"/>
      <c r="F505" s="5" t="n"/>
      <c r="G505" s="6" t="n"/>
      <c r="H505" s="5" t="n"/>
    </row>
    <row r="506">
      <c r="A506" t="n">
        <v>503</v>
      </c>
      <c r="B506" s="8" t="n"/>
      <c r="C506" s="5" t="n"/>
      <c r="D506" s="5" t="n"/>
      <c r="E506" s="5" t="n"/>
      <c r="F506" s="5" t="n"/>
      <c r="G506" s="6" t="n"/>
      <c r="H506" s="5" t="n"/>
    </row>
    <row r="507">
      <c r="A507" t="n">
        <v>504</v>
      </c>
      <c r="B507" s="8" t="n"/>
      <c r="C507" s="5" t="n"/>
      <c r="D507" s="5" t="n"/>
      <c r="E507" s="5" t="n"/>
      <c r="F507" s="5" t="n"/>
      <c r="G507" s="6" t="n"/>
      <c r="H507" s="5" t="n"/>
    </row>
    <row r="508">
      <c r="A508" t="n">
        <v>505</v>
      </c>
      <c r="B508" s="8" t="n"/>
      <c r="C508" s="5" t="n"/>
      <c r="D508" s="5" t="n"/>
      <c r="E508" s="5" t="n"/>
      <c r="F508" s="5" t="n"/>
      <c r="G508" s="6" t="n"/>
      <c r="H508" s="5" t="n"/>
    </row>
    <row r="509">
      <c r="A509" t="n">
        <v>506</v>
      </c>
      <c r="B509" s="8" t="n"/>
      <c r="C509" s="5" t="n"/>
      <c r="D509" s="5" t="n"/>
      <c r="E509" s="5" t="n"/>
      <c r="F509" s="5" t="n"/>
      <c r="G509" s="6" t="n"/>
      <c r="H509" s="5" t="n"/>
    </row>
    <row r="510">
      <c r="A510" t="n">
        <v>507</v>
      </c>
      <c r="B510" s="8" t="n"/>
      <c r="C510" s="5" t="n"/>
      <c r="D510" s="5" t="n"/>
      <c r="E510" s="5" t="n"/>
      <c r="F510" s="5" t="n"/>
      <c r="G510" s="6" t="n"/>
      <c r="H510" s="5" t="n"/>
    </row>
    <row r="511">
      <c r="A511" t="n">
        <v>508</v>
      </c>
      <c r="B511" s="8" t="n"/>
      <c r="C511" s="5" t="n"/>
      <c r="D511" s="5" t="n"/>
      <c r="E511" s="5" t="n"/>
      <c r="F511" s="5" t="n"/>
      <c r="G511" s="6" t="n"/>
      <c r="H511" s="5" t="n"/>
    </row>
    <row r="512">
      <c r="A512" t="n">
        <v>509</v>
      </c>
      <c r="B512" s="8" t="n"/>
      <c r="C512" s="5" t="n"/>
      <c r="D512" s="5" t="n"/>
      <c r="E512" s="5" t="n"/>
      <c r="F512" s="5" t="n"/>
      <c r="G512" s="6" t="n"/>
      <c r="H512" s="5" t="n"/>
    </row>
    <row r="513">
      <c r="A513" t="n">
        <v>510</v>
      </c>
      <c r="B513" s="8" t="n"/>
      <c r="C513" s="5" t="n"/>
      <c r="D513" s="5" t="n"/>
      <c r="E513" s="5" t="n"/>
      <c r="F513" s="5" t="n"/>
      <c r="G513" s="6" t="n"/>
      <c r="H513" s="5" t="n"/>
    </row>
    <row r="514">
      <c r="A514" t="n">
        <v>511</v>
      </c>
      <c r="B514" s="8" t="n"/>
      <c r="C514" s="5" t="n"/>
      <c r="D514" s="5" t="n"/>
      <c r="E514" s="5" t="n"/>
      <c r="F514" s="5" t="n"/>
      <c r="G514" s="6" t="n"/>
      <c r="H514" s="5" t="n"/>
    </row>
    <row r="515">
      <c r="A515" t="n">
        <v>512</v>
      </c>
      <c r="B515" s="8" t="n"/>
      <c r="C515" s="5" t="n"/>
      <c r="D515" s="5" t="n"/>
      <c r="E515" s="5" t="n"/>
      <c r="F515" s="5" t="n"/>
      <c r="G515" s="6" t="n"/>
      <c r="H515" s="5" t="n"/>
    </row>
    <row r="516">
      <c r="A516" t="n">
        <v>513</v>
      </c>
      <c r="B516" s="8" t="n"/>
      <c r="C516" s="5" t="n"/>
      <c r="D516" s="5" t="n"/>
      <c r="E516" s="5" t="n"/>
      <c r="F516" s="5" t="n"/>
      <c r="G516" s="6" t="n"/>
      <c r="H516" s="5" t="n"/>
    </row>
    <row r="517">
      <c r="A517" t="n">
        <v>514</v>
      </c>
      <c r="B517" s="8" t="n"/>
      <c r="C517" s="5" t="n"/>
      <c r="D517" s="5" t="n"/>
      <c r="E517" s="5" t="n"/>
      <c r="F517" s="5" t="n"/>
      <c r="G517" s="6" t="n"/>
      <c r="H517" s="5" t="n"/>
    </row>
    <row r="518">
      <c r="A518" t="n">
        <v>515</v>
      </c>
      <c r="B518" s="8" t="n"/>
      <c r="C518" s="5" t="n"/>
      <c r="D518" s="5" t="n"/>
      <c r="E518" s="5" t="n"/>
      <c r="F518" s="5" t="n"/>
      <c r="G518" s="6" t="n"/>
      <c r="H518" s="5" t="n"/>
    </row>
    <row r="519">
      <c r="A519" t="n">
        <v>516</v>
      </c>
      <c r="B519" s="8" t="n"/>
      <c r="C519" s="5" t="n"/>
      <c r="D519" s="5" t="n"/>
      <c r="E519" s="5" t="n"/>
      <c r="F519" s="5" t="n"/>
      <c r="G519" s="6" t="n"/>
      <c r="H519" s="5" t="n"/>
    </row>
    <row r="520">
      <c r="A520" t="n">
        <v>517</v>
      </c>
      <c r="B520" s="8" t="n"/>
      <c r="C520" s="5" t="n"/>
      <c r="D520" s="5" t="n"/>
      <c r="E520" s="5" t="n"/>
      <c r="F520" s="5" t="n"/>
      <c r="G520" s="6" t="n"/>
      <c r="H520" s="5" t="n"/>
    </row>
    <row r="521">
      <c r="A521" t="n">
        <v>518</v>
      </c>
      <c r="B521" s="8" t="n"/>
      <c r="C521" s="5" t="n"/>
      <c r="D521" s="5" t="n"/>
      <c r="E521" s="5" t="n"/>
      <c r="F521" s="5" t="n"/>
      <c r="G521" s="6" t="n"/>
      <c r="H521" s="5" t="n"/>
    </row>
    <row r="522">
      <c r="A522" t="n">
        <v>519</v>
      </c>
      <c r="B522" s="8" t="n"/>
      <c r="C522" s="5" t="n"/>
      <c r="D522" s="5" t="n"/>
      <c r="E522" s="5" t="n"/>
      <c r="F522" s="5" t="n"/>
      <c r="G522" s="6" t="n"/>
      <c r="H522" s="5" t="n"/>
    </row>
    <row r="523">
      <c r="A523" t="n">
        <v>520</v>
      </c>
      <c r="B523" s="8" t="n"/>
      <c r="C523" s="5" t="n"/>
      <c r="D523" s="5" t="n"/>
      <c r="E523" s="5" t="n"/>
      <c r="F523" s="5" t="n"/>
      <c r="G523" s="6" t="n"/>
      <c r="H523" s="5" t="n"/>
    </row>
    <row r="524">
      <c r="A524" t="n">
        <v>521</v>
      </c>
      <c r="B524" s="8" t="n"/>
      <c r="C524" s="5" t="n"/>
      <c r="D524" s="5" t="n"/>
      <c r="E524" s="5" t="n"/>
      <c r="F524" s="5" t="n"/>
      <c r="G524" s="6" t="n"/>
      <c r="H524" s="5" t="n"/>
    </row>
    <row r="525">
      <c r="A525" t="n">
        <v>522</v>
      </c>
      <c r="B525" s="8" t="n"/>
      <c r="C525" s="5" t="n"/>
      <c r="D525" s="5" t="n"/>
      <c r="E525" s="5" t="n"/>
      <c r="F525" s="5" t="n"/>
      <c r="G525" s="6" t="n"/>
      <c r="H525" s="5" t="n"/>
    </row>
    <row r="526">
      <c r="A526" t="n">
        <v>523</v>
      </c>
      <c r="B526" s="8" t="n"/>
      <c r="C526" s="5" t="n"/>
      <c r="D526" s="5" t="n"/>
      <c r="E526" s="5" t="n"/>
      <c r="F526" s="5" t="n"/>
      <c r="G526" s="6" t="n"/>
      <c r="H526" s="5" t="n"/>
    </row>
    <row r="527">
      <c r="A527" t="n">
        <v>524</v>
      </c>
      <c r="B527" s="8" t="n"/>
      <c r="C527" s="5" t="n"/>
      <c r="D527" s="5" t="n"/>
      <c r="E527" s="5" t="n"/>
      <c r="F527" s="5" t="n"/>
      <c r="G527" s="6" t="n"/>
      <c r="H527" s="5" t="n"/>
    </row>
    <row r="528">
      <c r="A528" t="n">
        <v>525</v>
      </c>
      <c r="B528" s="8" t="n"/>
      <c r="C528" s="5" t="n"/>
      <c r="D528" s="5" t="n"/>
      <c r="E528" s="5" t="n"/>
      <c r="F528" s="5" t="n"/>
      <c r="G528" s="6" t="n"/>
      <c r="H528" s="5" t="n"/>
    </row>
    <row r="529">
      <c r="A529" t="n">
        <v>526</v>
      </c>
      <c r="B529" s="8" t="n"/>
      <c r="C529" s="5" t="n"/>
      <c r="D529" s="5" t="n"/>
      <c r="E529" s="5" t="n"/>
      <c r="F529" s="5" t="n"/>
      <c r="G529" s="6" t="n"/>
      <c r="H529" s="5" t="n"/>
    </row>
    <row r="530">
      <c r="A530" t="n">
        <v>527</v>
      </c>
      <c r="B530" s="8" t="n"/>
      <c r="C530" s="5" t="n"/>
      <c r="D530" s="5" t="n"/>
      <c r="E530" s="5" t="n"/>
      <c r="F530" s="5" t="n"/>
      <c r="G530" s="6" t="n"/>
      <c r="H530" s="5" t="n"/>
    </row>
    <row r="531">
      <c r="A531" t="n">
        <v>528</v>
      </c>
      <c r="B531" s="8" t="n"/>
      <c r="C531" s="5" t="n"/>
      <c r="D531" s="5" t="n"/>
      <c r="E531" s="5" t="n"/>
      <c r="F531" s="5" t="n"/>
      <c r="G531" s="6" t="n"/>
      <c r="H531" s="5" t="n"/>
    </row>
    <row r="532">
      <c r="A532" t="n">
        <v>529</v>
      </c>
      <c r="B532" s="8" t="n"/>
      <c r="C532" s="5" t="n"/>
      <c r="D532" s="5" t="n"/>
      <c r="E532" s="5" t="n"/>
      <c r="F532" s="5" t="n"/>
      <c r="G532" s="6" t="n"/>
      <c r="H532" s="5" t="n"/>
    </row>
    <row r="533">
      <c r="A533" t="n">
        <v>530</v>
      </c>
      <c r="B533" s="8" t="n"/>
      <c r="C533" s="5" t="n"/>
      <c r="D533" s="5" t="n"/>
      <c r="E533" s="5" t="n"/>
      <c r="F533" s="5" t="n"/>
      <c r="G533" s="6" t="n"/>
      <c r="H533" s="5" t="n"/>
    </row>
    <row r="534">
      <c r="A534" t="n">
        <v>531</v>
      </c>
      <c r="B534" s="8" t="n"/>
      <c r="C534" s="5" t="n"/>
      <c r="D534" s="5" t="n"/>
      <c r="E534" s="5" t="n"/>
      <c r="F534" s="5" t="n"/>
      <c r="G534" s="6" t="n"/>
      <c r="H534" s="5" t="n"/>
    </row>
    <row r="535">
      <c r="A535" t="n">
        <v>532</v>
      </c>
      <c r="B535" s="8" t="n"/>
      <c r="C535" s="5" t="n"/>
      <c r="D535" s="5" t="n"/>
      <c r="E535" s="5" t="n"/>
      <c r="F535" s="5" t="n"/>
      <c r="G535" s="6" t="n"/>
      <c r="H535" s="5" t="n"/>
    </row>
    <row r="536">
      <c r="A536" t="n">
        <v>533</v>
      </c>
      <c r="B536" s="8" t="n"/>
      <c r="C536" s="5" t="n"/>
      <c r="D536" s="5" t="n"/>
      <c r="E536" s="5" t="n"/>
      <c r="F536" s="5" t="n"/>
      <c r="G536" s="6" t="n"/>
      <c r="H536" s="5" t="n"/>
    </row>
    <row r="537">
      <c r="A537" t="n">
        <v>534</v>
      </c>
      <c r="B537" s="8" t="n"/>
      <c r="C537" s="5" t="n"/>
      <c r="D537" s="5" t="n"/>
      <c r="E537" s="5" t="n"/>
      <c r="F537" s="5" t="n"/>
      <c r="G537" s="6" t="n"/>
      <c r="H537" s="5" t="n"/>
    </row>
    <row r="538">
      <c r="A538" t="n">
        <v>535</v>
      </c>
      <c r="B538" s="8" t="n"/>
      <c r="C538" s="5" t="n"/>
      <c r="D538" s="5" t="n"/>
      <c r="E538" s="5" t="n"/>
      <c r="F538" s="5" t="n"/>
      <c r="G538" s="6" t="n"/>
      <c r="H538" s="5" t="n"/>
    </row>
    <row r="539">
      <c r="A539" t="n">
        <v>536</v>
      </c>
      <c r="B539" s="8" t="n"/>
      <c r="C539" s="5" t="n"/>
      <c r="D539" s="5" t="n"/>
      <c r="E539" s="5" t="n"/>
      <c r="F539" s="5" t="n"/>
      <c r="G539" s="6" t="n"/>
      <c r="H539" s="5" t="n"/>
    </row>
    <row r="540">
      <c r="A540" t="n">
        <v>537</v>
      </c>
      <c r="B540" s="8" t="n"/>
      <c r="C540" s="5" t="n"/>
      <c r="D540" s="5" t="n"/>
      <c r="E540" s="5" t="n"/>
      <c r="F540" s="5" t="n"/>
      <c r="G540" s="6" t="n"/>
      <c r="H540" s="5" t="n"/>
    </row>
    <row r="541">
      <c r="A541" t="n">
        <v>538</v>
      </c>
      <c r="B541" s="8" t="n"/>
      <c r="C541" s="5" t="n"/>
      <c r="D541" s="5" t="n"/>
      <c r="E541" s="5" t="n"/>
      <c r="F541" s="5" t="n"/>
      <c r="G541" s="6" t="n"/>
      <c r="H541" s="5" t="n"/>
    </row>
    <row r="542">
      <c r="A542" t="n">
        <v>539</v>
      </c>
      <c r="B542" s="8" t="n"/>
      <c r="C542" s="5" t="n"/>
      <c r="D542" s="5" t="n"/>
      <c r="E542" s="5" t="n"/>
      <c r="F542" s="5" t="n"/>
      <c r="G542" s="6" t="n"/>
      <c r="H542" s="5" t="n"/>
    </row>
    <row r="543">
      <c r="A543" t="n">
        <v>540</v>
      </c>
      <c r="B543" s="8" t="n"/>
      <c r="C543" s="5" t="n"/>
      <c r="D543" s="5" t="n"/>
      <c r="E543" s="5" t="n"/>
      <c r="F543" s="5" t="n"/>
      <c r="G543" s="6" t="n"/>
      <c r="H543" s="5" t="n"/>
    </row>
    <row r="544">
      <c r="A544" t="n">
        <v>541</v>
      </c>
      <c r="B544" s="8" t="n"/>
      <c r="C544" s="5" t="n"/>
      <c r="D544" s="5" t="n"/>
      <c r="E544" s="5" t="n"/>
      <c r="F544" s="5" t="n"/>
      <c r="G544" s="6" t="n"/>
      <c r="H544" s="5" t="n"/>
    </row>
    <row r="545">
      <c r="A545" t="n">
        <v>542</v>
      </c>
      <c r="B545" s="8" t="n"/>
      <c r="C545" s="5" t="n"/>
      <c r="D545" s="5" t="n"/>
      <c r="E545" s="5" t="n"/>
      <c r="F545" s="5" t="n"/>
      <c r="G545" s="6" t="n"/>
      <c r="H545" s="5" t="n"/>
    </row>
    <row r="546">
      <c r="A546" t="n">
        <v>543</v>
      </c>
      <c r="B546" s="8" t="n"/>
      <c r="C546" s="5" t="n"/>
      <c r="D546" s="5" t="n"/>
      <c r="E546" s="5" t="n"/>
      <c r="F546" s="5" t="n"/>
      <c r="G546" s="6" t="n"/>
      <c r="H546" s="5" t="n"/>
    </row>
    <row r="547">
      <c r="A547" t="n">
        <v>544</v>
      </c>
      <c r="B547" s="8" t="n"/>
      <c r="C547" s="5" t="n"/>
      <c r="D547" s="5" t="n"/>
      <c r="E547" s="5" t="n"/>
      <c r="F547" s="5" t="n"/>
      <c r="G547" s="6" t="n"/>
      <c r="H547" s="5" t="n"/>
    </row>
    <row r="548">
      <c r="A548" t="n">
        <v>545</v>
      </c>
      <c r="B548" s="8" t="n"/>
      <c r="C548" s="5" t="n"/>
      <c r="D548" s="5" t="n"/>
      <c r="E548" s="5" t="n"/>
      <c r="F548" s="5" t="n"/>
      <c r="G548" s="6" t="n"/>
      <c r="H548" s="5" t="n"/>
    </row>
    <row r="549">
      <c r="A549" t="n">
        <v>546</v>
      </c>
      <c r="B549" s="8" t="n"/>
      <c r="C549" s="5" t="n"/>
      <c r="D549" s="5" t="n"/>
      <c r="E549" s="5" t="n"/>
      <c r="F549" s="5" t="n"/>
      <c r="G549" s="6" t="n"/>
      <c r="H549" s="5" t="n"/>
    </row>
    <row r="550">
      <c r="A550" t="n">
        <v>547</v>
      </c>
      <c r="B550" s="8" t="n"/>
      <c r="C550" s="5" t="n"/>
      <c r="D550" s="5" t="n"/>
      <c r="E550" s="5" t="n"/>
      <c r="F550" s="5" t="n"/>
      <c r="G550" s="6" t="n"/>
      <c r="H550" s="5" t="n"/>
    </row>
    <row r="551">
      <c r="A551" t="n">
        <v>548</v>
      </c>
      <c r="B551" s="8" t="n"/>
      <c r="C551" s="5" t="n"/>
      <c r="D551" s="5" t="n"/>
      <c r="E551" s="5" t="n"/>
      <c r="F551" s="5" t="n"/>
      <c r="G551" s="6" t="n"/>
      <c r="H551" s="5" t="n"/>
    </row>
    <row r="552">
      <c r="A552" t="n">
        <v>549</v>
      </c>
      <c r="B552" s="8" t="n"/>
      <c r="C552" s="5" t="n"/>
      <c r="D552" s="5" t="n"/>
      <c r="E552" s="5" t="n"/>
      <c r="F552" s="5" t="n"/>
      <c r="G552" s="6" t="n"/>
      <c r="H552" s="5" t="n"/>
    </row>
    <row r="553">
      <c r="A553" t="n">
        <v>550</v>
      </c>
      <c r="B553" s="8" t="n"/>
      <c r="C553" s="5" t="n"/>
      <c r="D553" s="5" t="n"/>
      <c r="E553" s="5" t="n"/>
      <c r="F553" s="5" t="n"/>
      <c r="G553" s="6" t="n"/>
      <c r="H553" s="5" t="n"/>
    </row>
    <row r="554">
      <c r="A554" t="n">
        <v>551</v>
      </c>
      <c r="B554" s="8" t="n"/>
      <c r="C554" s="5" t="n"/>
      <c r="D554" s="5" t="n"/>
      <c r="E554" s="5" t="n"/>
      <c r="F554" s="5" t="n"/>
      <c r="G554" s="6" t="n"/>
      <c r="H554" s="5" t="n"/>
    </row>
    <row r="555">
      <c r="A555" t="n">
        <v>552</v>
      </c>
      <c r="B555" s="8" t="n"/>
      <c r="C555" s="5" t="n"/>
      <c r="D555" s="5" t="n"/>
      <c r="E555" s="5" t="n"/>
      <c r="F555" s="5" t="n"/>
      <c r="G555" s="6" t="n"/>
      <c r="H555" s="5" t="n"/>
    </row>
    <row r="556">
      <c r="A556" t="n">
        <v>553</v>
      </c>
      <c r="B556" s="8" t="n"/>
      <c r="C556" s="5" t="n"/>
      <c r="D556" s="5" t="n"/>
      <c r="E556" s="5" t="n"/>
      <c r="F556" s="5" t="n"/>
      <c r="G556" s="6" t="n"/>
      <c r="H556" s="5" t="n"/>
    </row>
    <row r="557">
      <c r="A557" t="n">
        <v>554</v>
      </c>
      <c r="B557" s="8" t="n"/>
      <c r="C557" s="5" t="n"/>
      <c r="D557" s="5" t="n"/>
      <c r="E557" s="5" t="n"/>
      <c r="F557" s="5" t="n"/>
      <c r="G557" s="6" t="n"/>
      <c r="H557" s="5" t="n"/>
    </row>
    <row r="558">
      <c r="A558" t="n">
        <v>555</v>
      </c>
      <c r="B558" s="8" t="n"/>
      <c r="C558" s="5" t="n"/>
      <c r="D558" s="5" t="n"/>
      <c r="E558" s="5" t="n"/>
      <c r="F558" s="5" t="n"/>
      <c r="G558" s="6" t="n"/>
      <c r="H558" s="5" t="n"/>
    </row>
    <row r="559">
      <c r="A559" t="n">
        <v>556</v>
      </c>
      <c r="B559" s="8" t="n"/>
      <c r="C559" s="5" t="n"/>
      <c r="D559" s="5" t="n"/>
      <c r="E559" s="5" t="n"/>
      <c r="F559" s="5" t="n"/>
      <c r="G559" s="6" t="n"/>
      <c r="H559" s="5" t="n"/>
    </row>
    <row r="560">
      <c r="A560" t="n">
        <v>557</v>
      </c>
      <c r="B560" s="8" t="n"/>
      <c r="C560" s="5" t="n"/>
      <c r="D560" s="5" t="n"/>
      <c r="E560" s="5" t="n"/>
      <c r="F560" s="5" t="n"/>
      <c r="G560" s="6" t="n"/>
      <c r="H560" s="5" t="n"/>
    </row>
    <row r="561">
      <c r="A561" t="n">
        <v>558</v>
      </c>
      <c r="B561" s="8" t="n"/>
      <c r="C561" s="5" t="n"/>
      <c r="D561" s="5" t="n"/>
      <c r="E561" s="5" t="n"/>
      <c r="F561" s="5" t="n"/>
      <c r="G561" s="6" t="n"/>
      <c r="H561" s="5" t="n"/>
    </row>
    <row r="562">
      <c r="A562" t="n">
        <v>559</v>
      </c>
      <c r="B562" s="8" t="n"/>
      <c r="C562" s="5" t="n"/>
      <c r="D562" s="5" t="n"/>
      <c r="E562" s="5" t="n"/>
      <c r="F562" s="5" t="n"/>
      <c r="G562" s="6" t="n"/>
      <c r="H562" s="5" t="n"/>
    </row>
    <row r="563">
      <c r="A563" t="n">
        <v>560</v>
      </c>
      <c r="B563" s="8" t="n"/>
      <c r="C563" s="5" t="n"/>
      <c r="D563" s="5" t="n"/>
      <c r="E563" s="5" t="n"/>
      <c r="F563" s="5" t="n"/>
      <c r="G563" s="6" t="n"/>
      <c r="H563" s="5" t="n"/>
    </row>
    <row r="564">
      <c r="A564" t="n">
        <v>561</v>
      </c>
      <c r="B564" s="8" t="n"/>
      <c r="C564" s="5" t="n"/>
      <c r="D564" s="5" t="n"/>
      <c r="E564" s="5" t="n"/>
      <c r="F564" s="5" t="n"/>
      <c r="G564" s="6" t="n"/>
      <c r="H564" s="5" t="n"/>
    </row>
    <row r="565">
      <c r="A565" t="n">
        <v>562</v>
      </c>
      <c r="B565" s="8" t="n"/>
      <c r="C565" s="5" t="n"/>
      <c r="D565" s="5" t="n"/>
      <c r="E565" s="5" t="n"/>
      <c r="F565" s="5" t="n"/>
      <c r="G565" s="6" t="n"/>
      <c r="H565" s="5" t="n"/>
    </row>
    <row r="566">
      <c r="A566" t="n">
        <v>563</v>
      </c>
      <c r="B566" s="8" t="n"/>
      <c r="C566" s="5" t="n"/>
      <c r="D566" s="5" t="n"/>
      <c r="E566" s="5" t="n"/>
      <c r="F566" s="5" t="n"/>
      <c r="G566" s="6" t="n"/>
      <c r="H566" s="5" t="n"/>
    </row>
    <row r="567">
      <c r="A567" t="n">
        <v>564</v>
      </c>
      <c r="B567" s="8" t="n"/>
      <c r="C567" s="5" t="n"/>
      <c r="D567" s="5" t="n"/>
      <c r="E567" s="5" t="n"/>
      <c r="F567" s="5" t="n"/>
      <c r="G567" s="6" t="n"/>
      <c r="H567" s="5" t="n"/>
    </row>
    <row r="568">
      <c r="A568" t="n">
        <v>565</v>
      </c>
      <c r="B568" s="8" t="n"/>
      <c r="C568" s="5" t="n"/>
      <c r="D568" s="5" t="n"/>
      <c r="E568" s="5" t="n"/>
      <c r="F568" s="5" t="n"/>
      <c r="G568" s="6" t="n"/>
      <c r="H568" s="5" t="n"/>
    </row>
    <row r="569">
      <c r="A569" t="n">
        <v>566</v>
      </c>
      <c r="B569" s="8" t="n"/>
      <c r="C569" s="5" t="n"/>
      <c r="D569" s="5" t="n"/>
      <c r="E569" s="5" t="n"/>
      <c r="F569" s="5" t="n"/>
      <c r="G569" s="6" t="n"/>
      <c r="H569" s="5" t="n"/>
    </row>
    <row r="570">
      <c r="A570" t="n">
        <v>567</v>
      </c>
      <c r="B570" s="8" t="n"/>
      <c r="C570" s="5" t="n"/>
      <c r="D570" s="5" t="n"/>
      <c r="E570" s="5" t="n"/>
      <c r="F570" s="5" t="n"/>
      <c r="G570" s="6" t="n"/>
      <c r="H570" s="5" t="n"/>
    </row>
    <row r="571">
      <c r="A571" t="n">
        <v>568</v>
      </c>
      <c r="B571" s="8" t="n"/>
      <c r="C571" s="5" t="n"/>
      <c r="D571" s="5" t="n"/>
      <c r="E571" s="5" t="n"/>
      <c r="F571" s="5" t="n"/>
      <c r="G571" s="6" t="n"/>
      <c r="H571" s="5" t="n"/>
    </row>
    <row r="572">
      <c r="A572" t="n">
        <v>569</v>
      </c>
      <c r="B572" s="8" t="n"/>
      <c r="C572" s="5" t="n"/>
      <c r="D572" s="5" t="n"/>
      <c r="E572" s="5" t="n"/>
      <c r="F572" s="5" t="n"/>
      <c r="G572" s="6" t="n"/>
      <c r="H572" s="5" t="n"/>
    </row>
    <row r="573">
      <c r="A573" t="n">
        <v>570</v>
      </c>
      <c r="B573" s="8" t="n"/>
      <c r="C573" s="5" t="n"/>
      <c r="D573" s="5" t="n"/>
      <c r="E573" s="5" t="n"/>
      <c r="F573" s="5" t="n"/>
      <c r="G573" s="6" t="n"/>
      <c r="H573" s="5" t="n"/>
    </row>
    <row r="574">
      <c r="A574" t="n">
        <v>571</v>
      </c>
      <c r="B574" s="8" t="n"/>
      <c r="C574" s="5" t="n"/>
      <c r="D574" s="5" t="n"/>
      <c r="E574" s="5" t="n"/>
      <c r="F574" s="5" t="n"/>
      <c r="G574" s="6" t="n"/>
      <c r="H574" s="5" t="n"/>
    </row>
    <row r="575">
      <c r="A575" t="n">
        <v>572</v>
      </c>
      <c r="B575" s="8" t="n"/>
      <c r="C575" s="5" t="n"/>
      <c r="D575" s="5" t="n"/>
      <c r="E575" s="5" t="n"/>
      <c r="F575" s="5" t="n"/>
      <c r="G575" s="6" t="n"/>
      <c r="H575" s="5" t="n"/>
    </row>
    <row r="576">
      <c r="A576" t="n">
        <v>573</v>
      </c>
      <c r="B576" s="8" t="n"/>
      <c r="C576" s="5" t="n"/>
      <c r="D576" s="5" t="n"/>
      <c r="E576" s="5" t="n"/>
      <c r="F576" s="5" t="n"/>
      <c r="G576" s="6" t="n"/>
      <c r="H576" s="5" t="n"/>
    </row>
    <row r="577">
      <c r="A577" t="n">
        <v>574</v>
      </c>
      <c r="B577" s="8" t="n"/>
      <c r="C577" s="5" t="n"/>
      <c r="D577" s="5" t="n"/>
      <c r="E577" s="5" t="n"/>
      <c r="F577" s="5" t="n"/>
      <c r="G577" s="6" t="n"/>
      <c r="H577" s="5" t="n"/>
    </row>
    <row r="578">
      <c r="A578" t="n">
        <v>575</v>
      </c>
      <c r="B578" s="8" t="n"/>
      <c r="C578" s="5" t="n"/>
      <c r="D578" s="5" t="n"/>
      <c r="E578" s="5" t="n"/>
      <c r="F578" s="5" t="n"/>
      <c r="G578" s="6" t="n"/>
      <c r="H578" s="5" t="n"/>
    </row>
    <row r="579">
      <c r="A579" t="n">
        <v>576</v>
      </c>
      <c r="B579" s="8" t="n"/>
      <c r="C579" s="5" t="n"/>
      <c r="D579" s="5" t="n"/>
      <c r="E579" s="5" t="n"/>
      <c r="F579" s="5" t="n"/>
      <c r="G579" s="6" t="n"/>
      <c r="H579" s="5" t="n"/>
    </row>
    <row r="580">
      <c r="A580" t="n">
        <v>577</v>
      </c>
      <c r="B580" s="8" t="n"/>
      <c r="C580" s="5" t="n"/>
      <c r="D580" s="5" t="n"/>
      <c r="E580" s="5" t="n"/>
      <c r="F580" s="5" t="n"/>
      <c r="G580" s="6" t="n"/>
      <c r="H580" s="5" t="n"/>
    </row>
    <row r="581">
      <c r="A581" t="n">
        <v>578</v>
      </c>
      <c r="B581" s="8" t="n"/>
      <c r="C581" s="5" t="n"/>
      <c r="D581" s="5" t="n"/>
      <c r="E581" s="5" t="n"/>
      <c r="F581" s="5" t="n"/>
      <c r="G581" s="6" t="n"/>
      <c r="H581" s="5" t="n"/>
    </row>
    <row r="582">
      <c r="A582" t="n">
        <v>579</v>
      </c>
      <c r="B582" s="8" t="n"/>
      <c r="C582" s="5" t="n"/>
      <c r="D582" s="5" t="n"/>
      <c r="E582" s="5" t="n"/>
      <c r="F582" s="5" t="n"/>
      <c r="G582" s="6" t="n"/>
      <c r="H582" s="5" t="n"/>
    </row>
    <row r="583">
      <c r="A583" t="n">
        <v>580</v>
      </c>
      <c r="B583" s="8" t="n"/>
      <c r="C583" s="5" t="n"/>
      <c r="D583" s="5" t="n"/>
      <c r="E583" s="5" t="n"/>
      <c r="F583" s="5" t="n"/>
      <c r="G583" s="6" t="n"/>
      <c r="H583" s="5" t="n"/>
    </row>
    <row r="584">
      <c r="A584" t="n">
        <v>581</v>
      </c>
      <c r="B584" s="8" t="n"/>
      <c r="C584" s="5" t="n"/>
      <c r="D584" s="5" t="n"/>
      <c r="E584" s="5" t="n"/>
      <c r="F584" s="5" t="n"/>
      <c r="G584" s="6" t="n"/>
      <c r="H584" s="5" t="n"/>
    </row>
    <row r="585">
      <c r="A585" t="n">
        <v>582</v>
      </c>
      <c r="B585" s="8" t="n"/>
      <c r="C585" s="5" t="n"/>
      <c r="D585" s="5" t="n"/>
      <c r="E585" s="5" t="n"/>
      <c r="F585" s="5" t="n"/>
      <c r="G585" s="6" t="n"/>
      <c r="H585" s="5" t="n"/>
    </row>
    <row r="586">
      <c r="A586" t="n">
        <v>583</v>
      </c>
      <c r="B586" s="8" t="n"/>
      <c r="C586" s="5" t="n"/>
      <c r="D586" s="5" t="n"/>
      <c r="E586" s="5" t="n"/>
      <c r="F586" s="5" t="n"/>
      <c r="G586" s="6" t="n"/>
      <c r="H586" s="5" t="n"/>
    </row>
    <row r="587">
      <c r="A587" t="n">
        <v>584</v>
      </c>
      <c r="B587" s="8" t="n"/>
      <c r="C587" s="5" t="n"/>
      <c r="D587" s="5" t="n"/>
      <c r="E587" s="5" t="n"/>
      <c r="F587" s="5" t="n"/>
      <c r="G587" s="6" t="n"/>
      <c r="H587" s="5" t="n"/>
    </row>
    <row r="588">
      <c r="A588" t="n">
        <v>585</v>
      </c>
      <c r="B588" s="8" t="n"/>
      <c r="C588" s="5" t="n"/>
      <c r="D588" s="5" t="n"/>
      <c r="E588" s="5" t="n"/>
      <c r="F588" s="5" t="n"/>
      <c r="G588" s="6" t="n"/>
      <c r="H588" s="5" t="n"/>
    </row>
    <row r="589">
      <c r="A589" t="n">
        <v>586</v>
      </c>
      <c r="B589" s="8" t="n"/>
      <c r="C589" s="5" t="n"/>
      <c r="D589" s="5" t="n"/>
      <c r="E589" s="5" t="n"/>
      <c r="F589" s="5" t="n"/>
      <c r="G589" s="6" t="n"/>
      <c r="H589" s="5" t="n"/>
    </row>
    <row r="590">
      <c r="A590" t="n">
        <v>587</v>
      </c>
      <c r="B590" s="8" t="n"/>
      <c r="C590" s="5" t="n"/>
      <c r="D590" s="5" t="n"/>
      <c r="E590" s="5" t="n"/>
      <c r="F590" s="5" t="n"/>
      <c r="G590" s="6" t="n"/>
      <c r="H590" s="5" t="n"/>
    </row>
    <row r="591">
      <c r="A591" t="n">
        <v>588</v>
      </c>
      <c r="B591" s="8" t="n"/>
      <c r="C591" s="5" t="n"/>
      <c r="D591" s="5" t="n"/>
      <c r="E591" s="5" t="n"/>
      <c r="F591" s="5" t="n"/>
      <c r="G591" s="6" t="n"/>
      <c r="H591" s="5" t="n"/>
    </row>
    <row r="592">
      <c r="A592" t="n">
        <v>589</v>
      </c>
      <c r="B592" s="8" t="n"/>
      <c r="C592" s="5" t="n"/>
      <c r="D592" s="5" t="n"/>
      <c r="E592" s="5" t="n"/>
      <c r="F592" s="5" t="n"/>
      <c r="G592" s="6" t="n"/>
      <c r="H592" s="5" t="n"/>
    </row>
    <row r="593">
      <c r="A593" t="n">
        <v>590</v>
      </c>
      <c r="B593" s="8" t="n"/>
      <c r="C593" s="5" t="n"/>
      <c r="D593" s="5" t="n"/>
      <c r="E593" s="5" t="n"/>
      <c r="F593" s="5" t="n"/>
      <c r="G593" s="6" t="n"/>
      <c r="H593" s="5" t="n"/>
    </row>
    <row r="594">
      <c r="A594" t="n">
        <v>591</v>
      </c>
      <c r="B594" s="8" t="n"/>
      <c r="C594" s="5" t="n"/>
      <c r="D594" s="5" t="n"/>
      <c r="E594" s="5" t="n"/>
      <c r="F594" s="5" t="n"/>
      <c r="G594" s="6" t="n"/>
      <c r="H594" s="5" t="n"/>
    </row>
    <row r="595">
      <c r="A595" t="n">
        <v>592</v>
      </c>
      <c r="B595" s="8" t="n"/>
      <c r="C595" s="5" t="n"/>
      <c r="D595" s="5" t="n"/>
      <c r="E595" s="5" t="n"/>
      <c r="F595" s="5" t="n"/>
      <c r="G595" s="6" t="n"/>
      <c r="H595" s="5" t="n"/>
    </row>
    <row r="596">
      <c r="A596" t="n">
        <v>593</v>
      </c>
      <c r="B596" s="8" t="n"/>
      <c r="C596" s="5" t="n"/>
      <c r="D596" s="5" t="n"/>
      <c r="E596" s="5" t="n"/>
      <c r="F596" s="5" t="n"/>
      <c r="G596" s="6" t="n"/>
      <c r="H596" s="5" t="n"/>
    </row>
    <row r="597">
      <c r="A597" t="n">
        <v>594</v>
      </c>
      <c r="B597" s="8" t="n"/>
      <c r="C597" s="5" t="n"/>
      <c r="D597" s="5" t="n"/>
      <c r="E597" s="5" t="n"/>
      <c r="F597" s="5" t="n"/>
      <c r="G597" s="6" t="n"/>
      <c r="H597" s="5" t="n"/>
    </row>
    <row r="598">
      <c r="A598" t="n">
        <v>595</v>
      </c>
      <c r="B598" s="8" t="n"/>
      <c r="C598" s="5" t="n"/>
      <c r="D598" s="5" t="n"/>
      <c r="E598" s="5" t="n"/>
      <c r="F598" s="5" t="n"/>
      <c r="G598" s="6" t="n"/>
      <c r="H598" s="5" t="n"/>
    </row>
    <row r="599">
      <c r="A599" t="n">
        <v>596</v>
      </c>
      <c r="B599" s="8" t="n"/>
      <c r="C599" s="5" t="n"/>
      <c r="D599" s="5" t="n"/>
      <c r="E599" s="5" t="n"/>
      <c r="F599" s="5" t="n"/>
      <c r="G599" s="6" t="n"/>
      <c r="H599" s="5" t="n"/>
    </row>
    <row r="600">
      <c r="A600" t="n">
        <v>597</v>
      </c>
      <c r="B600" s="8" t="n"/>
      <c r="C600" s="5" t="n"/>
      <c r="D600" s="5" t="n"/>
      <c r="E600" s="5" t="n"/>
      <c r="F600" s="5" t="n"/>
      <c r="G600" s="6" t="n"/>
      <c r="H600" s="5" t="n"/>
    </row>
    <row r="601">
      <c r="A601" t="n">
        <v>598</v>
      </c>
      <c r="B601" s="8" t="n"/>
      <c r="C601" s="5" t="n"/>
      <c r="D601" s="5" t="n"/>
      <c r="E601" s="5" t="n"/>
      <c r="F601" s="5" t="n"/>
      <c r="G601" s="6" t="n"/>
      <c r="H601" s="5" t="n"/>
    </row>
    <row r="602">
      <c r="A602" t="n">
        <v>599</v>
      </c>
      <c r="B602" s="8" t="n"/>
      <c r="C602" s="5" t="n"/>
      <c r="D602" s="5" t="n"/>
      <c r="E602" s="5" t="n"/>
      <c r="F602" s="5" t="n"/>
      <c r="G602" s="6" t="n"/>
      <c r="H602" s="5" t="n"/>
    </row>
    <row r="603">
      <c r="A603" t="n">
        <v>600</v>
      </c>
      <c r="B603" s="8" t="n"/>
      <c r="C603" s="5" t="n"/>
      <c r="D603" s="5" t="n"/>
      <c r="E603" s="5" t="n"/>
      <c r="F603" s="5" t="n"/>
      <c r="G603" s="6" t="n"/>
      <c r="H603" s="5" t="n"/>
    </row>
    <row r="604">
      <c r="A604" t="n">
        <v>601</v>
      </c>
      <c r="B604" s="8" t="n"/>
      <c r="C604" s="5" t="n"/>
      <c r="D604" s="5" t="n"/>
      <c r="E604" s="5" t="n"/>
      <c r="F604" s="5" t="n"/>
      <c r="G604" s="6" t="n"/>
      <c r="H604" s="5" t="n"/>
    </row>
    <row r="605">
      <c r="A605" t="n">
        <v>602</v>
      </c>
      <c r="B605" s="8" t="n"/>
      <c r="C605" s="5" t="n"/>
      <c r="D605" s="5" t="n"/>
      <c r="E605" s="5" t="n"/>
      <c r="F605" s="5" t="n"/>
      <c r="G605" s="6" t="n"/>
      <c r="H605" s="5" t="n"/>
    </row>
    <row r="606">
      <c r="A606" t="n">
        <v>603</v>
      </c>
      <c r="B606" s="8" t="n"/>
      <c r="C606" s="5" t="n"/>
      <c r="D606" s="5" t="n"/>
      <c r="E606" s="5" t="n"/>
      <c r="F606" s="5" t="n"/>
      <c r="G606" s="6" t="n"/>
      <c r="H606" s="5" t="n"/>
    </row>
    <row r="607">
      <c r="A607" t="n">
        <v>604</v>
      </c>
      <c r="B607" s="8" t="n"/>
      <c r="C607" s="5" t="n"/>
      <c r="D607" s="5" t="n"/>
      <c r="E607" s="5" t="n"/>
      <c r="F607" s="5" t="n"/>
      <c r="G607" s="6" t="n"/>
      <c r="H607" s="5" t="n"/>
    </row>
    <row r="608">
      <c r="A608" t="n">
        <v>605</v>
      </c>
      <c r="B608" s="8" t="n"/>
      <c r="C608" s="5" t="n"/>
      <c r="D608" s="5" t="n"/>
      <c r="E608" s="5" t="n"/>
      <c r="F608" s="5" t="n"/>
      <c r="G608" s="6" t="n"/>
      <c r="H608" s="5" t="n"/>
    </row>
    <row r="609">
      <c r="A609" t="n">
        <v>606</v>
      </c>
      <c r="B609" s="8" t="n"/>
      <c r="C609" s="5" t="n"/>
      <c r="D609" s="5" t="n"/>
      <c r="E609" s="5" t="n"/>
      <c r="F609" s="5" t="n"/>
      <c r="G609" s="6" t="n"/>
      <c r="H609" s="5" t="n"/>
    </row>
    <row r="610">
      <c r="A610" t="n">
        <v>607</v>
      </c>
      <c r="B610" s="8" t="n"/>
      <c r="C610" s="5" t="n"/>
      <c r="D610" s="5" t="n"/>
      <c r="E610" s="5" t="n"/>
      <c r="F610" s="5" t="n"/>
      <c r="G610" s="6" t="n"/>
      <c r="H610" s="5" t="n"/>
    </row>
    <row r="611">
      <c r="A611" t="n">
        <v>608</v>
      </c>
      <c r="B611" s="8" t="n"/>
      <c r="C611" s="5" t="n"/>
      <c r="D611" s="5" t="n"/>
      <c r="E611" s="5" t="n"/>
      <c r="F611" s="5" t="n"/>
      <c r="G611" s="6" t="n"/>
      <c r="H611" s="5" t="n"/>
    </row>
    <row r="612">
      <c r="A612" t="n">
        <v>609</v>
      </c>
      <c r="B612" s="8" t="n"/>
      <c r="C612" s="5" t="n"/>
      <c r="D612" s="5" t="n"/>
      <c r="E612" s="5" t="n"/>
      <c r="F612" s="5" t="n"/>
      <c r="G612" s="6" t="n"/>
      <c r="H612" s="5" t="n"/>
    </row>
    <row r="613">
      <c r="A613" t="n">
        <v>610</v>
      </c>
      <c r="B613" s="8" t="n"/>
      <c r="C613" s="5" t="n"/>
      <c r="D613" s="5" t="n"/>
      <c r="E613" s="5" t="n"/>
      <c r="F613" s="5" t="n"/>
      <c r="G613" s="6" t="n"/>
      <c r="H613" s="5" t="n"/>
    </row>
    <row r="614">
      <c r="A614" t="n">
        <v>611</v>
      </c>
      <c r="B614" s="8" t="n"/>
      <c r="C614" s="5" t="n"/>
      <c r="D614" s="5" t="n"/>
      <c r="E614" s="5" t="n"/>
      <c r="F614" s="5" t="n"/>
      <c r="G614" s="6" t="n"/>
      <c r="H614" s="5" t="n"/>
    </row>
    <row r="615">
      <c r="A615" t="n">
        <v>612</v>
      </c>
      <c r="B615" s="8" t="n"/>
      <c r="C615" s="5" t="n"/>
      <c r="D615" s="5" t="n"/>
      <c r="E615" s="5" t="n"/>
      <c r="F615" s="5" t="n"/>
      <c r="G615" s="6" t="n"/>
      <c r="H615" s="5" t="n"/>
    </row>
    <row r="616">
      <c r="A616" t="n">
        <v>613</v>
      </c>
      <c r="B616" s="8" t="n"/>
      <c r="C616" s="5" t="n"/>
      <c r="D616" s="5" t="n"/>
      <c r="E616" s="5" t="n"/>
      <c r="F616" s="5" t="n"/>
      <c r="G616" s="6" t="n"/>
      <c r="H616" s="5" t="n"/>
    </row>
    <row r="617">
      <c r="A617" t="n">
        <v>614</v>
      </c>
      <c r="B617" s="8" t="n"/>
      <c r="C617" s="5" t="n"/>
      <c r="D617" s="5" t="n"/>
      <c r="E617" s="5" t="n"/>
      <c r="F617" s="5" t="n"/>
      <c r="G617" s="6" t="n"/>
      <c r="H617" s="5" t="n"/>
    </row>
    <row r="618">
      <c r="A618" t="n">
        <v>615</v>
      </c>
      <c r="B618" s="8" t="n"/>
      <c r="C618" s="5" t="n"/>
      <c r="D618" s="5" t="n"/>
      <c r="E618" s="5" t="n"/>
      <c r="F618" s="5" t="n"/>
      <c r="G618" s="6" t="n"/>
      <c r="H618" s="5" t="n"/>
    </row>
    <row r="619">
      <c r="A619" t="n">
        <v>616</v>
      </c>
      <c r="B619" s="8" t="n"/>
      <c r="C619" s="5" t="n"/>
      <c r="D619" s="5" t="n"/>
      <c r="E619" s="5" t="n"/>
      <c r="F619" s="5" t="n"/>
      <c r="G619" s="6" t="n"/>
      <c r="H619" s="5" t="n"/>
    </row>
    <row r="620">
      <c r="A620" t="n">
        <v>617</v>
      </c>
      <c r="B620" s="8" t="n"/>
      <c r="C620" s="5" t="n"/>
      <c r="D620" s="5" t="n"/>
      <c r="E620" s="5" t="n"/>
      <c r="F620" s="5" t="n"/>
      <c r="G620" s="6" t="n"/>
      <c r="H620" s="5" t="n"/>
    </row>
    <row r="621">
      <c r="A621" t="n">
        <v>618</v>
      </c>
      <c r="B621" s="8" t="n"/>
      <c r="C621" s="5" t="n"/>
      <c r="D621" s="5" t="n"/>
      <c r="E621" s="5" t="n"/>
      <c r="F621" s="5" t="n"/>
      <c r="G621" s="6" t="n"/>
      <c r="H621" s="5" t="n"/>
    </row>
    <row r="622">
      <c r="A622" t="n">
        <v>619</v>
      </c>
      <c r="B622" s="8" t="n"/>
      <c r="C622" s="5" t="n"/>
      <c r="D622" s="5" t="n"/>
      <c r="E622" s="5" t="n"/>
      <c r="F622" s="5" t="n"/>
      <c r="G622" s="6" t="n"/>
      <c r="H622" s="5" t="n"/>
    </row>
    <row r="623">
      <c r="A623" t="n">
        <v>620</v>
      </c>
      <c r="B623" s="8" t="n"/>
      <c r="C623" s="5" t="n"/>
      <c r="D623" s="5" t="n"/>
      <c r="E623" s="5" t="n"/>
      <c r="F623" s="5" t="n"/>
      <c r="G623" s="6" t="n"/>
      <c r="H623" s="5" t="n"/>
    </row>
    <row r="624">
      <c r="A624" t="n">
        <v>621</v>
      </c>
      <c r="B624" s="8" t="n"/>
      <c r="C624" s="5" t="n"/>
      <c r="D624" s="5" t="n"/>
      <c r="E624" s="5" t="n"/>
      <c r="F624" s="5" t="n"/>
      <c r="G624" s="6" t="n"/>
      <c r="H624" s="5" t="n"/>
    </row>
    <row r="625">
      <c r="A625" t="n">
        <v>622</v>
      </c>
      <c r="B625" s="8" t="n"/>
      <c r="C625" s="5" t="n"/>
      <c r="D625" s="5" t="n"/>
      <c r="E625" s="5" t="n"/>
      <c r="F625" s="5" t="n"/>
      <c r="G625" s="6" t="n"/>
      <c r="H625" s="5" t="n"/>
    </row>
    <row r="626">
      <c r="A626" t="n">
        <v>623</v>
      </c>
      <c r="B626" s="8" t="n"/>
      <c r="C626" s="5" t="n"/>
      <c r="D626" s="5" t="n"/>
      <c r="E626" s="5" t="n"/>
      <c r="F626" s="5" t="n"/>
      <c r="G626" s="6" t="n"/>
      <c r="H626" s="5" t="n"/>
    </row>
    <row r="627">
      <c r="A627" t="n">
        <v>624</v>
      </c>
      <c r="B627" s="8" t="n"/>
      <c r="C627" s="5" t="n"/>
      <c r="D627" s="5" t="n"/>
      <c r="E627" s="5" t="n"/>
      <c r="F627" s="5" t="n"/>
      <c r="G627" s="6" t="n"/>
      <c r="H627" s="5" t="n"/>
    </row>
    <row r="628">
      <c r="A628" t="n">
        <v>625</v>
      </c>
      <c r="B628" s="8" t="n"/>
      <c r="C628" s="5" t="n"/>
      <c r="D628" s="5" t="n"/>
      <c r="E628" s="5" t="n"/>
      <c r="F628" s="5" t="n"/>
      <c r="G628" s="6" t="n"/>
      <c r="H628" s="5" t="n"/>
    </row>
    <row r="629">
      <c r="A629" t="n">
        <v>626</v>
      </c>
      <c r="B629" s="8" t="n"/>
      <c r="C629" s="5" t="n"/>
      <c r="D629" s="5" t="n"/>
      <c r="E629" s="5" t="n"/>
      <c r="F629" s="5" t="n"/>
      <c r="G629" s="6" t="n"/>
      <c r="H629" s="5" t="n"/>
    </row>
    <row r="630">
      <c r="A630" t="n">
        <v>627</v>
      </c>
      <c r="B630" s="8" t="n"/>
      <c r="C630" s="5" t="n"/>
      <c r="D630" s="5" t="n"/>
      <c r="E630" s="5" t="n"/>
      <c r="F630" s="5" t="n"/>
      <c r="G630" s="6" t="n"/>
      <c r="H630" s="5" t="n"/>
    </row>
    <row r="631">
      <c r="A631" t="n">
        <v>628</v>
      </c>
      <c r="B631" s="8" t="n"/>
      <c r="C631" s="5" t="n"/>
      <c r="D631" s="5" t="n"/>
      <c r="E631" s="5" t="n"/>
      <c r="F631" s="5" t="n"/>
      <c r="G631" s="6" t="n"/>
      <c r="H631" s="5" t="n"/>
    </row>
    <row r="632">
      <c r="A632" t="n">
        <v>629</v>
      </c>
      <c r="B632" s="8" t="n"/>
      <c r="C632" s="5" t="n"/>
      <c r="D632" s="5" t="n"/>
      <c r="E632" s="5" t="n"/>
      <c r="F632" s="5" t="n"/>
      <c r="G632" s="6" t="n"/>
      <c r="H632" s="5" t="n"/>
    </row>
    <row r="633">
      <c r="A633" t="n">
        <v>630</v>
      </c>
      <c r="B633" s="8" t="n"/>
      <c r="C633" s="5" t="n"/>
      <c r="D633" s="5" t="n"/>
      <c r="E633" s="5" t="n"/>
      <c r="F633" s="5" t="n"/>
      <c r="G633" s="6" t="n"/>
      <c r="H633" s="5" t="n"/>
    </row>
    <row r="634">
      <c r="A634" t="n">
        <v>631</v>
      </c>
      <c r="B634" s="8" t="n"/>
      <c r="C634" s="5" t="n"/>
      <c r="D634" s="5" t="n"/>
      <c r="E634" s="5" t="n"/>
      <c r="F634" s="5" t="n"/>
      <c r="G634" s="6" t="n"/>
      <c r="H634" s="5" t="n"/>
    </row>
    <row r="635">
      <c r="A635" t="n">
        <v>632</v>
      </c>
      <c r="B635" s="8" t="n"/>
      <c r="C635" s="5" t="n"/>
      <c r="D635" s="5" t="n"/>
      <c r="E635" s="5" t="n"/>
      <c r="F635" s="5" t="n"/>
      <c r="G635" s="6" t="n"/>
      <c r="H635" s="5" t="n"/>
    </row>
    <row r="636">
      <c r="A636" t="n">
        <v>633</v>
      </c>
      <c r="B636" s="8" t="n"/>
      <c r="C636" s="5" t="n"/>
      <c r="D636" s="5" t="n"/>
      <c r="E636" s="5" t="n"/>
      <c r="F636" s="5" t="n"/>
      <c r="G636" s="6" t="n"/>
      <c r="H636" s="5" t="n"/>
    </row>
    <row r="637">
      <c r="A637" t="n">
        <v>634</v>
      </c>
      <c r="B637" s="8" t="n"/>
      <c r="C637" s="5" t="n"/>
      <c r="D637" s="5" t="n"/>
      <c r="E637" s="5" t="n"/>
      <c r="F637" s="5" t="n"/>
      <c r="G637" s="6" t="n"/>
      <c r="H637" s="5" t="n"/>
    </row>
    <row r="638">
      <c r="A638" t="n">
        <v>635</v>
      </c>
      <c r="B638" s="8" t="n"/>
      <c r="C638" s="5" t="n"/>
      <c r="D638" s="5" t="n"/>
      <c r="E638" s="5" t="n"/>
      <c r="F638" s="5" t="n"/>
      <c r="G638" s="6" t="n"/>
      <c r="H638" s="5" t="n"/>
    </row>
    <row r="639">
      <c r="A639" t="n">
        <v>636</v>
      </c>
      <c r="B639" s="8" t="n"/>
      <c r="C639" s="5" t="n"/>
      <c r="D639" s="5" t="n"/>
      <c r="E639" s="5" t="n"/>
      <c r="F639" s="5" t="n"/>
      <c r="G639" s="6" t="n"/>
      <c r="H639" s="5" t="n"/>
    </row>
    <row r="640">
      <c r="A640" t="n">
        <v>637</v>
      </c>
      <c r="B640" s="8" t="n"/>
      <c r="C640" s="5" t="n"/>
      <c r="D640" s="5" t="n"/>
      <c r="E640" s="5" t="n"/>
      <c r="F640" s="5" t="n"/>
      <c r="G640" s="6" t="n"/>
      <c r="H640" s="5" t="n"/>
    </row>
    <row r="641">
      <c r="A641" t="n">
        <v>638</v>
      </c>
      <c r="B641" s="8" t="n"/>
      <c r="C641" s="5" t="n"/>
      <c r="D641" s="5" t="n"/>
      <c r="E641" s="5" t="n"/>
      <c r="F641" s="5" t="n"/>
      <c r="G641" s="6" t="n"/>
      <c r="H641" s="5" t="n"/>
    </row>
    <row r="642">
      <c r="A642" t="n">
        <v>639</v>
      </c>
      <c r="B642" s="8" t="n"/>
      <c r="C642" s="5" t="n"/>
      <c r="D642" s="5" t="n"/>
      <c r="E642" s="5" t="n"/>
      <c r="F642" s="5" t="n"/>
      <c r="G642" s="6" t="n"/>
      <c r="H642" s="5" t="n"/>
    </row>
    <row r="643">
      <c r="A643" t="n">
        <v>640</v>
      </c>
      <c r="B643" s="8" t="n"/>
      <c r="C643" s="5" t="n"/>
      <c r="D643" s="5" t="n"/>
      <c r="E643" s="5" t="n"/>
      <c r="F643" s="5" t="n"/>
      <c r="G643" s="6" t="n"/>
      <c r="H643" s="5" t="n"/>
    </row>
    <row r="644">
      <c r="A644" t="n">
        <v>641</v>
      </c>
      <c r="B644" s="8" t="n"/>
      <c r="C644" s="5" t="n"/>
      <c r="D644" s="5" t="n"/>
      <c r="E644" s="5" t="n"/>
      <c r="F644" s="5" t="n"/>
      <c r="G644" s="6" t="n"/>
      <c r="H644" s="5" t="n"/>
    </row>
    <row r="645">
      <c r="A645" t="n">
        <v>642</v>
      </c>
      <c r="B645" s="8" t="n"/>
      <c r="C645" s="5" t="n"/>
      <c r="D645" s="5" t="n"/>
      <c r="E645" s="5" t="n"/>
      <c r="F645" s="5" t="n"/>
      <c r="G645" s="6" t="n"/>
      <c r="H645" s="5" t="n"/>
    </row>
    <row r="646">
      <c r="A646" t="n">
        <v>643</v>
      </c>
      <c r="B646" s="8" t="n"/>
      <c r="C646" s="5" t="n"/>
      <c r="D646" s="5" t="n"/>
      <c r="E646" s="5" t="n"/>
      <c r="F646" s="5" t="n"/>
      <c r="G646" s="6" t="n"/>
      <c r="H646" s="5" t="n"/>
    </row>
    <row r="647">
      <c r="A647" t="n">
        <v>644</v>
      </c>
      <c r="B647" s="8" t="n"/>
      <c r="C647" s="5" t="n"/>
      <c r="D647" s="5" t="n"/>
      <c r="E647" s="5" t="n"/>
      <c r="F647" s="5" t="n"/>
      <c r="G647" s="6" t="n"/>
      <c r="H647" s="5" t="n"/>
    </row>
    <row r="648">
      <c r="A648" t="n">
        <v>645</v>
      </c>
      <c r="B648" s="8" t="n"/>
      <c r="C648" s="5" t="n"/>
      <c r="D648" s="5" t="n"/>
      <c r="E648" s="5" t="n"/>
      <c r="F648" s="5" t="n"/>
      <c r="G648" s="6" t="n"/>
      <c r="H648" s="5" t="n"/>
    </row>
    <row r="649">
      <c r="A649" t="n">
        <v>646</v>
      </c>
      <c r="B649" s="8" t="n"/>
      <c r="C649" s="5" t="n"/>
      <c r="D649" s="5" t="n"/>
      <c r="E649" s="5" t="n"/>
      <c r="F649" s="5" t="n"/>
      <c r="G649" s="6" t="n"/>
      <c r="H649" s="5" t="n"/>
    </row>
    <row r="650">
      <c r="A650" t="n">
        <v>647</v>
      </c>
      <c r="B650" s="8" t="n"/>
      <c r="C650" s="5" t="n"/>
      <c r="D650" s="5" t="n"/>
      <c r="E650" s="5" t="n"/>
      <c r="F650" s="5" t="n"/>
      <c r="G650" s="6" t="n"/>
      <c r="H650" s="5" t="n"/>
    </row>
    <row r="651">
      <c r="A651" t="n">
        <v>648</v>
      </c>
      <c r="B651" s="8" t="n"/>
      <c r="C651" s="5" t="n"/>
      <c r="D651" s="5" t="n"/>
      <c r="E651" s="5" t="n"/>
      <c r="F651" s="5" t="n"/>
      <c r="G651" s="6" t="n"/>
      <c r="H651" s="5" t="n"/>
    </row>
    <row r="652">
      <c r="A652" t="n">
        <v>649</v>
      </c>
      <c r="B652" s="8" t="n"/>
      <c r="C652" s="5" t="n"/>
      <c r="D652" s="5" t="n"/>
      <c r="E652" s="5" t="n"/>
      <c r="F652" s="5" t="n"/>
      <c r="G652" s="6" t="n"/>
      <c r="H652" s="5" t="n"/>
    </row>
    <row r="653">
      <c r="A653" t="n">
        <v>650</v>
      </c>
      <c r="B653" s="8" t="n"/>
      <c r="C653" s="5" t="n"/>
      <c r="D653" s="5" t="n"/>
      <c r="E653" s="5" t="n"/>
      <c r="F653" s="5" t="n"/>
      <c r="G653" s="6" t="n"/>
      <c r="H653" s="5" t="n"/>
    </row>
    <row r="654">
      <c r="A654" t="n">
        <v>651</v>
      </c>
      <c r="B654" s="8" t="n"/>
      <c r="C654" s="5" t="n"/>
      <c r="D654" s="5" t="n"/>
      <c r="E654" s="5" t="n"/>
      <c r="F654" s="5" t="n"/>
      <c r="G654" s="6" t="n"/>
      <c r="H654" s="5" t="n"/>
    </row>
    <row r="655">
      <c r="A655" t="n">
        <v>652</v>
      </c>
      <c r="B655" s="8" t="n"/>
      <c r="C655" s="5" t="n"/>
      <c r="D655" s="5" t="n"/>
      <c r="E655" s="5" t="n"/>
      <c r="F655" s="5" t="n"/>
      <c r="G655" s="6" t="n"/>
      <c r="H655" s="5" t="n"/>
    </row>
    <row r="656">
      <c r="A656" t="n">
        <v>653</v>
      </c>
      <c r="B656" s="8" t="n"/>
      <c r="C656" s="5" t="n"/>
      <c r="D656" s="5" t="n"/>
      <c r="E656" s="5" t="n"/>
      <c r="F656" s="5" t="n"/>
      <c r="G656" s="6" t="n"/>
      <c r="H656" s="5" t="n"/>
    </row>
    <row r="657">
      <c r="A657" t="n">
        <v>654</v>
      </c>
      <c r="B657" s="8" t="n"/>
      <c r="C657" s="5" t="n"/>
      <c r="D657" s="5" t="n"/>
      <c r="E657" s="5" t="n"/>
      <c r="F657" s="5" t="n"/>
      <c r="G657" s="6" t="n"/>
      <c r="H657" s="5" t="n"/>
    </row>
    <row r="658">
      <c r="A658" t="n">
        <v>655</v>
      </c>
      <c r="B658" s="8" t="n"/>
      <c r="C658" s="5" t="n"/>
      <c r="D658" s="5" t="n"/>
      <c r="E658" s="5" t="n"/>
      <c r="F658" s="5" t="n"/>
      <c r="G658" s="6" t="n"/>
      <c r="H658" s="5" t="n"/>
    </row>
    <row r="659">
      <c r="A659" t="n">
        <v>656</v>
      </c>
      <c r="B659" s="8" t="n"/>
      <c r="C659" s="5" t="n"/>
      <c r="D659" s="5" t="n"/>
      <c r="E659" s="5" t="n"/>
      <c r="F659" s="5" t="n"/>
      <c r="G659" s="6" t="n"/>
      <c r="H659" s="5" t="n"/>
    </row>
    <row r="660">
      <c r="A660" t="n">
        <v>657</v>
      </c>
      <c r="B660" s="8" t="n"/>
      <c r="C660" s="5" t="n"/>
      <c r="D660" s="5" t="n"/>
      <c r="E660" s="5" t="n"/>
      <c r="F660" s="5" t="n"/>
      <c r="G660" s="6" t="n"/>
      <c r="H660" s="5" t="n"/>
    </row>
    <row r="661">
      <c r="A661" t="n">
        <v>658</v>
      </c>
      <c r="B661" s="8" t="n"/>
      <c r="C661" s="5" t="n"/>
      <c r="D661" s="5" t="n"/>
      <c r="E661" s="5" t="n"/>
      <c r="F661" s="5" t="n"/>
      <c r="G661" s="6" t="n"/>
      <c r="H661" s="5" t="n"/>
    </row>
    <row r="662">
      <c r="A662" t="n">
        <v>659</v>
      </c>
      <c r="B662" s="8" t="n"/>
      <c r="C662" s="5" t="n"/>
      <c r="D662" s="5" t="n"/>
      <c r="E662" s="5" t="n"/>
      <c r="F662" s="5" t="n"/>
      <c r="G662" s="6" t="n"/>
      <c r="H662" s="5" t="n"/>
    </row>
    <row r="663">
      <c r="A663" t="n">
        <v>660</v>
      </c>
      <c r="B663" s="8" t="n"/>
      <c r="C663" s="5" t="n"/>
      <c r="D663" s="5" t="n"/>
      <c r="E663" s="5" t="n"/>
      <c r="F663" s="5" t="n"/>
      <c r="G663" s="6" t="n"/>
      <c r="H663" s="5" t="n"/>
    </row>
    <row r="664">
      <c r="A664" t="n">
        <v>661</v>
      </c>
      <c r="B664" s="8" t="n"/>
      <c r="C664" s="5" t="n"/>
      <c r="D664" s="5" t="n"/>
      <c r="E664" s="5" t="n"/>
      <c r="F664" s="5" t="n"/>
      <c r="G664" s="6" t="n"/>
      <c r="H664" s="5" t="n"/>
    </row>
    <row r="665">
      <c r="A665" t="n">
        <v>662</v>
      </c>
      <c r="B665" s="8" t="n"/>
      <c r="C665" s="5" t="n"/>
      <c r="D665" s="5" t="n"/>
      <c r="E665" s="5" t="n"/>
      <c r="F665" s="5" t="n"/>
      <c r="G665" s="6" t="n"/>
      <c r="H665" s="5" t="n"/>
    </row>
    <row r="666">
      <c r="A666" t="n">
        <v>663</v>
      </c>
      <c r="B666" s="8" t="n"/>
      <c r="C666" s="5" t="n"/>
      <c r="D666" s="5" t="n"/>
      <c r="E666" s="5" t="n"/>
      <c r="F666" s="5" t="n"/>
      <c r="G666" s="6" t="n"/>
      <c r="H666" s="5" t="n"/>
    </row>
    <row r="667">
      <c r="A667" t="n">
        <v>664</v>
      </c>
      <c r="B667" s="8" t="n"/>
      <c r="C667" s="5" t="n"/>
      <c r="D667" s="5" t="n"/>
      <c r="E667" s="5" t="n"/>
      <c r="F667" s="5" t="n"/>
      <c r="G667" s="6" t="n"/>
      <c r="H667" s="5" t="n"/>
    </row>
    <row r="668">
      <c r="A668" t="n">
        <v>665</v>
      </c>
      <c r="B668" s="8" t="n"/>
      <c r="C668" s="5" t="n"/>
      <c r="D668" s="5" t="n"/>
      <c r="E668" s="5" t="n"/>
      <c r="F668" s="5" t="n"/>
      <c r="G668" s="6" t="n"/>
      <c r="H668" s="5" t="n"/>
    </row>
    <row r="669">
      <c r="A669" t="n">
        <v>666</v>
      </c>
      <c r="B669" s="8" t="n"/>
      <c r="C669" s="5" t="n"/>
      <c r="D669" s="5" t="n"/>
      <c r="E669" s="5" t="n"/>
      <c r="F669" s="5" t="n"/>
      <c r="G669" s="6" t="n"/>
      <c r="H669" s="5" t="n"/>
    </row>
    <row r="670">
      <c r="A670" t="n">
        <v>667</v>
      </c>
      <c r="B670" s="8" t="n"/>
      <c r="C670" s="5" t="n"/>
      <c r="D670" s="5" t="n"/>
      <c r="E670" s="5" t="n"/>
      <c r="F670" s="5" t="n"/>
      <c r="G670" s="6" t="n"/>
      <c r="H670" s="5" t="n"/>
    </row>
    <row r="671">
      <c r="A671" t="n">
        <v>668</v>
      </c>
      <c r="B671" s="8" t="n"/>
      <c r="C671" s="5" t="n"/>
      <c r="D671" s="5" t="n"/>
      <c r="E671" s="5" t="n"/>
      <c r="F671" s="5" t="n"/>
      <c r="G671" s="6" t="n"/>
      <c r="H671" s="5" t="n"/>
    </row>
    <row r="672">
      <c r="A672" t="n">
        <v>669</v>
      </c>
      <c r="B672" s="8" t="n"/>
      <c r="C672" s="5" t="n"/>
      <c r="D672" s="5" t="n"/>
      <c r="E672" s="5" t="n"/>
      <c r="F672" s="5" t="n"/>
      <c r="G672" s="6" t="n"/>
      <c r="H672" s="5" t="n"/>
    </row>
    <row r="673">
      <c r="A673" t="n">
        <v>670</v>
      </c>
      <c r="B673" s="8" t="n"/>
      <c r="C673" s="5" t="n"/>
      <c r="D673" s="5" t="n"/>
      <c r="E673" s="5" t="n"/>
      <c r="F673" s="5" t="n"/>
      <c r="G673" s="6" t="n"/>
      <c r="H673" s="5" t="n"/>
    </row>
    <row r="674">
      <c r="A674" t="n">
        <v>671</v>
      </c>
      <c r="B674" s="8" t="n"/>
      <c r="C674" s="5" t="n"/>
      <c r="D674" s="5" t="n"/>
      <c r="E674" s="5" t="n"/>
      <c r="F674" s="5" t="n"/>
      <c r="G674" s="6" t="n"/>
      <c r="H674" s="5" t="n"/>
    </row>
    <row r="675">
      <c r="A675" t="n">
        <v>672</v>
      </c>
      <c r="B675" s="8" t="n"/>
      <c r="C675" s="5" t="n"/>
      <c r="D675" s="5" t="n"/>
      <c r="E675" s="5" t="n"/>
      <c r="F675" s="5" t="n"/>
      <c r="G675" s="6" t="n"/>
      <c r="H675" s="5" t="n"/>
    </row>
    <row r="676">
      <c r="A676" t="n">
        <v>673</v>
      </c>
      <c r="B676" s="8" t="n"/>
      <c r="C676" s="5" t="n"/>
      <c r="D676" s="5" t="n"/>
      <c r="E676" s="5" t="n"/>
      <c r="F676" s="5" t="n"/>
      <c r="G676" s="6" t="n"/>
      <c r="H676" s="5" t="n"/>
    </row>
    <row r="677">
      <c r="A677" t="n">
        <v>674</v>
      </c>
      <c r="B677" s="8" t="n"/>
      <c r="C677" s="5" t="n"/>
      <c r="D677" s="5" t="n"/>
      <c r="E677" s="5" t="n"/>
      <c r="F677" s="5" t="n"/>
      <c r="G677" s="6" t="n"/>
      <c r="H677" s="5" t="n"/>
    </row>
    <row r="678">
      <c r="A678" t="n">
        <v>675</v>
      </c>
      <c r="B678" s="8" t="n"/>
      <c r="C678" s="5" t="n"/>
      <c r="D678" s="5" t="n"/>
      <c r="E678" s="5" t="n"/>
      <c r="F678" s="5" t="n"/>
      <c r="G678" s="6" t="n"/>
      <c r="H678" s="5" t="n"/>
    </row>
    <row r="679">
      <c r="A679" t="n">
        <v>676</v>
      </c>
      <c r="B679" s="8" t="n"/>
      <c r="C679" s="5" t="n"/>
      <c r="D679" s="5" t="n"/>
      <c r="E679" s="5" t="n"/>
      <c r="F679" s="5" t="n"/>
      <c r="G679" s="6" t="n"/>
      <c r="H679" s="5" t="n"/>
    </row>
    <row r="680">
      <c r="A680" t="n">
        <v>677</v>
      </c>
      <c r="B680" s="8" t="n"/>
      <c r="C680" s="5" t="n"/>
      <c r="D680" s="5" t="n"/>
      <c r="E680" s="5" t="n"/>
      <c r="F680" s="5" t="n"/>
      <c r="G680" s="6" t="n"/>
      <c r="H680" s="5" t="n"/>
    </row>
    <row r="681">
      <c r="A681" t="n">
        <v>678</v>
      </c>
      <c r="B681" s="8" t="n"/>
      <c r="C681" s="5" t="n"/>
      <c r="D681" s="5" t="n"/>
      <c r="E681" s="5" t="n"/>
      <c r="F681" s="5" t="n"/>
      <c r="G681" s="6" t="n"/>
      <c r="H681" s="5" t="n"/>
    </row>
    <row r="682">
      <c r="A682" t="n">
        <v>679</v>
      </c>
      <c r="B682" s="8" t="n"/>
      <c r="C682" s="5" t="n"/>
      <c r="D682" s="5" t="n"/>
      <c r="E682" s="5" t="n"/>
      <c r="F682" s="5" t="n"/>
      <c r="G682" s="6" t="n"/>
      <c r="H682" s="5" t="n"/>
    </row>
    <row r="683">
      <c r="A683" t="n">
        <v>680</v>
      </c>
      <c r="B683" s="8" t="n"/>
      <c r="C683" s="5" t="n"/>
      <c r="D683" s="5" t="n"/>
      <c r="E683" s="5" t="n"/>
      <c r="F683" s="5" t="n"/>
      <c r="G683" s="6" t="n"/>
      <c r="H683" s="5" t="n"/>
    </row>
    <row r="684">
      <c r="A684" t="n">
        <v>681</v>
      </c>
      <c r="B684" s="8" t="n"/>
      <c r="C684" s="5" t="n"/>
      <c r="D684" s="5" t="n"/>
      <c r="E684" s="5" t="n"/>
      <c r="F684" s="5" t="n"/>
      <c r="G684" s="6" t="n"/>
      <c r="H684" s="5" t="n"/>
    </row>
    <row r="685">
      <c r="A685" t="n">
        <v>682</v>
      </c>
      <c r="B685" s="8" t="n"/>
      <c r="C685" s="5" t="n"/>
      <c r="D685" s="5" t="n"/>
      <c r="E685" s="5" t="n"/>
      <c r="F685" s="5" t="n"/>
      <c r="G685" s="6" t="n"/>
      <c r="H685" s="5" t="n"/>
    </row>
    <row r="686">
      <c r="A686" t="n">
        <v>683</v>
      </c>
      <c r="B686" s="8" t="n"/>
      <c r="C686" s="5" t="n"/>
      <c r="D686" s="5" t="n"/>
      <c r="E686" s="5" t="n"/>
      <c r="F686" s="5" t="n"/>
      <c r="G686" s="6" t="n"/>
      <c r="H686" s="5" t="n"/>
    </row>
    <row r="687">
      <c r="A687" t="n">
        <v>684</v>
      </c>
      <c r="B687" s="8" t="n"/>
      <c r="C687" s="5" t="n"/>
      <c r="D687" s="5" t="n"/>
      <c r="E687" s="5" t="n"/>
      <c r="F687" s="5" t="n"/>
      <c r="G687" s="6" t="n"/>
      <c r="H687" s="5" t="n"/>
    </row>
    <row r="688">
      <c r="A688" t="n">
        <v>685</v>
      </c>
      <c r="B688" s="8" t="n"/>
      <c r="C688" s="5" t="n"/>
      <c r="D688" s="5" t="n"/>
      <c r="E688" s="5" t="n"/>
      <c r="F688" s="5" t="n"/>
      <c r="G688" s="6" t="n"/>
      <c r="H688" s="5" t="n"/>
    </row>
    <row r="689">
      <c r="A689" t="n">
        <v>686</v>
      </c>
      <c r="B689" s="8" t="n"/>
      <c r="C689" s="5" t="n"/>
      <c r="D689" s="5" t="n"/>
      <c r="E689" s="5" t="n"/>
      <c r="F689" s="5" t="n"/>
      <c r="G689" s="6" t="n"/>
      <c r="H689" s="5" t="n"/>
    </row>
    <row r="690">
      <c r="A690" t="n">
        <v>687</v>
      </c>
      <c r="B690" s="8" t="n"/>
      <c r="C690" s="5" t="n"/>
      <c r="D690" s="5" t="n"/>
      <c r="E690" s="5" t="n"/>
      <c r="F690" s="5" t="n"/>
      <c r="G690" s="6" t="n"/>
      <c r="H690" s="5" t="n"/>
    </row>
    <row r="691">
      <c r="A691" t="n">
        <v>688</v>
      </c>
      <c r="B691" s="8" t="n"/>
      <c r="C691" s="5" t="n"/>
      <c r="D691" s="5" t="n"/>
      <c r="E691" s="5" t="n"/>
      <c r="F691" s="5" t="n"/>
      <c r="G691" s="6" t="n"/>
      <c r="H691" s="5" t="n"/>
    </row>
    <row r="692">
      <c r="A692" t="n">
        <v>689</v>
      </c>
      <c r="B692" s="8" t="n"/>
      <c r="C692" s="5" t="n"/>
      <c r="D692" s="5" t="n"/>
      <c r="E692" s="5" t="n"/>
      <c r="F692" s="5" t="n"/>
      <c r="G692" s="6" t="n"/>
      <c r="H692" s="5" t="n"/>
    </row>
    <row r="693">
      <c r="A693" t="n">
        <v>690</v>
      </c>
      <c r="B693" s="8" t="n"/>
      <c r="C693" s="5" t="n"/>
      <c r="D693" s="5" t="n"/>
      <c r="E693" s="5" t="n"/>
      <c r="F693" s="5" t="n"/>
      <c r="G693" s="6" t="n"/>
      <c r="H693" s="5" t="n"/>
    </row>
    <row r="694">
      <c r="A694" t="n">
        <v>691</v>
      </c>
      <c r="B694" s="8" t="n"/>
      <c r="C694" s="5" t="n"/>
      <c r="D694" s="5" t="n"/>
      <c r="E694" s="5" t="n"/>
      <c r="F694" s="5" t="n"/>
      <c r="G694" s="6" t="n"/>
      <c r="H694" s="5" t="n"/>
    </row>
    <row r="695">
      <c r="A695" t="n">
        <v>692</v>
      </c>
      <c r="B695" s="8" t="n"/>
      <c r="C695" s="5" t="n"/>
      <c r="D695" s="5" t="n"/>
      <c r="E695" s="5" t="n"/>
      <c r="F695" s="5" t="n"/>
      <c r="G695" s="6" t="n"/>
      <c r="H695" s="5" t="n"/>
    </row>
    <row r="696">
      <c r="A696" t="n">
        <v>693</v>
      </c>
      <c r="B696" s="8" t="n"/>
      <c r="C696" s="5" t="n"/>
      <c r="D696" s="5" t="n"/>
      <c r="E696" s="5" t="n"/>
      <c r="F696" s="5" t="n"/>
      <c r="G696" s="6" t="n"/>
      <c r="H696" s="5" t="n"/>
    </row>
    <row r="697">
      <c r="A697" t="n">
        <v>694</v>
      </c>
      <c r="B697" s="8" t="n"/>
      <c r="C697" s="5" t="n"/>
      <c r="D697" s="5" t="n"/>
      <c r="E697" s="5" t="n"/>
      <c r="F697" s="5" t="n"/>
      <c r="G697" s="6" t="n"/>
      <c r="H697" s="5" t="n"/>
    </row>
    <row r="698">
      <c r="A698" t="n">
        <v>695</v>
      </c>
      <c r="B698" s="8" t="n"/>
      <c r="C698" s="5" t="n"/>
      <c r="D698" s="5" t="n"/>
      <c r="E698" s="5" t="n"/>
      <c r="F698" s="5" t="n"/>
      <c r="G698" s="6" t="n"/>
      <c r="H698" s="5" t="n"/>
    </row>
    <row r="699">
      <c r="A699" t="n">
        <v>696</v>
      </c>
      <c r="B699" s="8" t="n"/>
      <c r="C699" s="5" t="n"/>
      <c r="D699" s="5" t="n"/>
      <c r="E699" s="5" t="n"/>
      <c r="F699" s="5" t="n"/>
      <c r="G699" s="6" t="n"/>
      <c r="H699" s="5" t="n"/>
    </row>
    <row r="700">
      <c r="A700" t="n">
        <v>697</v>
      </c>
      <c r="B700" s="8" t="n"/>
      <c r="C700" s="5" t="n"/>
      <c r="D700" s="5" t="n"/>
      <c r="E700" s="5" t="n"/>
      <c r="F700" s="5" t="n"/>
      <c r="G700" s="6" t="n"/>
      <c r="H700" s="5" t="n"/>
    </row>
    <row r="701">
      <c r="A701" t="n">
        <v>698</v>
      </c>
      <c r="B701" s="8" t="n"/>
      <c r="C701" s="5" t="n"/>
      <c r="D701" s="5" t="n"/>
      <c r="E701" s="5" t="n"/>
      <c r="F701" s="5" t="n"/>
      <c r="G701" s="6" t="n"/>
      <c r="H701" s="5" t="n"/>
    </row>
    <row r="702">
      <c r="A702" t="n">
        <v>699</v>
      </c>
      <c r="B702" s="8" t="n"/>
      <c r="C702" s="5" t="n"/>
      <c r="D702" s="5" t="n"/>
      <c r="E702" s="5" t="n"/>
      <c r="F702" s="5" t="n"/>
      <c r="G702" s="6" t="n"/>
      <c r="H702" s="5" t="n"/>
    </row>
    <row r="703">
      <c r="A703" t="n">
        <v>700</v>
      </c>
      <c r="B703" s="8" t="n"/>
      <c r="C703" s="5" t="n"/>
      <c r="D703" s="5" t="n"/>
      <c r="E703" s="5" t="n"/>
      <c r="F703" s="5" t="n"/>
      <c r="G703" s="6" t="n"/>
      <c r="H703" s="5" t="n"/>
    </row>
    <row r="704">
      <c r="A704" t="n">
        <v>701</v>
      </c>
      <c r="B704" s="8" t="n"/>
      <c r="C704" s="5" t="n"/>
      <c r="D704" s="5" t="n"/>
      <c r="E704" s="5" t="n"/>
      <c r="F704" s="5" t="n"/>
      <c r="G704" s="6" t="n"/>
      <c r="H704" s="5" t="n"/>
    </row>
    <row r="705">
      <c r="A705" t="n">
        <v>702</v>
      </c>
      <c r="B705" s="8" t="n"/>
      <c r="C705" s="5" t="n"/>
      <c r="D705" s="5" t="n"/>
      <c r="E705" s="5" t="n"/>
      <c r="F705" s="5" t="n"/>
      <c r="G705" s="6" t="n"/>
      <c r="H705" s="5" t="n"/>
    </row>
    <row r="706">
      <c r="A706" t="n">
        <v>703</v>
      </c>
      <c r="B706" s="8" t="n"/>
      <c r="C706" s="5" t="n"/>
      <c r="D706" s="5" t="n"/>
      <c r="E706" s="5" t="n"/>
      <c r="F706" s="5" t="n"/>
      <c r="G706" s="6" t="n"/>
      <c r="H706" s="5" t="n"/>
    </row>
    <row r="707">
      <c r="A707" t="n">
        <v>704</v>
      </c>
      <c r="B707" s="8" t="n"/>
      <c r="C707" s="5" t="n"/>
      <c r="D707" s="5" t="n"/>
      <c r="E707" s="5" t="n"/>
      <c r="F707" s="5" t="n"/>
      <c r="G707" s="6" t="n"/>
      <c r="H707" s="5" t="n"/>
    </row>
    <row r="708">
      <c r="A708" t="n">
        <v>705</v>
      </c>
      <c r="B708" s="8" t="n"/>
      <c r="C708" s="5" t="n"/>
      <c r="D708" s="5" t="n"/>
      <c r="E708" s="5" t="n"/>
      <c r="F708" s="5" t="n"/>
      <c r="G708" s="6" t="n"/>
      <c r="H708" s="5" t="n"/>
    </row>
    <row r="709">
      <c r="A709" t="n">
        <v>706</v>
      </c>
      <c r="B709" s="8" t="n"/>
      <c r="C709" s="5" t="n"/>
      <c r="D709" s="5" t="n"/>
      <c r="E709" s="5" t="n"/>
      <c r="F709" s="5" t="n"/>
      <c r="G709" s="6" t="n"/>
      <c r="H709" s="5" t="n"/>
    </row>
    <row r="710">
      <c r="A710" t="n">
        <v>707</v>
      </c>
      <c r="B710" s="8" t="n"/>
      <c r="C710" s="5" t="n"/>
      <c r="D710" s="5" t="n"/>
      <c r="E710" s="5" t="n"/>
      <c r="F710" s="5" t="n"/>
      <c r="G710" s="6" t="n"/>
      <c r="H710" s="5" t="n"/>
    </row>
    <row r="711">
      <c r="A711" t="n">
        <v>708</v>
      </c>
      <c r="B711" s="8" t="n"/>
      <c r="C711" s="5" t="n"/>
      <c r="D711" s="5" t="n"/>
      <c r="E711" s="5" t="n"/>
      <c r="F711" s="5" t="n"/>
      <c r="G711" s="6" t="n"/>
      <c r="H711" s="5" t="n"/>
    </row>
    <row r="712">
      <c r="A712" t="n">
        <v>709</v>
      </c>
      <c r="B712" s="8" t="n"/>
      <c r="C712" s="5" t="n"/>
      <c r="D712" s="5" t="n"/>
      <c r="E712" s="5" t="n"/>
      <c r="F712" s="5" t="n"/>
      <c r="G712" s="6" t="n"/>
      <c r="H712" s="5" t="n"/>
    </row>
    <row r="713">
      <c r="A713" t="n">
        <v>710</v>
      </c>
      <c r="B713" s="8" t="n"/>
      <c r="C713" s="5" t="n"/>
      <c r="D713" s="5" t="n"/>
      <c r="E713" s="5" t="n"/>
      <c r="F713" s="5" t="n"/>
      <c r="G713" s="6" t="n"/>
      <c r="H713" s="5" t="n"/>
    </row>
    <row r="714">
      <c r="A714" t="n">
        <v>711</v>
      </c>
      <c r="B714" s="8" t="n"/>
      <c r="C714" s="5" t="n"/>
      <c r="D714" s="5" t="n"/>
      <c r="E714" s="5" t="n"/>
      <c r="F714" s="5" t="n"/>
      <c r="G714" s="6" t="n"/>
      <c r="H714" s="5" t="n"/>
    </row>
    <row r="715">
      <c r="A715" t="n">
        <v>712</v>
      </c>
      <c r="B715" s="8" t="n"/>
      <c r="C715" s="5" t="n"/>
      <c r="D715" s="5" t="n"/>
      <c r="E715" s="5" t="n"/>
      <c r="F715" s="5" t="n"/>
      <c r="G715" s="6" t="n"/>
      <c r="H715" s="5" t="n"/>
    </row>
    <row r="716">
      <c r="A716" t="n">
        <v>713</v>
      </c>
      <c r="B716" s="8" t="n"/>
      <c r="C716" s="5" t="n"/>
      <c r="D716" s="5" t="n"/>
      <c r="E716" s="5" t="n"/>
      <c r="F716" s="5" t="n"/>
      <c r="G716" s="6" t="n"/>
      <c r="H716" s="5" t="n"/>
    </row>
    <row r="717">
      <c r="A717" t="n">
        <v>714</v>
      </c>
      <c r="B717" s="8" t="n"/>
      <c r="C717" s="5" t="n"/>
      <c r="D717" s="5" t="n"/>
      <c r="E717" s="5" t="n"/>
      <c r="F717" s="5" t="n"/>
      <c r="G717" s="6" t="n"/>
      <c r="H717" s="5" t="n"/>
    </row>
    <row r="718">
      <c r="A718" t="n">
        <v>715</v>
      </c>
      <c r="B718" s="8" t="n"/>
      <c r="C718" s="5" t="n"/>
      <c r="D718" s="5" t="n"/>
      <c r="E718" s="5" t="n"/>
      <c r="F718" s="5" t="n"/>
      <c r="G718" s="6" t="n"/>
      <c r="H718" s="5" t="n"/>
    </row>
    <row r="719">
      <c r="A719" t="n">
        <v>716</v>
      </c>
      <c r="B719" s="8" t="n"/>
      <c r="C719" s="5" t="n"/>
      <c r="D719" s="5" t="n"/>
      <c r="E719" s="5" t="n"/>
      <c r="F719" s="5" t="n"/>
      <c r="G719" s="6" t="n"/>
      <c r="H719" s="5" t="n"/>
    </row>
    <row r="720">
      <c r="A720" t="n">
        <v>717</v>
      </c>
      <c r="B720" s="8" t="n"/>
      <c r="C720" s="5" t="n"/>
      <c r="D720" s="5" t="n"/>
      <c r="E720" s="5" t="n"/>
      <c r="F720" s="5" t="n"/>
      <c r="G720" s="6" t="n"/>
      <c r="H720" s="5" t="n"/>
    </row>
    <row r="721">
      <c r="A721" t="n">
        <v>718</v>
      </c>
      <c r="B721" s="8" t="n"/>
      <c r="C721" s="5" t="n"/>
      <c r="D721" s="5" t="n"/>
      <c r="E721" s="5" t="n"/>
      <c r="F721" s="5" t="n"/>
      <c r="G721" s="6" t="n"/>
      <c r="H721" s="5" t="n"/>
    </row>
    <row r="722">
      <c r="A722" t="n">
        <v>719</v>
      </c>
      <c r="B722" s="8" t="n"/>
      <c r="C722" s="5" t="n"/>
      <c r="D722" s="5" t="n"/>
      <c r="E722" s="5" t="n"/>
      <c r="F722" s="5" t="n"/>
      <c r="G722" s="6" t="n"/>
      <c r="H722" s="5" t="n"/>
    </row>
    <row r="723">
      <c r="A723" t="n">
        <v>720</v>
      </c>
      <c r="B723" s="8" t="n"/>
      <c r="C723" s="5" t="n"/>
      <c r="D723" s="5" t="n"/>
      <c r="E723" s="5" t="n"/>
      <c r="F723" s="5" t="n"/>
      <c r="G723" s="6" t="n"/>
      <c r="H723" s="5" t="n"/>
    </row>
    <row r="724">
      <c r="A724" t="n">
        <v>721</v>
      </c>
      <c r="B724" s="8" t="n"/>
      <c r="C724" s="5" t="n"/>
      <c r="D724" s="5" t="n"/>
      <c r="E724" s="5" t="n"/>
      <c r="F724" s="5" t="n"/>
      <c r="G724" s="6" t="n"/>
      <c r="H724" s="5" t="n"/>
    </row>
    <row r="725">
      <c r="A725" t="n">
        <v>722</v>
      </c>
      <c r="B725" s="8" t="n"/>
      <c r="C725" s="5" t="n"/>
      <c r="D725" s="5" t="n"/>
      <c r="E725" s="5" t="n"/>
      <c r="F725" s="5" t="n"/>
      <c r="G725" s="6" t="n"/>
      <c r="H725" s="5" t="n"/>
    </row>
    <row r="726">
      <c r="A726" t="n">
        <v>723</v>
      </c>
      <c r="B726" s="8" t="n"/>
      <c r="C726" s="5" t="n"/>
      <c r="D726" s="5" t="n"/>
      <c r="E726" s="5" t="n"/>
      <c r="F726" s="5" t="n"/>
      <c r="G726" s="6" t="n"/>
      <c r="H726" s="5" t="n"/>
    </row>
    <row r="727">
      <c r="A727" t="n">
        <v>724</v>
      </c>
      <c r="B727" s="8" t="n"/>
      <c r="C727" s="5" t="n"/>
      <c r="D727" s="5" t="n"/>
      <c r="E727" s="5" t="n"/>
      <c r="F727" s="5" t="n"/>
      <c r="G727" s="6" t="n"/>
      <c r="H727" s="5" t="n"/>
    </row>
    <row r="728">
      <c r="A728" t="n">
        <v>725</v>
      </c>
      <c r="B728" s="8" t="n"/>
      <c r="C728" s="5" t="n"/>
      <c r="D728" s="5" t="n"/>
      <c r="E728" s="5" t="n"/>
      <c r="F728" s="5" t="n"/>
      <c r="G728" s="6" t="n"/>
      <c r="H728" s="5" t="n"/>
    </row>
    <row r="729">
      <c r="A729" t="n">
        <v>726</v>
      </c>
      <c r="B729" s="8" t="n"/>
      <c r="C729" s="5" t="n"/>
      <c r="D729" s="5" t="n"/>
      <c r="E729" s="5" t="n"/>
      <c r="F729" s="5" t="n"/>
      <c r="G729" s="6" t="n"/>
      <c r="H729" s="5" t="n"/>
    </row>
    <row r="730">
      <c r="A730" t="n">
        <v>727</v>
      </c>
      <c r="B730" s="8" t="n"/>
      <c r="C730" s="5" t="n"/>
      <c r="D730" s="5" t="n"/>
      <c r="E730" s="5" t="n"/>
      <c r="F730" s="5" t="n"/>
      <c r="G730" s="6" t="n"/>
      <c r="H730" s="5" t="n"/>
    </row>
    <row r="731">
      <c r="A731" t="n">
        <v>728</v>
      </c>
      <c r="B731" s="8" t="n"/>
      <c r="C731" s="5" t="n"/>
      <c r="D731" s="5" t="n"/>
      <c r="E731" s="5" t="n"/>
      <c r="F731" s="5" t="n"/>
      <c r="G731" s="6" t="n"/>
      <c r="H731" s="5" t="n"/>
    </row>
    <row r="732">
      <c r="A732" t="n">
        <v>729</v>
      </c>
      <c r="B732" s="8" t="n"/>
      <c r="C732" s="5" t="n"/>
      <c r="D732" s="5" t="n"/>
      <c r="E732" s="5" t="n"/>
      <c r="F732" s="5" t="n"/>
      <c r="G732" s="6" t="n"/>
      <c r="H732" s="5" t="n"/>
    </row>
    <row r="733">
      <c r="A733" t="n">
        <v>730</v>
      </c>
      <c r="B733" s="8" t="n"/>
      <c r="C733" s="5" t="n"/>
      <c r="D733" s="5" t="n"/>
      <c r="E733" s="5" t="n"/>
      <c r="F733" s="5" t="n"/>
      <c r="G733" s="6" t="n"/>
      <c r="H733" s="5" t="n"/>
    </row>
    <row r="734">
      <c r="A734" t="n">
        <v>731</v>
      </c>
      <c r="B734" s="8" t="n"/>
      <c r="C734" s="5" t="n"/>
      <c r="D734" s="5" t="n"/>
      <c r="E734" s="5" t="n"/>
      <c r="F734" s="5" t="n"/>
      <c r="G734" s="6" t="n"/>
      <c r="H734" s="5" t="n"/>
    </row>
    <row r="735">
      <c r="A735" t="n">
        <v>732</v>
      </c>
      <c r="B735" s="8" t="n"/>
      <c r="C735" s="5" t="n"/>
      <c r="D735" s="5" t="n"/>
      <c r="E735" s="5" t="n"/>
      <c r="F735" s="5" t="n"/>
      <c r="G735" s="6" t="n"/>
      <c r="H735" s="5" t="n"/>
    </row>
    <row r="736">
      <c r="A736" t="n">
        <v>733</v>
      </c>
      <c r="B736" s="8" t="n"/>
      <c r="C736" s="5" t="n"/>
      <c r="D736" s="5" t="n"/>
      <c r="E736" s="5" t="n"/>
      <c r="F736" s="5" t="n"/>
      <c r="G736" s="6" t="n"/>
      <c r="H736" s="5" t="n"/>
    </row>
    <row r="737">
      <c r="A737" t="n">
        <v>734</v>
      </c>
      <c r="B737" s="8" t="n"/>
      <c r="C737" s="5" t="n"/>
      <c r="D737" s="5" t="n"/>
      <c r="E737" s="5" t="n"/>
      <c r="F737" s="5" t="n"/>
      <c r="G737" s="6" t="n"/>
      <c r="H737" s="5" t="n"/>
    </row>
    <row r="738">
      <c r="A738" t="n">
        <v>735</v>
      </c>
      <c r="B738" s="8" t="n"/>
      <c r="C738" s="5" t="n"/>
      <c r="D738" s="5" t="n"/>
      <c r="E738" s="5" t="n"/>
      <c r="F738" s="5" t="n"/>
      <c r="G738" s="6" t="n"/>
      <c r="H738" s="5" t="n"/>
    </row>
    <row r="739">
      <c r="A739" t="n">
        <v>736</v>
      </c>
      <c r="B739" s="8" t="n"/>
      <c r="C739" s="5" t="n"/>
      <c r="D739" s="5" t="n"/>
      <c r="E739" s="5" t="n"/>
      <c r="F739" s="5" t="n"/>
      <c r="G739" s="6" t="n"/>
      <c r="H739" s="5" t="n"/>
    </row>
    <row r="740">
      <c r="A740" t="n">
        <v>737</v>
      </c>
      <c r="B740" s="8" t="n"/>
      <c r="C740" s="5" t="n"/>
      <c r="D740" s="5" t="n"/>
      <c r="E740" s="5" t="n"/>
      <c r="F740" s="5" t="n"/>
      <c r="G740" s="6" t="n"/>
      <c r="H740" s="5" t="n"/>
    </row>
    <row r="741">
      <c r="A741" t="n">
        <v>738</v>
      </c>
      <c r="B741" s="8" t="n"/>
      <c r="C741" s="5" t="n"/>
      <c r="D741" s="5" t="n"/>
      <c r="E741" s="5" t="n"/>
      <c r="F741" s="5" t="n"/>
      <c r="G741" s="6" t="n"/>
      <c r="H741" s="5" t="n"/>
    </row>
    <row r="742">
      <c r="A742" t="n">
        <v>739</v>
      </c>
      <c r="B742" s="8" t="n"/>
      <c r="C742" s="5" t="n"/>
      <c r="D742" s="5" t="n"/>
      <c r="E742" s="5" t="n"/>
      <c r="F742" s="5" t="n"/>
      <c r="G742" s="6" t="n"/>
      <c r="H742" s="5" t="n"/>
    </row>
    <row r="743">
      <c r="A743" t="n">
        <v>740</v>
      </c>
      <c r="B743" s="8" t="n"/>
      <c r="C743" s="5" t="n"/>
      <c r="D743" s="5" t="n"/>
      <c r="E743" s="5" t="n"/>
      <c r="F743" s="5" t="n"/>
      <c r="G743" s="6" t="n"/>
      <c r="H743" s="5" t="n"/>
    </row>
    <row r="744">
      <c r="A744" t="n">
        <v>741</v>
      </c>
      <c r="B744" s="8" t="n"/>
      <c r="C744" s="5" t="n"/>
      <c r="D744" s="5" t="n"/>
      <c r="E744" s="5" t="n"/>
      <c r="F744" s="5" t="n"/>
      <c r="G744" s="6" t="n"/>
      <c r="H744" s="5" t="n"/>
    </row>
    <row r="745">
      <c r="A745" t="n">
        <v>742</v>
      </c>
      <c r="B745" s="8" t="n"/>
      <c r="C745" s="5" t="n"/>
      <c r="D745" s="5" t="n"/>
      <c r="E745" s="5" t="n"/>
      <c r="F745" s="5" t="n"/>
      <c r="G745" s="6" t="n"/>
      <c r="H745" s="5" t="n"/>
    </row>
    <row r="746">
      <c r="A746" t="n">
        <v>743</v>
      </c>
      <c r="B746" s="8" t="n"/>
      <c r="C746" s="5" t="n"/>
      <c r="D746" s="5" t="n"/>
      <c r="E746" s="5" t="n"/>
      <c r="F746" s="5" t="n"/>
      <c r="G746" s="6" t="n"/>
      <c r="H746" s="5" t="n"/>
    </row>
    <row r="747">
      <c r="A747" t="n">
        <v>744</v>
      </c>
      <c r="B747" s="8" t="n"/>
      <c r="C747" s="5" t="n"/>
      <c r="D747" s="5" t="n"/>
      <c r="E747" s="5" t="n"/>
      <c r="F747" s="5" t="n"/>
      <c r="G747" s="6" t="n"/>
      <c r="H747" s="5" t="n"/>
    </row>
    <row r="748">
      <c r="A748" t="n">
        <v>745</v>
      </c>
      <c r="B748" s="8" t="n"/>
      <c r="C748" s="5" t="n"/>
      <c r="D748" s="5" t="n"/>
      <c r="E748" s="5" t="n"/>
      <c r="F748" s="5" t="n"/>
      <c r="G748" s="6" t="n"/>
      <c r="H748" s="5" t="n"/>
    </row>
    <row r="749">
      <c r="A749" t="n">
        <v>746</v>
      </c>
      <c r="B749" s="8" t="n"/>
      <c r="C749" s="5" t="n"/>
      <c r="D749" s="5" t="n"/>
      <c r="E749" s="5" t="n"/>
      <c r="F749" s="5" t="n"/>
      <c r="G749" s="6" t="n"/>
      <c r="H749" s="5" t="n"/>
    </row>
    <row r="750">
      <c r="A750" t="n">
        <v>747</v>
      </c>
      <c r="B750" s="8" t="n"/>
      <c r="C750" s="5" t="n"/>
      <c r="D750" s="5" t="n"/>
      <c r="E750" s="5" t="n"/>
      <c r="F750" s="5" t="n"/>
      <c r="G750" s="6" t="n"/>
      <c r="H750" s="5" t="n"/>
    </row>
    <row r="751">
      <c r="A751" t="n">
        <v>748</v>
      </c>
      <c r="B751" s="8" t="n"/>
      <c r="C751" s="5" t="n"/>
      <c r="D751" s="5" t="n"/>
      <c r="E751" s="5" t="n"/>
      <c r="F751" s="5" t="n"/>
      <c r="G751" s="6" t="n"/>
      <c r="H751" s="5" t="n"/>
    </row>
    <row r="752">
      <c r="A752" t="n">
        <v>749</v>
      </c>
      <c r="B752" s="8" t="n"/>
      <c r="C752" s="5" t="n"/>
      <c r="D752" s="5" t="n"/>
      <c r="E752" s="5" t="n"/>
      <c r="F752" s="5" t="n"/>
      <c r="G752" s="6" t="n"/>
      <c r="H752" s="5" t="n"/>
    </row>
    <row r="753">
      <c r="A753" t="n">
        <v>750</v>
      </c>
      <c r="B753" s="8" t="n"/>
      <c r="C753" s="5" t="n"/>
      <c r="D753" s="5" t="n"/>
      <c r="E753" s="5" t="n"/>
      <c r="F753" s="5" t="n"/>
      <c r="G753" s="6" t="n"/>
      <c r="H753" s="5" t="n"/>
    </row>
    <row r="754">
      <c r="A754" t="n">
        <v>751</v>
      </c>
      <c r="B754" s="8" t="n"/>
      <c r="C754" s="5" t="n"/>
      <c r="D754" s="5" t="n"/>
      <c r="E754" s="5" t="n"/>
      <c r="F754" s="5" t="n"/>
      <c r="G754" s="6" t="n"/>
      <c r="H754" s="5" t="n"/>
    </row>
    <row r="755">
      <c r="A755" t="n">
        <v>752</v>
      </c>
      <c r="B755" s="8" t="n"/>
      <c r="C755" s="5" t="n"/>
      <c r="D755" s="5" t="n"/>
      <c r="E755" s="5" t="n"/>
      <c r="F755" s="5" t="n"/>
      <c r="G755" s="6" t="n"/>
      <c r="H755" s="5" t="n"/>
    </row>
    <row r="756">
      <c r="A756" t="n">
        <v>753</v>
      </c>
      <c r="B756" s="8" t="n"/>
      <c r="C756" s="5" t="n"/>
      <c r="D756" s="5" t="n"/>
      <c r="E756" s="5" t="n"/>
      <c r="F756" s="5" t="n"/>
      <c r="G756" s="6" t="n"/>
      <c r="H756" s="5" t="n"/>
    </row>
    <row r="757">
      <c r="A757" t="n">
        <v>754</v>
      </c>
      <c r="B757" s="8" t="n"/>
      <c r="C757" s="5" t="n"/>
      <c r="D757" s="5" t="n"/>
      <c r="E757" s="5" t="n"/>
      <c r="F757" s="5" t="n"/>
      <c r="G757" s="6" t="n"/>
      <c r="H757" s="5" t="n"/>
    </row>
    <row r="758">
      <c r="A758" t="n">
        <v>755</v>
      </c>
      <c r="B758" s="8" t="n"/>
      <c r="C758" s="5" t="n"/>
      <c r="D758" s="5" t="n"/>
      <c r="E758" s="5" t="n"/>
      <c r="F758" s="5" t="n"/>
      <c r="G758" s="6" t="n"/>
      <c r="H758" s="5" t="n"/>
    </row>
    <row r="759">
      <c r="A759" t="n">
        <v>756</v>
      </c>
      <c r="B759" s="8" t="n"/>
      <c r="C759" s="5" t="n"/>
      <c r="D759" s="5" t="n"/>
      <c r="E759" s="5" t="n"/>
      <c r="F759" s="5" t="n"/>
      <c r="G759" s="6" t="n"/>
      <c r="H759" s="5" t="n"/>
    </row>
    <row r="760">
      <c r="A760" t="n">
        <v>757</v>
      </c>
      <c r="B760" s="8" t="n"/>
      <c r="C760" s="5" t="n"/>
      <c r="D760" s="5" t="n"/>
      <c r="E760" s="5" t="n"/>
      <c r="F760" s="5" t="n"/>
      <c r="G760" s="6" t="n"/>
      <c r="H760" s="5" t="n"/>
    </row>
    <row r="761">
      <c r="A761" t="n">
        <v>758</v>
      </c>
      <c r="B761" s="8" t="n"/>
      <c r="C761" s="5" t="n"/>
      <c r="D761" s="5" t="n"/>
      <c r="E761" s="5" t="n"/>
      <c r="F761" s="5" t="n"/>
      <c r="G761" s="6" t="n"/>
      <c r="H761" s="5" t="n"/>
    </row>
    <row r="762">
      <c r="A762" t="n">
        <v>759</v>
      </c>
      <c r="B762" s="8" t="n"/>
      <c r="C762" s="5" t="n"/>
      <c r="D762" s="5" t="n"/>
      <c r="E762" s="5" t="n"/>
      <c r="F762" s="5" t="n"/>
      <c r="G762" s="6" t="n"/>
      <c r="H762" s="5" t="n"/>
    </row>
    <row r="763">
      <c r="A763" t="n">
        <v>760</v>
      </c>
      <c r="B763" s="8" t="n"/>
      <c r="C763" s="5" t="n"/>
      <c r="D763" s="5" t="n"/>
      <c r="E763" s="5" t="n"/>
      <c r="F763" s="5" t="n"/>
      <c r="G763" s="6" t="n"/>
      <c r="H763" s="5" t="n"/>
    </row>
    <row r="764">
      <c r="A764" t="n">
        <v>761</v>
      </c>
      <c r="B764" s="8" t="n"/>
      <c r="C764" s="5" t="n"/>
      <c r="D764" s="5" t="n"/>
      <c r="E764" s="5" t="n"/>
      <c r="F764" s="5" t="n"/>
      <c r="G764" s="6" t="n"/>
      <c r="H764" s="5" t="n"/>
    </row>
    <row r="765">
      <c r="A765" t="n">
        <v>762</v>
      </c>
      <c r="B765" s="8" t="n"/>
      <c r="C765" s="5" t="n"/>
      <c r="D765" s="5" t="n"/>
      <c r="E765" s="5" t="n"/>
      <c r="F765" s="5" t="n"/>
      <c r="G765" s="6" t="n"/>
      <c r="H765" s="5" t="n"/>
    </row>
    <row r="766">
      <c r="A766" t="n">
        <v>763</v>
      </c>
      <c r="B766" s="8" t="n"/>
      <c r="C766" s="5" t="n"/>
      <c r="D766" s="5" t="n"/>
      <c r="E766" s="5" t="n"/>
      <c r="F766" s="5" t="n"/>
      <c r="G766" s="6" t="n"/>
      <c r="H766" s="5" t="n"/>
    </row>
    <row r="767">
      <c r="A767" t="n">
        <v>764</v>
      </c>
      <c r="B767" s="8" t="n"/>
      <c r="C767" s="5" t="n"/>
      <c r="D767" s="5" t="n"/>
      <c r="E767" s="5" t="n"/>
      <c r="F767" s="5" t="n"/>
      <c r="G767" s="6" t="n"/>
      <c r="H767" s="5" t="n"/>
    </row>
    <row r="768">
      <c r="A768" t="n">
        <v>765</v>
      </c>
      <c r="B768" s="8" t="n"/>
      <c r="C768" s="5" t="n"/>
      <c r="D768" s="5" t="n"/>
      <c r="E768" s="5" t="n"/>
      <c r="F768" s="5" t="n"/>
      <c r="G768" s="6" t="n"/>
      <c r="H768" s="5" t="n"/>
    </row>
    <row r="769">
      <c r="A769" t="n">
        <v>766</v>
      </c>
      <c r="B769" s="8" t="n"/>
      <c r="C769" s="5" t="n"/>
      <c r="D769" s="5" t="n"/>
      <c r="E769" s="5" t="n"/>
      <c r="F769" s="5" t="n"/>
      <c r="G769" s="6" t="n"/>
      <c r="H769" s="5" t="n"/>
    </row>
    <row r="770">
      <c r="A770" t="n">
        <v>767</v>
      </c>
      <c r="B770" s="8" t="n"/>
      <c r="C770" s="5" t="n"/>
      <c r="D770" s="5" t="n"/>
      <c r="E770" s="5" t="n"/>
      <c r="F770" s="5" t="n"/>
      <c r="G770" s="6" t="n"/>
      <c r="H770" s="5" t="n"/>
    </row>
    <row r="771">
      <c r="A771" t="n">
        <v>768</v>
      </c>
      <c r="B771" s="8" t="n"/>
      <c r="C771" s="5" t="n"/>
      <c r="D771" s="5" t="n"/>
      <c r="E771" s="5" t="n"/>
      <c r="F771" s="5" t="n"/>
      <c r="G771" s="6" t="n"/>
      <c r="H771" s="5" t="n"/>
    </row>
    <row r="772">
      <c r="A772" t="n">
        <v>769</v>
      </c>
      <c r="B772" s="8" t="n"/>
      <c r="C772" s="5" t="n"/>
      <c r="D772" s="5" t="n"/>
      <c r="E772" s="5" t="n"/>
      <c r="F772" s="5" t="n"/>
      <c r="G772" s="6" t="n"/>
      <c r="H772" s="5" t="n"/>
    </row>
    <row r="773">
      <c r="A773" t="n">
        <v>770</v>
      </c>
      <c r="B773" s="8" t="n"/>
      <c r="C773" s="5" t="n"/>
      <c r="D773" s="5" t="n"/>
      <c r="E773" s="5" t="n"/>
      <c r="F773" s="5" t="n"/>
      <c r="G773" s="6" t="n"/>
      <c r="H773" s="5" t="n"/>
    </row>
    <row r="774">
      <c r="A774" t="n">
        <v>771</v>
      </c>
      <c r="B774" s="8" t="n"/>
      <c r="C774" s="5" t="n"/>
      <c r="D774" s="5" t="n"/>
      <c r="E774" s="5" t="n"/>
      <c r="F774" s="5" t="n"/>
      <c r="G774" s="6" t="n"/>
      <c r="H774" s="5" t="n"/>
    </row>
    <row r="775">
      <c r="A775" t="n">
        <v>772</v>
      </c>
      <c r="B775" s="8" t="n"/>
      <c r="C775" s="5" t="n"/>
      <c r="D775" s="5" t="n"/>
      <c r="E775" s="5" t="n"/>
      <c r="F775" s="5" t="n"/>
      <c r="G775" s="6" t="n"/>
      <c r="H775" s="5" t="n"/>
    </row>
    <row r="776">
      <c r="A776" t="n">
        <v>773</v>
      </c>
      <c r="B776" s="8" t="n"/>
      <c r="C776" s="5" t="n"/>
      <c r="D776" s="5" t="n"/>
      <c r="E776" s="5" t="n"/>
      <c r="F776" s="5" t="n"/>
      <c r="G776" s="6" t="n"/>
      <c r="H776" s="5" t="n"/>
    </row>
    <row r="777">
      <c r="A777" t="n">
        <v>774</v>
      </c>
      <c r="B777" s="8" t="n"/>
      <c r="C777" s="5" t="n"/>
      <c r="D777" s="5" t="n"/>
      <c r="E777" s="5" t="n"/>
      <c r="F777" s="5" t="n"/>
      <c r="G777" s="6" t="n"/>
      <c r="H777" s="5" t="n"/>
    </row>
    <row r="778">
      <c r="A778" t="n">
        <v>775</v>
      </c>
      <c r="B778" s="8" t="n"/>
      <c r="C778" s="5" t="n"/>
      <c r="D778" s="5" t="n"/>
      <c r="E778" s="5" t="n"/>
      <c r="F778" s="5" t="n"/>
      <c r="G778" s="6" t="n"/>
      <c r="H778" s="5" t="n"/>
    </row>
    <row r="779">
      <c r="A779" t="n">
        <v>776</v>
      </c>
      <c r="B779" s="8" t="n"/>
      <c r="C779" s="5" t="n"/>
      <c r="D779" s="5" t="n"/>
      <c r="E779" s="5" t="n"/>
      <c r="F779" s="5" t="n"/>
      <c r="G779" s="6" t="n"/>
      <c r="H779" s="5" t="n"/>
    </row>
    <row r="780">
      <c r="A780" t="n">
        <v>777</v>
      </c>
      <c r="B780" s="8" t="n"/>
      <c r="C780" s="5" t="n"/>
      <c r="D780" s="5" t="n"/>
      <c r="E780" s="5" t="n"/>
      <c r="F780" s="5" t="n"/>
      <c r="G780" s="6" t="n"/>
      <c r="H780" s="5" t="n"/>
    </row>
    <row r="781">
      <c r="A781" t="n">
        <v>778</v>
      </c>
      <c r="B781" s="8" t="n"/>
      <c r="C781" s="5" t="n"/>
      <c r="D781" s="5" t="n"/>
      <c r="E781" s="5" t="n"/>
      <c r="F781" s="5" t="n"/>
      <c r="G781" s="6" t="n"/>
      <c r="H781" s="5" t="n"/>
    </row>
    <row r="782">
      <c r="A782" t="n">
        <v>779</v>
      </c>
      <c r="B782" s="8" t="n"/>
      <c r="C782" s="5" t="n"/>
      <c r="D782" s="5" t="n"/>
      <c r="E782" s="5" t="n"/>
      <c r="F782" s="5" t="n"/>
      <c r="G782" s="6" t="n"/>
      <c r="H782" s="5" t="n"/>
    </row>
    <row r="783">
      <c r="A783" t="n">
        <v>780</v>
      </c>
      <c r="B783" s="8" t="n"/>
      <c r="C783" s="5" t="n"/>
      <c r="D783" s="5" t="n"/>
      <c r="E783" s="5" t="n"/>
      <c r="F783" s="5" t="n"/>
      <c r="G783" s="6" t="n"/>
      <c r="H783" s="5" t="n"/>
    </row>
    <row r="784">
      <c r="A784" t="n">
        <v>781</v>
      </c>
      <c r="B784" s="8" t="n"/>
      <c r="C784" s="5" t="n"/>
      <c r="D784" s="5" t="n"/>
      <c r="E784" s="5" t="n"/>
      <c r="F784" s="5" t="n"/>
      <c r="G784" s="6" t="n"/>
      <c r="H784" s="5" t="n"/>
    </row>
    <row r="785">
      <c r="A785" t="n">
        <v>782</v>
      </c>
      <c r="B785" s="8" t="n"/>
      <c r="C785" s="5" t="n"/>
      <c r="D785" s="5" t="n"/>
      <c r="E785" s="5" t="n"/>
      <c r="F785" s="5" t="n"/>
      <c r="G785" s="6" t="n"/>
      <c r="H785" s="5" t="n"/>
    </row>
    <row r="786">
      <c r="A786" t="n">
        <v>783</v>
      </c>
      <c r="B786" s="8" t="n"/>
      <c r="C786" s="5" t="n"/>
      <c r="D786" s="5" t="n"/>
      <c r="E786" s="5" t="n"/>
      <c r="F786" s="5" t="n"/>
      <c r="G786" s="6" t="n"/>
      <c r="H786" s="5" t="n"/>
    </row>
    <row r="787">
      <c r="A787" t="n">
        <v>784</v>
      </c>
      <c r="B787" s="8" t="n"/>
      <c r="C787" s="5" t="n"/>
      <c r="D787" s="5" t="n"/>
      <c r="E787" s="5" t="n"/>
      <c r="F787" s="5" t="n"/>
      <c r="G787" s="6" t="n"/>
      <c r="H787" s="5" t="n"/>
    </row>
    <row r="788">
      <c r="A788" t="n">
        <v>785</v>
      </c>
      <c r="B788" s="8" t="n"/>
      <c r="C788" s="5" t="n"/>
      <c r="D788" s="5" t="n"/>
      <c r="E788" s="5" t="n"/>
      <c r="F788" s="5" t="n"/>
      <c r="G788" s="6" t="n"/>
      <c r="H788" s="5" t="n"/>
    </row>
    <row r="789">
      <c r="A789" t="n">
        <v>786</v>
      </c>
      <c r="B789" s="8" t="n"/>
      <c r="C789" s="5" t="n"/>
      <c r="D789" s="5" t="n"/>
      <c r="E789" s="5" t="n"/>
      <c r="F789" s="5" t="n"/>
      <c r="G789" s="6" t="n"/>
      <c r="H789" s="5" t="n"/>
    </row>
    <row r="790">
      <c r="A790" t="n">
        <v>787</v>
      </c>
      <c r="B790" s="8" t="n"/>
      <c r="C790" s="5" t="n"/>
      <c r="D790" s="5" t="n"/>
      <c r="E790" s="5" t="n"/>
      <c r="F790" s="5" t="n"/>
      <c r="G790" s="6" t="n"/>
      <c r="H790" s="5" t="n"/>
    </row>
    <row r="791">
      <c r="A791" t="n">
        <v>788</v>
      </c>
      <c r="B791" s="8" t="n"/>
      <c r="C791" s="5" t="n"/>
      <c r="D791" s="5" t="n"/>
      <c r="E791" s="5" t="n"/>
      <c r="F791" s="5" t="n"/>
      <c r="G791" s="6" t="n"/>
      <c r="H791" s="5" t="n"/>
    </row>
    <row r="792">
      <c r="A792" t="n">
        <v>789</v>
      </c>
      <c r="B792" s="8" t="n"/>
      <c r="C792" s="5" t="n"/>
      <c r="D792" s="5" t="n"/>
      <c r="E792" s="5" t="n"/>
      <c r="F792" s="5" t="n"/>
      <c r="G792" s="6" t="n"/>
      <c r="H792" s="5" t="n"/>
    </row>
    <row r="793">
      <c r="A793" t="n">
        <v>790</v>
      </c>
      <c r="B793" s="8" t="n"/>
      <c r="C793" s="5" t="n"/>
      <c r="D793" s="5" t="n"/>
      <c r="E793" s="5" t="n"/>
      <c r="F793" s="5" t="n"/>
      <c r="G793" s="6" t="n"/>
      <c r="H793" s="5" t="n"/>
    </row>
    <row r="794">
      <c r="A794" t="n">
        <v>791</v>
      </c>
      <c r="B794" s="8" t="n"/>
      <c r="C794" s="5" t="n"/>
      <c r="D794" s="5" t="n"/>
      <c r="E794" s="5" t="n"/>
      <c r="F794" s="5" t="n"/>
      <c r="G794" s="6" t="n"/>
      <c r="H794" s="5" t="n"/>
    </row>
    <row r="795">
      <c r="A795" t="n">
        <v>792</v>
      </c>
      <c r="B795" s="8" t="n"/>
      <c r="C795" s="5" t="n"/>
      <c r="D795" s="5" t="n"/>
      <c r="E795" s="5" t="n"/>
      <c r="F795" s="5" t="n"/>
      <c r="G795" s="6" t="n"/>
      <c r="H795" s="5" t="n"/>
    </row>
    <row r="796">
      <c r="A796" t="n">
        <v>793</v>
      </c>
      <c r="B796" s="8" t="n"/>
      <c r="C796" s="5" t="n"/>
      <c r="D796" s="5" t="n"/>
      <c r="E796" s="5" t="n"/>
      <c r="F796" s="5" t="n"/>
      <c r="G796" s="6" t="n"/>
      <c r="H796" s="5" t="n"/>
    </row>
    <row r="797">
      <c r="A797" t="n">
        <v>794</v>
      </c>
      <c r="B797" s="8" t="n"/>
      <c r="C797" s="5" t="n"/>
      <c r="D797" s="5" t="n"/>
      <c r="E797" s="5" t="n"/>
      <c r="F797" s="5" t="n"/>
      <c r="G797" s="6" t="n"/>
      <c r="H797" s="5" t="n"/>
    </row>
    <row r="798">
      <c r="A798" t="n">
        <v>795</v>
      </c>
      <c r="B798" s="8" t="n"/>
      <c r="C798" s="5" t="n"/>
      <c r="D798" s="5" t="n"/>
      <c r="E798" s="5" t="n"/>
      <c r="F798" s="5" t="n"/>
      <c r="G798" s="6" t="n"/>
      <c r="H798" s="5" t="n"/>
    </row>
    <row r="799">
      <c r="A799" t="n">
        <v>796</v>
      </c>
      <c r="B799" s="8" t="n"/>
      <c r="C799" s="5" t="n"/>
      <c r="D799" s="5" t="n"/>
      <c r="E799" s="5" t="n"/>
      <c r="F799" s="5" t="n"/>
      <c r="G799" s="6" t="n"/>
      <c r="H799" s="5" t="n"/>
    </row>
    <row r="800">
      <c r="A800" t="n">
        <v>797</v>
      </c>
      <c r="B800" s="8" t="n"/>
      <c r="C800" s="5" t="n"/>
      <c r="D800" s="5" t="n"/>
      <c r="E800" s="5" t="n"/>
      <c r="F800" s="5" t="n"/>
      <c r="G800" s="6" t="n"/>
      <c r="H800" s="5" t="n"/>
    </row>
    <row r="801">
      <c r="A801" t="n">
        <v>798</v>
      </c>
      <c r="B801" s="8" t="n"/>
      <c r="C801" s="5" t="n"/>
      <c r="D801" s="5" t="n"/>
      <c r="E801" s="5" t="n"/>
      <c r="F801" s="5" t="n"/>
      <c r="G801" s="6" t="n"/>
      <c r="H801" s="5" t="n"/>
    </row>
    <row r="802">
      <c r="A802" t="n">
        <v>799</v>
      </c>
      <c r="B802" s="8" t="n"/>
      <c r="C802" s="5" t="n"/>
      <c r="D802" s="5" t="n"/>
      <c r="E802" s="5" t="n"/>
      <c r="F802" s="5" t="n"/>
      <c r="G802" s="6" t="n"/>
      <c r="H802" s="5" t="n"/>
    </row>
    <row r="803">
      <c r="A803" t="n">
        <v>800</v>
      </c>
      <c r="B803" s="8" t="n"/>
      <c r="C803" s="5" t="n"/>
      <c r="D803" s="5" t="n"/>
      <c r="E803" s="5" t="n"/>
      <c r="F803" s="5" t="n"/>
      <c r="G803" s="6" t="n"/>
      <c r="H803" s="5" t="n"/>
    </row>
    <row r="804">
      <c r="A804" t="n">
        <v>801</v>
      </c>
      <c r="B804" s="8" t="n"/>
      <c r="C804" s="5" t="n"/>
      <c r="D804" s="5" t="n"/>
      <c r="E804" s="5" t="n"/>
      <c r="F804" s="5" t="n"/>
      <c r="G804" s="6" t="n"/>
      <c r="H804" s="5" t="n"/>
    </row>
    <row r="805">
      <c r="A805" t="n">
        <v>802</v>
      </c>
      <c r="B805" s="8" t="n"/>
      <c r="C805" s="5" t="n"/>
      <c r="D805" s="5" t="n"/>
      <c r="E805" s="5" t="n"/>
      <c r="F805" s="5" t="n"/>
      <c r="G805" s="6" t="n"/>
      <c r="H805" s="5" t="n"/>
    </row>
    <row r="806">
      <c r="A806" t="n">
        <v>803</v>
      </c>
      <c r="B806" s="8" t="n"/>
      <c r="C806" s="5" t="n"/>
      <c r="D806" s="5" t="n"/>
      <c r="E806" s="5" t="n"/>
      <c r="F806" s="5" t="n"/>
      <c r="G806" s="6" t="n"/>
      <c r="H806" s="5" t="n"/>
    </row>
    <row r="807">
      <c r="A807" t="n">
        <v>804</v>
      </c>
      <c r="B807" s="8" t="n"/>
      <c r="C807" s="5" t="n"/>
      <c r="D807" s="5" t="n"/>
      <c r="E807" s="5" t="n"/>
      <c r="F807" s="5" t="n"/>
      <c r="G807" s="6" t="n"/>
      <c r="H807" s="5" t="n"/>
    </row>
    <row r="808">
      <c r="A808" t="n">
        <v>805</v>
      </c>
      <c r="B808" s="8" t="n"/>
      <c r="C808" s="5" t="n"/>
      <c r="D808" s="5" t="n"/>
      <c r="E808" s="5" t="n"/>
      <c r="F808" s="5" t="n"/>
      <c r="G808" s="6" t="n"/>
      <c r="H808" s="5" t="n"/>
    </row>
    <row r="809">
      <c r="A809" t="n">
        <v>806</v>
      </c>
      <c r="B809" s="8" t="n"/>
      <c r="C809" s="5" t="n"/>
      <c r="D809" s="5" t="n"/>
      <c r="E809" s="5" t="n"/>
      <c r="F809" s="5" t="n"/>
      <c r="G809" s="6" t="n"/>
      <c r="H809" s="5" t="n"/>
    </row>
    <row r="810">
      <c r="A810" t="n">
        <v>807</v>
      </c>
      <c r="B810" s="8" t="n"/>
      <c r="C810" s="5" t="n"/>
      <c r="D810" s="5" t="n"/>
      <c r="E810" s="5" t="n"/>
      <c r="F810" s="5" t="n"/>
      <c r="G810" s="6" t="n"/>
      <c r="H810" s="5" t="n"/>
    </row>
    <row r="811">
      <c r="A811" t="n">
        <v>808</v>
      </c>
      <c r="B811" s="8" t="n"/>
      <c r="C811" s="5" t="n"/>
      <c r="D811" s="5" t="n"/>
      <c r="E811" s="5" t="n"/>
      <c r="F811" s="5" t="n"/>
      <c r="G811" s="6" t="n"/>
      <c r="H811" s="5" t="n"/>
    </row>
    <row r="812">
      <c r="A812" t="n">
        <v>809</v>
      </c>
      <c r="B812" s="8" t="n"/>
      <c r="C812" s="5" t="n"/>
      <c r="D812" s="5" t="n"/>
      <c r="E812" s="5" t="n"/>
      <c r="F812" s="5" t="n"/>
      <c r="G812" s="6" t="n"/>
      <c r="H812" s="5" t="n"/>
    </row>
    <row r="813">
      <c r="A813" t="n">
        <v>810</v>
      </c>
      <c r="B813" s="8" t="n"/>
      <c r="C813" s="5" t="n"/>
      <c r="D813" s="5" t="n"/>
      <c r="E813" s="5" t="n"/>
      <c r="F813" s="5" t="n"/>
      <c r="G813" s="6" t="n"/>
      <c r="H813" s="5" t="n"/>
    </row>
    <row r="814">
      <c r="A814" t="n">
        <v>811</v>
      </c>
      <c r="B814" s="8" t="n"/>
      <c r="C814" s="5" t="n"/>
      <c r="D814" s="5" t="n"/>
      <c r="E814" s="5" t="n"/>
      <c r="F814" s="5" t="n"/>
      <c r="G814" s="6" t="n"/>
      <c r="H814" s="5" t="n"/>
    </row>
    <row r="815">
      <c r="A815" t="n">
        <v>812</v>
      </c>
      <c r="B815" s="8" t="n"/>
      <c r="C815" s="5" t="n"/>
      <c r="D815" s="5" t="n"/>
      <c r="E815" s="5" t="n"/>
      <c r="F815" s="5" t="n"/>
      <c r="G815" s="6" t="n"/>
      <c r="H815" s="5" t="n"/>
    </row>
    <row r="816">
      <c r="A816" t="n">
        <v>813</v>
      </c>
      <c r="B816" s="8" t="n"/>
      <c r="C816" s="5" t="n"/>
      <c r="D816" s="5" t="n"/>
      <c r="E816" s="5" t="n"/>
      <c r="F816" s="5" t="n"/>
      <c r="G816" s="6" t="n"/>
      <c r="H816" s="5" t="n"/>
    </row>
    <row r="817">
      <c r="A817" t="n">
        <v>814</v>
      </c>
      <c r="B817" s="8" t="n"/>
      <c r="C817" s="5" t="n"/>
      <c r="D817" s="5" t="n"/>
      <c r="E817" s="5" t="n"/>
      <c r="F817" s="5" t="n"/>
      <c r="G817" s="6" t="n"/>
      <c r="H817" s="5" t="n"/>
    </row>
    <row r="818">
      <c r="A818" t="n">
        <v>815</v>
      </c>
      <c r="B818" s="8" t="n"/>
      <c r="C818" s="5" t="n"/>
      <c r="D818" s="5" t="n"/>
      <c r="E818" s="5" t="n"/>
      <c r="F818" s="5" t="n"/>
      <c r="G818" s="6" t="n"/>
      <c r="H818" s="5" t="n"/>
    </row>
    <row r="819">
      <c r="A819" t="n">
        <v>816</v>
      </c>
      <c r="B819" s="8" t="n"/>
      <c r="C819" s="5" t="n"/>
      <c r="D819" s="5" t="n"/>
      <c r="E819" s="5" t="n"/>
      <c r="F819" s="5" t="n"/>
      <c r="G819" s="6" t="n"/>
      <c r="H819" s="5" t="n"/>
    </row>
    <row r="820">
      <c r="A820" t="n">
        <v>817</v>
      </c>
      <c r="B820" s="8" t="n"/>
      <c r="C820" s="5" t="n"/>
      <c r="D820" s="5" t="n"/>
      <c r="E820" s="5" t="n"/>
      <c r="F820" s="5" t="n"/>
      <c r="G820" s="6" t="n"/>
      <c r="H820" s="5" t="n"/>
    </row>
    <row r="821">
      <c r="A821" t="n">
        <v>818</v>
      </c>
      <c r="B821" s="8" t="n"/>
      <c r="C821" s="5" t="n"/>
      <c r="D821" s="5" t="n"/>
      <c r="E821" s="5" t="n"/>
      <c r="F821" s="5" t="n"/>
      <c r="G821" s="6" t="n"/>
      <c r="H821" s="5" t="n"/>
    </row>
    <row r="822">
      <c r="A822" t="n">
        <v>819</v>
      </c>
      <c r="B822" s="8" t="n"/>
      <c r="C822" s="5" t="n"/>
      <c r="D822" s="5" t="n"/>
      <c r="E822" s="5" t="n"/>
      <c r="F822" s="5" t="n"/>
      <c r="G822" s="6" t="n"/>
      <c r="H822" s="5" t="n"/>
    </row>
    <row r="823">
      <c r="A823" t="n">
        <v>820</v>
      </c>
      <c r="B823" s="8" t="n"/>
      <c r="C823" s="5" t="n"/>
      <c r="D823" s="5" t="n"/>
      <c r="E823" s="5" t="n"/>
      <c r="F823" s="5" t="n"/>
      <c r="G823" s="6" t="n"/>
      <c r="H823" s="5" t="n"/>
    </row>
    <row r="824">
      <c r="A824" t="n">
        <v>821</v>
      </c>
      <c r="B824" s="8" t="n"/>
      <c r="C824" s="5" t="n"/>
      <c r="D824" s="5" t="n"/>
      <c r="E824" s="5" t="n"/>
      <c r="F824" s="5" t="n"/>
      <c r="G824" s="6" t="n"/>
      <c r="H824" s="5" t="n"/>
    </row>
    <row r="825">
      <c r="A825" t="n">
        <v>822</v>
      </c>
      <c r="B825" s="8" t="n"/>
      <c r="C825" s="5" t="n"/>
      <c r="D825" s="5" t="n"/>
      <c r="E825" s="5" t="n"/>
      <c r="F825" s="5" t="n"/>
      <c r="G825" s="6" t="n"/>
      <c r="H825" s="5" t="n"/>
    </row>
    <row r="826">
      <c r="A826" t="n">
        <v>823</v>
      </c>
      <c r="B826" s="8" t="n"/>
      <c r="C826" s="5" t="n"/>
      <c r="D826" s="5" t="n"/>
      <c r="E826" s="5" t="n"/>
      <c r="F826" s="5" t="n"/>
      <c r="G826" s="6" t="n"/>
      <c r="H826" s="5" t="n"/>
    </row>
    <row r="827">
      <c r="A827" t="n">
        <v>824</v>
      </c>
      <c r="B827" s="8" t="n"/>
      <c r="C827" s="5" t="n"/>
      <c r="D827" s="5" t="n"/>
      <c r="E827" s="5" t="n"/>
      <c r="F827" s="5" t="n"/>
      <c r="G827" s="6" t="n"/>
      <c r="H827" s="5" t="n"/>
    </row>
    <row r="828">
      <c r="A828" t="n">
        <v>825</v>
      </c>
      <c r="B828" s="8" t="n"/>
      <c r="C828" s="5" t="n"/>
      <c r="D828" s="5" t="n"/>
      <c r="E828" s="5" t="n"/>
      <c r="F828" s="5" t="n"/>
      <c r="G828" s="6" t="n"/>
      <c r="H828" s="5" t="n"/>
    </row>
    <row r="829">
      <c r="A829" t="n">
        <v>826</v>
      </c>
      <c r="B829" s="8" t="n"/>
      <c r="C829" s="5" t="n"/>
      <c r="D829" s="5" t="n"/>
      <c r="E829" s="5" t="n"/>
      <c r="F829" s="5" t="n"/>
      <c r="G829" s="6" t="n"/>
      <c r="H829" s="5" t="n"/>
    </row>
    <row r="830">
      <c r="A830" t="n">
        <v>827</v>
      </c>
      <c r="B830" s="8" t="n"/>
      <c r="C830" s="5" t="n"/>
      <c r="D830" s="5" t="n"/>
      <c r="E830" s="5" t="n"/>
      <c r="F830" s="5" t="n"/>
      <c r="G830" s="6" t="n"/>
      <c r="H830" s="5" t="n"/>
    </row>
    <row r="831">
      <c r="A831" t="n">
        <v>828</v>
      </c>
      <c r="B831" s="8" t="n"/>
      <c r="C831" s="5" t="n"/>
      <c r="D831" s="5" t="n"/>
      <c r="E831" s="5" t="n"/>
      <c r="F831" s="5" t="n"/>
      <c r="G831" s="6" t="n"/>
      <c r="H831" s="5" t="n"/>
    </row>
    <row r="832">
      <c r="A832" t="n">
        <v>829</v>
      </c>
      <c r="B832" s="8" t="n"/>
      <c r="C832" s="5" t="n"/>
      <c r="D832" s="5" t="n"/>
      <c r="E832" s="5" t="n"/>
      <c r="F832" s="5" t="n"/>
      <c r="G832" s="6" t="n"/>
      <c r="H832" s="5" t="n"/>
    </row>
    <row r="833">
      <c r="A833" t="n">
        <v>830</v>
      </c>
      <c r="B833" s="8" t="n"/>
      <c r="C833" s="5" t="n"/>
      <c r="D833" s="5" t="n"/>
      <c r="E833" s="5" t="n"/>
      <c r="F833" s="5" t="n"/>
      <c r="G833" s="6" t="n"/>
      <c r="H833" s="5" t="n"/>
    </row>
    <row r="834">
      <c r="A834" t="n">
        <v>831</v>
      </c>
      <c r="B834" s="8" t="n"/>
      <c r="C834" s="5" t="n"/>
      <c r="D834" s="5" t="n"/>
      <c r="E834" s="5" t="n"/>
      <c r="F834" s="5" t="n"/>
      <c r="G834" s="6" t="n"/>
      <c r="H834" s="5" t="n"/>
    </row>
    <row r="835">
      <c r="A835" t="n">
        <v>832</v>
      </c>
      <c r="B835" s="8" t="n"/>
      <c r="C835" s="5" t="n"/>
      <c r="D835" s="5" t="n"/>
      <c r="E835" s="5" t="n"/>
      <c r="F835" s="5" t="n"/>
      <c r="G835" s="6" t="n"/>
      <c r="H835" s="5" t="n"/>
    </row>
    <row r="836">
      <c r="A836" t="n">
        <v>833</v>
      </c>
      <c r="B836" s="8" t="n"/>
      <c r="C836" s="5" t="n"/>
      <c r="D836" s="5" t="n"/>
      <c r="E836" s="5" t="n"/>
      <c r="F836" s="5" t="n"/>
      <c r="G836" s="6" t="n"/>
      <c r="H836" s="5" t="n"/>
    </row>
    <row r="837">
      <c r="A837" t="n">
        <v>834</v>
      </c>
      <c r="B837" s="8" t="n"/>
      <c r="C837" s="5" t="n"/>
      <c r="D837" s="5" t="n"/>
      <c r="E837" s="5" t="n"/>
      <c r="F837" s="5" t="n"/>
      <c r="G837" s="6" t="n"/>
      <c r="H837" s="5" t="n"/>
    </row>
    <row r="838">
      <c r="A838" t="n">
        <v>835</v>
      </c>
      <c r="B838" s="8" t="n"/>
      <c r="C838" s="5" t="n"/>
      <c r="D838" s="5" t="n"/>
      <c r="E838" s="5" t="n"/>
      <c r="F838" s="5" t="n"/>
      <c r="G838" s="6" t="n"/>
      <c r="H838" s="5" t="n"/>
    </row>
    <row r="839">
      <c r="A839" t="n">
        <v>836</v>
      </c>
      <c r="B839" s="8" t="n"/>
      <c r="C839" s="5" t="n"/>
      <c r="D839" s="5" t="n"/>
      <c r="E839" s="5" t="n"/>
      <c r="F839" s="5" t="n"/>
      <c r="G839" s="6" t="n"/>
      <c r="H839" s="5" t="n"/>
    </row>
    <row r="840">
      <c r="A840" t="n">
        <v>837</v>
      </c>
      <c r="B840" s="8" t="n"/>
      <c r="C840" s="5" t="n"/>
      <c r="D840" s="5" t="n"/>
      <c r="E840" s="5" t="n"/>
      <c r="F840" s="5" t="n"/>
      <c r="G840" s="6" t="n"/>
      <c r="H840" s="5" t="n"/>
    </row>
    <row r="841">
      <c r="A841" t="n">
        <v>838</v>
      </c>
      <c r="B841" s="8" t="n"/>
      <c r="C841" s="5" t="n"/>
      <c r="D841" s="5" t="n"/>
      <c r="E841" s="5" t="n"/>
      <c r="F841" s="5" t="n"/>
      <c r="G841" s="6" t="n"/>
      <c r="H841" s="5" t="n"/>
    </row>
    <row r="842">
      <c r="A842" t="n">
        <v>839</v>
      </c>
      <c r="B842" s="8" t="n"/>
      <c r="C842" s="5" t="n"/>
      <c r="D842" s="5" t="n"/>
      <c r="E842" s="5" t="n"/>
      <c r="F842" s="5" t="n"/>
      <c r="G842" s="6" t="n"/>
      <c r="H842" s="5" t="n"/>
    </row>
    <row r="843">
      <c r="A843" t="n">
        <v>840</v>
      </c>
      <c r="B843" s="8" t="n"/>
      <c r="C843" s="5" t="n"/>
      <c r="D843" s="5" t="n"/>
      <c r="E843" s="5" t="n"/>
      <c r="F843" s="5" t="n"/>
      <c r="G843" s="6" t="n"/>
      <c r="H843" s="5" t="n"/>
    </row>
    <row r="844">
      <c r="A844" t="n">
        <v>841</v>
      </c>
      <c r="B844" s="8" t="n"/>
      <c r="C844" s="5" t="n"/>
      <c r="D844" s="5" t="n"/>
      <c r="E844" s="5" t="n"/>
      <c r="F844" s="5" t="n"/>
      <c r="G844" s="6" t="n"/>
      <c r="H844" s="5" t="n"/>
    </row>
    <row r="845">
      <c r="A845" t="n">
        <v>842</v>
      </c>
      <c r="B845" s="8" t="n"/>
      <c r="C845" s="5" t="n"/>
      <c r="D845" s="5" t="n"/>
      <c r="E845" s="5" t="n"/>
      <c r="F845" s="5" t="n"/>
      <c r="G845" s="6" t="n"/>
      <c r="H845" s="5" t="n"/>
    </row>
    <row r="846">
      <c r="A846" t="n">
        <v>843</v>
      </c>
      <c r="B846" s="8" t="n"/>
      <c r="C846" s="5" t="n"/>
      <c r="D846" s="5" t="n"/>
      <c r="E846" s="5" t="n"/>
      <c r="F846" s="5" t="n"/>
      <c r="G846" s="6" t="n"/>
      <c r="H846" s="5" t="n"/>
    </row>
    <row r="847">
      <c r="A847" t="n">
        <v>844</v>
      </c>
      <c r="B847" s="8" t="n"/>
      <c r="C847" s="5" t="n"/>
      <c r="D847" s="5" t="n"/>
      <c r="E847" s="5" t="n"/>
      <c r="F847" s="5" t="n"/>
      <c r="G847" s="6" t="n"/>
      <c r="H847" s="5" t="n"/>
    </row>
    <row r="848">
      <c r="A848" t="n">
        <v>845</v>
      </c>
      <c r="B848" s="8" t="n"/>
      <c r="C848" s="5" t="n"/>
      <c r="D848" s="5" t="n"/>
      <c r="E848" s="5" t="n"/>
      <c r="F848" s="5" t="n"/>
      <c r="G848" s="6" t="n"/>
      <c r="H848" s="5" t="n"/>
    </row>
    <row r="849">
      <c r="A849" t="n">
        <v>846</v>
      </c>
      <c r="B849" s="8" t="n"/>
      <c r="C849" s="5" t="n"/>
      <c r="D849" s="5" t="n"/>
      <c r="E849" s="5" t="n"/>
      <c r="F849" s="5" t="n"/>
      <c r="G849" s="6" t="n"/>
      <c r="H849" s="5" t="n"/>
    </row>
    <row r="850">
      <c r="A850" t="n">
        <v>847</v>
      </c>
      <c r="B850" s="8" t="n"/>
      <c r="C850" s="5" t="n"/>
      <c r="D850" s="5" t="n"/>
      <c r="E850" s="5" t="n"/>
      <c r="F850" s="5" t="n"/>
      <c r="G850" s="6" t="n"/>
      <c r="H850" s="5" t="n"/>
    </row>
    <row r="851">
      <c r="A851" t="n">
        <v>848</v>
      </c>
      <c r="B851" s="8" t="n"/>
      <c r="C851" s="5" t="n"/>
      <c r="D851" s="5" t="n"/>
      <c r="E851" s="5" t="n"/>
      <c r="F851" s="5" t="n"/>
      <c r="G851" s="6" t="n"/>
      <c r="H851" s="5" t="n"/>
    </row>
    <row r="852">
      <c r="A852" t="n">
        <v>849</v>
      </c>
      <c r="B852" s="8" t="n"/>
      <c r="C852" s="5" t="n"/>
      <c r="D852" s="5" t="n"/>
      <c r="E852" s="5" t="n"/>
      <c r="F852" s="5" t="n"/>
      <c r="G852" s="6" t="n"/>
      <c r="H852" s="5" t="n"/>
    </row>
    <row r="853">
      <c r="A853" t="n">
        <v>850</v>
      </c>
      <c r="B853" s="8" t="n"/>
      <c r="C853" s="5" t="n"/>
      <c r="D853" s="5" t="n"/>
      <c r="E853" s="5" t="n"/>
      <c r="F853" s="5" t="n"/>
      <c r="G853" s="6" t="n"/>
      <c r="H853" s="5" t="n"/>
    </row>
    <row r="854">
      <c r="A854" t="n">
        <v>851</v>
      </c>
      <c r="B854" s="8" t="n"/>
      <c r="C854" s="5" t="n"/>
      <c r="D854" s="5" t="n"/>
      <c r="E854" s="5" t="n"/>
      <c r="F854" s="5" t="n"/>
      <c r="G854" s="6" t="n"/>
      <c r="H854" s="5" t="n"/>
    </row>
    <row r="855">
      <c r="A855" t="n">
        <v>852</v>
      </c>
      <c r="B855" s="8" t="n"/>
      <c r="C855" s="5" t="n"/>
      <c r="D855" s="5" t="n"/>
      <c r="E855" s="5" t="n"/>
      <c r="F855" s="5" t="n"/>
      <c r="G855" s="6" t="n"/>
      <c r="H855" s="5" t="n"/>
    </row>
    <row r="856">
      <c r="A856" t="n">
        <v>853</v>
      </c>
      <c r="B856" s="8" t="n"/>
      <c r="C856" s="5" t="n"/>
      <c r="D856" s="5" t="n"/>
      <c r="E856" s="5" t="n"/>
      <c r="F856" s="5" t="n"/>
      <c r="G856" s="6" t="n"/>
      <c r="H856" s="5" t="n"/>
    </row>
    <row r="857">
      <c r="A857" t="n">
        <v>854</v>
      </c>
      <c r="B857" s="8" t="n"/>
      <c r="C857" s="5" t="n"/>
      <c r="D857" s="5" t="n"/>
      <c r="E857" s="5" t="n"/>
      <c r="F857" s="5" t="n"/>
      <c r="G857" s="6" t="n"/>
      <c r="H857" s="5" t="n"/>
    </row>
    <row r="858">
      <c r="A858" t="n">
        <v>855</v>
      </c>
      <c r="B858" s="8" t="n"/>
      <c r="C858" s="5" t="n"/>
      <c r="D858" s="5" t="n"/>
      <c r="E858" s="5" t="n"/>
      <c r="F858" s="5" t="n"/>
      <c r="G858" s="6" t="n"/>
      <c r="H858" s="5" t="n"/>
    </row>
    <row r="859">
      <c r="A859" t="n">
        <v>856</v>
      </c>
      <c r="B859" s="8" t="n"/>
      <c r="C859" s="5" t="n"/>
      <c r="D859" s="5" t="n"/>
      <c r="E859" s="5" t="n"/>
      <c r="F859" s="5" t="n"/>
      <c r="G859" s="6" t="n"/>
      <c r="H859" s="5" t="n"/>
    </row>
    <row r="860">
      <c r="A860" t="n">
        <v>857</v>
      </c>
      <c r="B860" s="8" t="n"/>
      <c r="C860" s="5" t="n"/>
      <c r="D860" s="5" t="n"/>
      <c r="E860" s="5" t="n"/>
      <c r="F860" s="5" t="n"/>
      <c r="G860" s="6" t="n"/>
      <c r="H860" s="5" t="n"/>
    </row>
    <row r="861">
      <c r="A861" t="n">
        <v>858</v>
      </c>
      <c r="B861" s="8" t="n"/>
      <c r="C861" s="5" t="n"/>
      <c r="D861" s="5" t="n"/>
      <c r="E861" s="5" t="n"/>
      <c r="F861" s="5" t="n"/>
      <c r="G861" s="6" t="n"/>
      <c r="H861" s="5" t="n"/>
    </row>
    <row r="862">
      <c r="A862" t="n">
        <v>859</v>
      </c>
      <c r="B862" s="8" t="n"/>
      <c r="C862" s="5" t="n"/>
      <c r="D862" s="5" t="n"/>
      <c r="E862" s="5" t="n"/>
      <c r="F862" s="5" t="n"/>
      <c r="G862" s="6" t="n"/>
      <c r="H862" s="5" t="n"/>
    </row>
    <row r="863">
      <c r="A863" t="n">
        <v>860</v>
      </c>
      <c r="B863" s="8" t="n"/>
      <c r="C863" s="5" t="n"/>
      <c r="D863" s="5" t="n"/>
      <c r="E863" s="5" t="n"/>
      <c r="F863" s="5" t="n"/>
      <c r="G863" s="6" t="n"/>
      <c r="H863" s="5" t="n"/>
    </row>
    <row r="864">
      <c r="A864" t="n">
        <v>861</v>
      </c>
      <c r="B864" s="8" t="n"/>
      <c r="C864" s="5" t="n"/>
      <c r="D864" s="5" t="n"/>
      <c r="E864" s="5" t="n"/>
      <c r="F864" s="5" t="n"/>
      <c r="G864" s="6" t="n"/>
      <c r="H864" s="5" t="n"/>
    </row>
    <row r="865">
      <c r="A865" t="n">
        <v>862</v>
      </c>
      <c r="B865" s="8" t="n"/>
      <c r="C865" s="5" t="n"/>
      <c r="D865" s="5" t="n"/>
      <c r="E865" s="5" t="n"/>
      <c r="F865" s="5" t="n"/>
      <c r="G865" s="6" t="n"/>
      <c r="H865" s="5" t="n"/>
    </row>
    <row r="866">
      <c r="A866" t="n">
        <v>863</v>
      </c>
      <c r="B866" s="8" t="n"/>
      <c r="C866" s="5" t="n"/>
      <c r="D866" s="5" t="n"/>
      <c r="E866" s="5" t="n"/>
      <c r="F866" s="5" t="n"/>
      <c r="G866" s="6" t="n"/>
      <c r="H866" s="5" t="n"/>
    </row>
    <row r="867">
      <c r="A867" t="n">
        <v>864</v>
      </c>
      <c r="B867" s="8" t="n"/>
      <c r="C867" s="5" t="n"/>
      <c r="D867" s="5" t="n"/>
      <c r="E867" s="5" t="n"/>
      <c r="F867" s="5" t="n"/>
      <c r="G867" s="6" t="n"/>
      <c r="H867" s="5" t="n"/>
    </row>
    <row r="868">
      <c r="A868" t="n">
        <v>865</v>
      </c>
      <c r="B868" s="8" t="n"/>
      <c r="C868" s="5" t="n"/>
      <c r="D868" s="5" t="n"/>
      <c r="E868" s="5" t="n"/>
      <c r="F868" s="5" t="n"/>
      <c r="G868" s="6" t="n"/>
      <c r="H868" s="5" t="n"/>
    </row>
    <row r="869">
      <c r="A869" t="n">
        <v>866</v>
      </c>
      <c r="B869" s="8" t="n"/>
      <c r="C869" s="5" t="n"/>
      <c r="D869" s="5" t="n"/>
      <c r="E869" s="5" t="n"/>
      <c r="F869" s="5" t="n"/>
      <c r="G869" s="6" t="n"/>
      <c r="H869" s="5" t="n"/>
    </row>
    <row r="870">
      <c r="A870" t="n">
        <v>867</v>
      </c>
      <c r="B870" s="8" t="n"/>
      <c r="C870" s="5" t="n"/>
      <c r="D870" s="5" t="n"/>
      <c r="E870" s="5" t="n"/>
      <c r="F870" s="5" t="n"/>
      <c r="G870" s="6" t="n"/>
      <c r="H870" s="5" t="n"/>
    </row>
    <row r="871">
      <c r="A871" t="n">
        <v>868</v>
      </c>
      <c r="B871" s="8" t="n"/>
      <c r="C871" s="5" t="n"/>
      <c r="D871" s="5" t="n"/>
      <c r="E871" s="5" t="n"/>
      <c r="F871" s="5" t="n"/>
      <c r="G871" s="6" t="n"/>
      <c r="H871" s="5" t="n"/>
    </row>
    <row r="872">
      <c r="A872" t="n">
        <v>869</v>
      </c>
      <c r="B872" s="8" t="n"/>
      <c r="C872" s="5" t="n"/>
      <c r="D872" s="5" t="n"/>
      <c r="E872" s="5" t="n"/>
      <c r="F872" s="5" t="n"/>
      <c r="G872" s="6" t="n"/>
      <c r="H872" s="5" t="n"/>
    </row>
    <row r="873">
      <c r="A873" t="n">
        <v>870</v>
      </c>
      <c r="B873" s="8" t="n"/>
      <c r="C873" s="5" t="n"/>
      <c r="D873" s="5" t="n"/>
      <c r="E873" s="5" t="n"/>
      <c r="F873" s="5" t="n"/>
      <c r="G873" s="6" t="n"/>
      <c r="H873" s="5" t="n"/>
    </row>
    <row r="874">
      <c r="A874" t="n">
        <v>871</v>
      </c>
      <c r="B874" s="8" t="n"/>
      <c r="C874" s="5" t="n"/>
      <c r="D874" s="5" t="n"/>
      <c r="E874" s="5" t="n"/>
      <c r="F874" s="5" t="n"/>
      <c r="G874" s="6" t="n"/>
      <c r="H874" s="5" t="n"/>
    </row>
    <row r="875">
      <c r="A875" t="n">
        <v>872</v>
      </c>
      <c r="B875" s="8" t="n"/>
      <c r="C875" s="5" t="n"/>
      <c r="D875" s="5" t="n"/>
      <c r="E875" s="5" t="n"/>
      <c r="F875" s="5" t="n"/>
      <c r="G875" s="6" t="n"/>
      <c r="H875" s="5" t="n"/>
    </row>
    <row r="876">
      <c r="A876" t="n">
        <v>873</v>
      </c>
      <c r="B876" s="8" t="n"/>
      <c r="C876" s="5" t="n"/>
      <c r="D876" s="5" t="n"/>
      <c r="E876" s="5" t="n"/>
      <c r="F876" s="5" t="n"/>
      <c r="G876" s="6" t="n"/>
      <c r="H876" s="5" t="n"/>
    </row>
    <row r="877">
      <c r="A877" t="n">
        <v>874</v>
      </c>
      <c r="B877" s="8" t="n"/>
      <c r="C877" s="5" t="n"/>
      <c r="D877" s="5" t="n"/>
      <c r="E877" s="5" t="n"/>
      <c r="F877" s="5" t="n"/>
      <c r="G877" s="6" t="n"/>
      <c r="H877" s="5" t="n"/>
    </row>
    <row r="878">
      <c r="A878" t="n">
        <v>875</v>
      </c>
      <c r="B878" s="8" t="n"/>
      <c r="C878" s="5" t="n"/>
      <c r="D878" s="5" t="n"/>
      <c r="E878" s="5" t="n"/>
      <c r="F878" s="5" t="n"/>
      <c r="G878" s="6" t="n"/>
      <c r="H878" s="5" t="n"/>
    </row>
    <row r="879">
      <c r="A879" t="n">
        <v>876</v>
      </c>
      <c r="B879" s="8" t="n"/>
      <c r="C879" s="5" t="n"/>
      <c r="D879" s="5" t="n"/>
      <c r="E879" s="5" t="n"/>
      <c r="F879" s="5" t="n"/>
      <c r="G879" s="6" t="n"/>
      <c r="H879" s="5" t="n"/>
    </row>
    <row r="880">
      <c r="A880" t="n">
        <v>877</v>
      </c>
      <c r="B880" s="8" t="n"/>
      <c r="C880" s="5" t="n"/>
      <c r="D880" s="5" t="n"/>
      <c r="E880" s="5" t="n"/>
      <c r="F880" s="5" t="n"/>
      <c r="G880" s="6" t="n"/>
      <c r="H880" s="5" t="n"/>
    </row>
    <row r="881">
      <c r="A881" t="n">
        <v>878</v>
      </c>
      <c r="B881" s="8" t="n"/>
      <c r="C881" s="5" t="n"/>
      <c r="D881" s="5" t="n"/>
      <c r="E881" s="5" t="n"/>
      <c r="F881" s="5" t="n"/>
      <c r="G881" s="6" t="n"/>
      <c r="H881" s="5" t="n"/>
    </row>
    <row r="882">
      <c r="A882" t="n">
        <v>879</v>
      </c>
      <c r="B882" s="8" t="n"/>
      <c r="C882" s="5" t="n"/>
      <c r="D882" s="5" t="n"/>
      <c r="E882" s="5" t="n"/>
      <c r="F882" s="5" t="n"/>
      <c r="G882" s="6" t="n"/>
      <c r="H882" s="5" t="n"/>
    </row>
    <row r="883">
      <c r="A883" t="n">
        <v>880</v>
      </c>
      <c r="B883" s="8" t="n"/>
      <c r="C883" s="5" t="n"/>
      <c r="D883" s="5" t="n"/>
      <c r="E883" s="5" t="n"/>
      <c r="F883" s="5" t="n"/>
      <c r="G883" s="6" t="n"/>
      <c r="H883" s="5" t="n"/>
    </row>
    <row r="884">
      <c r="A884" t="n">
        <v>881</v>
      </c>
      <c r="B884" s="8" t="n"/>
      <c r="C884" s="5" t="n"/>
      <c r="D884" s="5" t="n"/>
      <c r="E884" s="5" t="n"/>
      <c r="F884" s="5" t="n"/>
      <c r="G884" s="6" t="n"/>
      <c r="H884" s="5" t="n"/>
    </row>
    <row r="885">
      <c r="A885" t="n">
        <v>882</v>
      </c>
      <c r="B885" s="8" t="n"/>
      <c r="C885" s="5" t="n"/>
      <c r="D885" s="5" t="n"/>
      <c r="E885" s="5" t="n"/>
      <c r="F885" s="5" t="n"/>
      <c r="G885" s="6" t="n"/>
      <c r="H885" s="5" t="n"/>
    </row>
    <row r="886">
      <c r="A886" t="n">
        <v>883</v>
      </c>
      <c r="B886" s="8" t="n"/>
      <c r="C886" s="5" t="n"/>
      <c r="D886" s="5" t="n"/>
      <c r="E886" s="5" t="n"/>
      <c r="F886" s="5" t="n"/>
      <c r="G886" s="6" t="n"/>
      <c r="H886" s="5" t="n"/>
    </row>
    <row r="887">
      <c r="A887" t="n">
        <v>884</v>
      </c>
      <c r="B887" s="8" t="n"/>
      <c r="C887" s="5" t="n"/>
      <c r="D887" s="5" t="n"/>
      <c r="E887" s="5" t="n"/>
      <c r="F887" s="5" t="n"/>
      <c r="G887" s="6" t="n"/>
      <c r="H887" s="5" t="n"/>
    </row>
    <row r="888">
      <c r="A888" t="n">
        <v>885</v>
      </c>
      <c r="B888" s="8" t="n"/>
      <c r="C888" s="5" t="n"/>
      <c r="D888" s="5" t="n"/>
      <c r="E888" s="5" t="n"/>
      <c r="F888" s="5" t="n"/>
      <c r="G888" s="6" t="n"/>
      <c r="H888" s="5" t="n"/>
    </row>
    <row r="889">
      <c r="A889" t="n">
        <v>886</v>
      </c>
      <c r="B889" s="8" t="n"/>
      <c r="C889" s="5" t="n"/>
      <c r="D889" s="5" t="n"/>
      <c r="E889" s="5" t="n"/>
      <c r="F889" s="5" t="n"/>
      <c r="G889" s="6" t="n"/>
      <c r="H889" s="5" t="n"/>
    </row>
    <row r="890">
      <c r="A890" t="n">
        <v>887</v>
      </c>
      <c r="B890" s="8" t="n"/>
      <c r="C890" s="5" t="n"/>
      <c r="D890" s="5" t="n"/>
      <c r="E890" s="5" t="n"/>
      <c r="F890" s="5" t="n"/>
      <c r="G890" s="6" t="n"/>
      <c r="H890" s="5" t="n"/>
    </row>
    <row r="891">
      <c r="A891" t="n">
        <v>888</v>
      </c>
      <c r="B891" s="8" t="n"/>
      <c r="C891" s="5" t="n"/>
      <c r="D891" s="5" t="n"/>
      <c r="E891" s="5" t="n"/>
      <c r="F891" s="5" t="n"/>
      <c r="G891" s="6" t="n"/>
      <c r="H891" s="5" t="n"/>
    </row>
    <row r="892">
      <c r="A892" t="n">
        <v>889</v>
      </c>
      <c r="B892" s="8" t="n"/>
      <c r="C892" s="5" t="n"/>
      <c r="D892" s="5" t="n"/>
      <c r="E892" s="5" t="n"/>
      <c r="F892" s="5" t="n"/>
      <c r="G892" s="6" t="n"/>
      <c r="H892" s="5" t="n"/>
    </row>
    <row r="893">
      <c r="A893" t="n">
        <v>890</v>
      </c>
      <c r="B893" s="8" t="n"/>
      <c r="C893" s="5" t="n"/>
      <c r="D893" s="5" t="n"/>
      <c r="E893" s="5" t="n"/>
      <c r="F893" s="5" t="n"/>
      <c r="G893" s="6" t="n"/>
      <c r="H893" s="5" t="n"/>
    </row>
    <row r="894">
      <c r="A894" t="n">
        <v>891</v>
      </c>
      <c r="B894" s="8" t="n"/>
      <c r="C894" s="5" t="n"/>
      <c r="D894" s="5" t="n"/>
      <c r="E894" s="5" t="n"/>
      <c r="F894" s="5" t="n"/>
      <c r="G894" s="6" t="n"/>
      <c r="H894" s="5" t="n"/>
    </row>
    <row r="895">
      <c r="A895" t="n">
        <v>892</v>
      </c>
      <c r="B895" s="8" t="n"/>
      <c r="C895" s="5" t="n"/>
      <c r="D895" s="5" t="n"/>
      <c r="E895" s="5" t="n"/>
      <c r="F895" s="5" t="n"/>
      <c r="G895" s="6" t="n"/>
      <c r="H895" s="5" t="n"/>
    </row>
    <row r="896">
      <c r="A896" t="n">
        <v>893</v>
      </c>
      <c r="B896" s="8" t="n"/>
      <c r="C896" s="5" t="n"/>
      <c r="D896" s="5" t="n"/>
      <c r="E896" s="5" t="n"/>
      <c r="F896" s="5" t="n"/>
      <c r="G896" s="6" t="n"/>
      <c r="H896" s="5" t="n"/>
    </row>
    <row r="897">
      <c r="A897" t="n">
        <v>894</v>
      </c>
      <c r="B897" s="8" t="n"/>
      <c r="C897" s="5" t="n"/>
      <c r="D897" s="5" t="n"/>
      <c r="E897" s="5" t="n"/>
      <c r="F897" s="5" t="n"/>
      <c r="G897" s="6" t="n"/>
      <c r="H897" s="5" t="n"/>
    </row>
    <row r="898">
      <c r="A898" t="n">
        <v>895</v>
      </c>
      <c r="B898" s="8" t="n"/>
      <c r="C898" s="5" t="n"/>
      <c r="D898" s="5" t="n"/>
      <c r="E898" s="5" t="n"/>
      <c r="F898" s="5" t="n"/>
      <c r="G898" s="6" t="n"/>
      <c r="H898" s="5" t="n"/>
    </row>
    <row r="899">
      <c r="A899" t="n">
        <v>896</v>
      </c>
      <c r="B899" s="8" t="n"/>
      <c r="C899" s="5" t="n"/>
      <c r="D899" s="5" t="n"/>
      <c r="E899" s="5" t="n"/>
      <c r="F899" s="5" t="n"/>
      <c r="G899" s="6" t="n"/>
      <c r="H899" s="5" t="n"/>
    </row>
    <row r="900">
      <c r="A900" t="n">
        <v>897</v>
      </c>
      <c r="B900" s="8" t="n"/>
      <c r="C900" s="5" t="n"/>
      <c r="D900" s="5" t="n"/>
      <c r="E900" s="5" t="n"/>
      <c r="F900" s="5" t="n"/>
      <c r="G900" s="6" t="n"/>
      <c r="H900" s="5" t="n"/>
    </row>
    <row r="901">
      <c r="A901" t="n">
        <v>898</v>
      </c>
      <c r="B901" s="8" t="n"/>
      <c r="C901" s="5" t="n"/>
      <c r="D901" s="5" t="n"/>
      <c r="E901" s="5" t="n"/>
      <c r="F901" s="5" t="n"/>
      <c r="G901" s="6" t="n"/>
      <c r="H901" s="5" t="n"/>
    </row>
    <row r="902">
      <c r="A902" t="n">
        <v>899</v>
      </c>
      <c r="B902" s="8" t="n"/>
      <c r="C902" s="5" t="n"/>
      <c r="D902" s="5" t="n"/>
      <c r="E902" s="5" t="n"/>
      <c r="F902" s="5" t="n"/>
      <c r="G902" s="6" t="n"/>
      <c r="H902" s="5" t="n"/>
    </row>
    <row r="903">
      <c r="A903" t="n">
        <v>900</v>
      </c>
      <c r="B903" s="8" t="n"/>
      <c r="C903" s="5" t="n"/>
      <c r="D903" s="5" t="n"/>
      <c r="E903" s="5" t="n"/>
      <c r="F903" s="5" t="n"/>
      <c r="G903" s="6" t="n"/>
      <c r="H903" s="5" t="n"/>
    </row>
    <row r="904">
      <c r="A904" t="n">
        <v>901</v>
      </c>
      <c r="B904" s="8" t="n"/>
      <c r="C904" s="5" t="n"/>
      <c r="D904" s="5" t="n"/>
      <c r="E904" s="5" t="n"/>
      <c r="F904" s="5" t="n"/>
      <c r="G904" s="6" t="n"/>
      <c r="H904" s="5" t="n"/>
    </row>
    <row r="905">
      <c r="A905" t="n">
        <v>902</v>
      </c>
      <c r="B905" s="8" t="n"/>
      <c r="C905" s="5" t="n"/>
      <c r="D905" s="5" t="n"/>
      <c r="E905" s="5" t="n"/>
      <c r="F905" s="5" t="n"/>
      <c r="G905" s="6" t="n"/>
      <c r="H905" s="5" t="n"/>
    </row>
    <row r="906">
      <c r="A906" t="n">
        <v>903</v>
      </c>
      <c r="B906" s="8" t="n"/>
      <c r="C906" s="5" t="n"/>
      <c r="D906" s="5" t="n"/>
      <c r="E906" s="5" t="n"/>
      <c r="F906" s="5" t="n"/>
      <c r="G906" s="6" t="n"/>
      <c r="H906" s="5" t="n"/>
    </row>
    <row r="907">
      <c r="A907" t="n">
        <v>904</v>
      </c>
      <c r="B907" s="8" t="n"/>
      <c r="C907" s="5" t="n"/>
      <c r="D907" s="5" t="n"/>
      <c r="E907" s="5" t="n"/>
      <c r="F907" s="5" t="n"/>
      <c r="G907" s="6" t="n"/>
      <c r="H907" s="5" t="n"/>
    </row>
    <row r="908">
      <c r="A908" t="n">
        <v>905</v>
      </c>
      <c r="B908" s="8" t="n"/>
      <c r="C908" s="5" t="n"/>
      <c r="D908" s="5" t="n"/>
      <c r="E908" s="5" t="n"/>
      <c r="F908" s="5" t="n"/>
      <c r="G908" s="6" t="n"/>
      <c r="H908" s="5" t="n"/>
    </row>
    <row r="909">
      <c r="A909" t="n">
        <v>906</v>
      </c>
      <c r="B909" s="8" t="n"/>
      <c r="C909" s="5" t="n"/>
      <c r="D909" s="5" t="n"/>
      <c r="E909" s="5" t="n"/>
      <c r="F909" s="5" t="n"/>
      <c r="G909" s="6" t="n"/>
      <c r="H909" s="5" t="n"/>
    </row>
    <row r="910">
      <c r="A910" t="n">
        <v>907</v>
      </c>
      <c r="B910" s="8" t="n"/>
      <c r="C910" s="5" t="n"/>
      <c r="D910" s="5" t="n"/>
      <c r="E910" s="5" t="n"/>
      <c r="F910" s="5" t="n"/>
      <c r="G910" s="6" t="n"/>
      <c r="H910" s="5" t="n"/>
    </row>
    <row r="911">
      <c r="A911" t="n">
        <v>908</v>
      </c>
      <c r="B911" s="8" t="n"/>
      <c r="C911" s="5" t="n"/>
      <c r="D911" s="5" t="n"/>
      <c r="E911" s="5" t="n"/>
      <c r="F911" s="5" t="n"/>
      <c r="G911" s="6" t="n"/>
      <c r="H911" s="5" t="n"/>
    </row>
    <row r="912">
      <c r="A912" t="n">
        <v>909</v>
      </c>
      <c r="B912" s="8" t="n"/>
      <c r="C912" s="5" t="n"/>
      <c r="D912" s="5" t="n"/>
      <c r="E912" s="5" t="n"/>
      <c r="F912" s="5" t="n"/>
      <c r="G912" s="6" t="n"/>
      <c r="H912" s="5" t="n"/>
    </row>
    <row r="913">
      <c r="A913" t="n">
        <v>910</v>
      </c>
      <c r="B913" s="8" t="n"/>
      <c r="C913" s="5" t="n"/>
      <c r="D913" s="5" t="n"/>
      <c r="E913" s="5" t="n"/>
      <c r="F913" s="5" t="n"/>
      <c r="G913" s="6" t="n"/>
      <c r="H913" s="5" t="n"/>
    </row>
    <row r="914">
      <c r="A914" t="n">
        <v>911</v>
      </c>
      <c r="B914" s="8" t="n"/>
      <c r="C914" s="5" t="n"/>
      <c r="D914" s="5" t="n"/>
      <c r="E914" s="5" t="n"/>
      <c r="F914" s="5" t="n"/>
      <c r="G914" s="6" t="n"/>
      <c r="H914" s="5" t="n"/>
    </row>
    <row r="915">
      <c r="A915" t="n">
        <v>912</v>
      </c>
      <c r="B915" s="8" t="n"/>
      <c r="C915" s="5" t="n"/>
      <c r="D915" s="5" t="n"/>
      <c r="E915" s="5" t="n"/>
      <c r="F915" s="5" t="n"/>
      <c r="G915" s="6" t="n"/>
      <c r="H915" s="5" t="n"/>
    </row>
    <row r="916">
      <c r="A916" t="n">
        <v>913</v>
      </c>
      <c r="B916" s="8" t="n"/>
      <c r="C916" s="5" t="n"/>
      <c r="D916" s="5" t="n"/>
      <c r="E916" s="5" t="n"/>
      <c r="F916" s="5" t="n"/>
      <c r="G916" s="6" t="n"/>
      <c r="H916" s="5" t="n"/>
    </row>
    <row r="917">
      <c r="A917" t="n">
        <v>914</v>
      </c>
      <c r="B917" s="8" t="n"/>
      <c r="C917" s="5" t="n"/>
      <c r="D917" s="5" t="n"/>
      <c r="E917" s="5" t="n"/>
      <c r="F917" s="5" t="n"/>
      <c r="G917" s="6" t="n"/>
      <c r="H917" s="5" t="n"/>
    </row>
    <row r="918">
      <c r="A918" t="n">
        <v>915</v>
      </c>
      <c r="B918" s="8" t="n"/>
      <c r="C918" s="5" t="n"/>
      <c r="D918" s="5" t="n"/>
      <c r="E918" s="5" t="n"/>
      <c r="F918" s="5" t="n"/>
      <c r="G918" s="6" t="n"/>
      <c r="H918" s="5" t="n"/>
    </row>
    <row r="919">
      <c r="A919" t="n">
        <v>916</v>
      </c>
      <c r="B919" s="8" t="n"/>
      <c r="C919" s="5" t="n"/>
      <c r="D919" s="5" t="n"/>
      <c r="E919" s="5" t="n"/>
      <c r="F919" s="5" t="n"/>
      <c r="G919" s="6" t="n"/>
      <c r="H919" s="5" t="n"/>
    </row>
    <row r="920">
      <c r="A920" t="n">
        <v>917</v>
      </c>
      <c r="B920" s="8" t="n"/>
      <c r="C920" s="5" t="n"/>
      <c r="D920" s="5" t="n"/>
      <c r="E920" s="5" t="n"/>
      <c r="F920" s="5" t="n"/>
      <c r="G920" s="6" t="n"/>
      <c r="H920" s="5" t="n"/>
    </row>
    <row r="921">
      <c r="A921" t="n">
        <v>918</v>
      </c>
      <c r="B921" s="8" t="n"/>
      <c r="C921" s="5" t="n"/>
      <c r="D921" s="5" t="n"/>
      <c r="E921" s="5" t="n"/>
      <c r="F921" s="5" t="n"/>
      <c r="G921" s="6" t="n"/>
      <c r="H921" s="5" t="n"/>
    </row>
    <row r="922">
      <c r="A922" t="n">
        <v>919</v>
      </c>
      <c r="B922" s="8" t="n"/>
      <c r="C922" s="5" t="n"/>
      <c r="D922" s="5" t="n"/>
      <c r="E922" s="5" t="n"/>
      <c r="F922" s="5" t="n"/>
      <c r="G922" s="6" t="n"/>
      <c r="H922" s="5" t="n"/>
    </row>
    <row r="923">
      <c r="A923" t="n">
        <v>920</v>
      </c>
      <c r="B923" s="8" t="n"/>
      <c r="C923" s="5" t="n"/>
      <c r="D923" s="5" t="n"/>
      <c r="E923" s="5" t="n"/>
      <c r="F923" s="5" t="n"/>
      <c r="G923" s="6" t="n"/>
      <c r="H923" s="5" t="n"/>
    </row>
    <row r="924">
      <c r="A924" t="n">
        <v>921</v>
      </c>
      <c r="B924" s="8" t="n"/>
      <c r="C924" s="5" t="n"/>
      <c r="D924" s="5" t="n"/>
      <c r="E924" s="5" t="n"/>
      <c r="F924" s="5" t="n"/>
      <c r="G924" s="6" t="n"/>
      <c r="H924" s="5" t="n"/>
    </row>
    <row r="925">
      <c r="A925" t="n">
        <v>922</v>
      </c>
      <c r="B925" s="8" t="n"/>
      <c r="C925" s="5" t="n"/>
      <c r="D925" s="5" t="n"/>
      <c r="E925" s="5" t="n"/>
      <c r="F925" s="5" t="n"/>
      <c r="G925" s="6" t="n"/>
      <c r="H925" s="5" t="n"/>
    </row>
    <row r="926">
      <c r="A926" t="n">
        <v>923</v>
      </c>
      <c r="B926" s="8" t="n"/>
      <c r="C926" s="5" t="n"/>
      <c r="D926" s="5" t="n"/>
      <c r="E926" s="5" t="n"/>
      <c r="F926" s="5" t="n"/>
      <c r="G926" s="6" t="n"/>
      <c r="H926" s="5" t="n"/>
    </row>
    <row r="927">
      <c r="A927" t="n">
        <v>924</v>
      </c>
      <c r="B927" s="8" t="n"/>
      <c r="C927" s="5" t="n"/>
      <c r="D927" s="5" t="n"/>
      <c r="E927" s="5" t="n"/>
      <c r="F927" s="5" t="n"/>
      <c r="G927" s="6" t="n"/>
      <c r="H927" s="5" t="n"/>
    </row>
    <row r="928">
      <c r="A928" t="n">
        <v>925</v>
      </c>
      <c r="B928" s="8" t="n"/>
      <c r="C928" s="5" t="n"/>
      <c r="D928" s="5" t="n"/>
      <c r="E928" s="5" t="n"/>
      <c r="F928" s="5" t="n"/>
      <c r="G928" s="6" t="n"/>
      <c r="H928" s="5" t="n"/>
    </row>
    <row r="929">
      <c r="A929" t="n">
        <v>926</v>
      </c>
      <c r="B929" s="8" t="n"/>
      <c r="C929" s="5" t="n"/>
      <c r="D929" s="5" t="n"/>
      <c r="E929" s="5" t="n"/>
      <c r="F929" s="5" t="n"/>
      <c r="G929" s="6" t="n"/>
      <c r="H929" s="5" t="n"/>
    </row>
    <row r="930">
      <c r="A930" t="n">
        <v>927</v>
      </c>
      <c r="B930" s="8" t="n"/>
      <c r="C930" s="5" t="n"/>
      <c r="D930" s="5" t="n"/>
      <c r="E930" s="5" t="n"/>
      <c r="F930" s="5" t="n"/>
      <c r="G930" s="6" t="n"/>
      <c r="H930" s="5" t="n"/>
    </row>
    <row r="931">
      <c r="A931" t="n">
        <v>928</v>
      </c>
      <c r="B931" s="8" t="n"/>
      <c r="C931" s="5" t="n"/>
      <c r="D931" s="5" t="n"/>
      <c r="E931" s="5" t="n"/>
      <c r="F931" s="5" t="n"/>
      <c r="G931" s="6" t="n"/>
      <c r="H931" s="5" t="n"/>
    </row>
    <row r="932">
      <c r="A932" t="n">
        <v>929</v>
      </c>
      <c r="B932" s="8" t="n"/>
      <c r="C932" s="5" t="n"/>
      <c r="D932" s="5" t="n"/>
      <c r="E932" s="5" t="n"/>
      <c r="F932" s="5" t="n"/>
      <c r="G932" s="6" t="n"/>
      <c r="H932" s="5" t="n"/>
    </row>
    <row r="933">
      <c r="A933" t="n">
        <v>930</v>
      </c>
      <c r="B933" s="8" t="n"/>
      <c r="C933" s="5" t="n"/>
      <c r="D933" s="5" t="n"/>
      <c r="E933" s="5" t="n"/>
      <c r="F933" s="5" t="n"/>
      <c r="G933" s="6" t="n"/>
      <c r="H933" s="5" t="n"/>
    </row>
    <row r="934">
      <c r="A934" t="n">
        <v>931</v>
      </c>
      <c r="B934" s="8" t="n"/>
      <c r="C934" s="5" t="n"/>
      <c r="D934" s="5" t="n"/>
      <c r="E934" s="5" t="n"/>
      <c r="F934" s="5" t="n"/>
      <c r="G934" s="6" t="n"/>
      <c r="H934" s="5" t="n"/>
    </row>
    <row r="935">
      <c r="A935" t="n">
        <v>932</v>
      </c>
      <c r="B935" s="8" t="n"/>
      <c r="C935" s="5" t="n"/>
      <c r="D935" s="5" t="n"/>
      <c r="E935" s="5" t="n"/>
      <c r="F935" s="5" t="n"/>
      <c r="G935" s="6" t="n"/>
      <c r="H935" s="5" t="n"/>
    </row>
    <row r="936">
      <c r="A936" t="n">
        <v>933</v>
      </c>
      <c r="B936" s="8" t="n"/>
      <c r="C936" s="5" t="n"/>
      <c r="D936" s="5" t="n"/>
      <c r="E936" s="5" t="n"/>
      <c r="F936" s="5" t="n"/>
      <c r="G936" s="6" t="n"/>
      <c r="H936" s="5" t="n"/>
    </row>
    <row r="937">
      <c r="A937" t="n">
        <v>934</v>
      </c>
      <c r="B937" s="8" t="n"/>
      <c r="C937" s="5" t="n"/>
      <c r="D937" s="5" t="n"/>
      <c r="E937" s="5" t="n"/>
      <c r="F937" s="5" t="n"/>
      <c r="G937" s="6" t="n"/>
      <c r="H937" s="5" t="n"/>
    </row>
    <row r="938">
      <c r="A938" t="n">
        <v>935</v>
      </c>
      <c r="B938" s="8" t="n"/>
      <c r="C938" s="5" t="n"/>
      <c r="D938" s="5" t="n"/>
      <c r="E938" s="5" t="n"/>
      <c r="F938" s="5" t="n"/>
      <c r="G938" s="6" t="n"/>
      <c r="H938" s="5" t="n"/>
    </row>
    <row r="939">
      <c r="A939" t="n">
        <v>936</v>
      </c>
      <c r="B939" s="8" t="n"/>
      <c r="C939" s="5" t="n"/>
      <c r="D939" s="5" t="n"/>
      <c r="E939" s="5" t="n"/>
      <c r="F939" s="5" t="n"/>
      <c r="G939" s="6" t="n"/>
      <c r="H939" s="5" t="n"/>
    </row>
    <row r="940">
      <c r="A940" t="n">
        <v>937</v>
      </c>
      <c r="B940" s="8" t="n"/>
      <c r="C940" s="5" t="n"/>
      <c r="D940" s="5" t="n"/>
      <c r="E940" s="5" t="n"/>
      <c r="F940" s="5" t="n"/>
      <c r="G940" s="6" t="n"/>
      <c r="H940" s="5" t="n"/>
    </row>
    <row r="941">
      <c r="A941" t="n">
        <v>938</v>
      </c>
      <c r="B941" s="8" t="n"/>
      <c r="C941" s="5" t="n"/>
      <c r="D941" s="5" t="n"/>
      <c r="E941" s="5" t="n"/>
      <c r="F941" s="5" t="n"/>
      <c r="G941" s="6" t="n"/>
      <c r="H941" s="5" t="n"/>
    </row>
    <row r="942">
      <c r="A942" t="n">
        <v>939</v>
      </c>
      <c r="B942" s="8" t="n"/>
      <c r="C942" s="5" t="n"/>
      <c r="D942" s="5" t="n"/>
      <c r="E942" s="5" t="n"/>
      <c r="F942" s="5" t="n"/>
      <c r="G942" s="6" t="n"/>
      <c r="H942" s="5" t="n"/>
    </row>
    <row r="943">
      <c r="A943" t="n">
        <v>940</v>
      </c>
      <c r="B943" s="8" t="n"/>
      <c r="C943" s="5" t="n"/>
      <c r="D943" s="5" t="n"/>
      <c r="E943" s="5" t="n"/>
      <c r="F943" s="5" t="n"/>
      <c r="G943" s="6" t="n"/>
      <c r="H943" s="5" t="n"/>
    </row>
    <row r="944">
      <c r="A944" t="n">
        <v>941</v>
      </c>
      <c r="B944" s="8" t="n"/>
      <c r="C944" s="5" t="n"/>
      <c r="D944" s="5" t="n"/>
      <c r="E944" s="5" t="n"/>
      <c r="F944" s="5" t="n"/>
      <c r="G944" s="6" t="n"/>
      <c r="H944" s="5" t="n"/>
    </row>
    <row r="945">
      <c r="A945" t="n">
        <v>942</v>
      </c>
      <c r="B945" s="8" t="n"/>
      <c r="C945" s="5" t="n"/>
      <c r="D945" s="5" t="n"/>
      <c r="E945" s="5" t="n"/>
      <c r="F945" s="5" t="n"/>
      <c r="G945" s="6" t="n"/>
      <c r="H945" s="5" t="n"/>
    </row>
    <row r="946">
      <c r="A946" t="n">
        <v>943</v>
      </c>
      <c r="B946" s="8" t="n"/>
      <c r="C946" s="5" t="n"/>
      <c r="D946" s="5" t="n"/>
      <c r="E946" s="5" t="n"/>
      <c r="F946" s="5" t="n"/>
      <c r="G946" s="6" t="n"/>
      <c r="H946" s="5" t="n"/>
    </row>
    <row r="947">
      <c r="A947" t="n">
        <v>944</v>
      </c>
      <c r="B947" s="8" t="n"/>
      <c r="C947" s="5" t="n"/>
      <c r="D947" s="5" t="n"/>
      <c r="E947" s="5" t="n"/>
      <c r="F947" s="5" t="n"/>
      <c r="G947" s="6" t="n"/>
      <c r="H947" s="5" t="n"/>
    </row>
    <row r="948">
      <c r="A948" t="n">
        <v>945</v>
      </c>
      <c r="B948" s="8" t="n"/>
      <c r="C948" s="5" t="n"/>
      <c r="D948" s="5" t="n"/>
      <c r="E948" s="5" t="n"/>
      <c r="F948" s="5" t="n"/>
      <c r="G948" s="6" t="n"/>
      <c r="H948" s="5" t="n"/>
    </row>
    <row r="949">
      <c r="A949" t="n">
        <v>946</v>
      </c>
      <c r="B949" s="8" t="n"/>
      <c r="C949" s="5" t="n"/>
      <c r="D949" s="5" t="n"/>
      <c r="E949" s="5" t="n"/>
      <c r="F949" s="5" t="n"/>
      <c r="G949" s="6" t="n"/>
      <c r="H949" s="5" t="n"/>
    </row>
    <row r="950">
      <c r="A950" t="n">
        <v>947</v>
      </c>
      <c r="B950" s="8" t="n"/>
      <c r="C950" s="5" t="n"/>
      <c r="D950" s="5" t="n"/>
      <c r="E950" s="5" t="n"/>
      <c r="F950" s="5" t="n"/>
      <c r="G950" s="6" t="n"/>
      <c r="H950" s="5" t="n"/>
    </row>
    <row r="951">
      <c r="A951" t="n">
        <v>948</v>
      </c>
      <c r="B951" s="8" t="n"/>
      <c r="C951" s="5" t="n"/>
      <c r="D951" s="5" t="n"/>
      <c r="E951" s="5" t="n"/>
      <c r="F951" s="5" t="n"/>
      <c r="G951" s="6" t="n"/>
      <c r="H951" s="5" t="n"/>
    </row>
    <row r="952">
      <c r="A952" t="n">
        <v>949</v>
      </c>
      <c r="B952" s="8" t="n"/>
      <c r="C952" s="5" t="n"/>
      <c r="D952" s="5" t="n"/>
      <c r="E952" s="5" t="n"/>
      <c r="F952" s="5" t="n"/>
      <c r="G952" s="6" t="n"/>
      <c r="H952" s="5" t="n"/>
    </row>
    <row r="953">
      <c r="A953" t="n">
        <v>950</v>
      </c>
      <c r="B953" s="8" t="n"/>
      <c r="C953" s="5" t="n"/>
      <c r="D953" s="5" t="n"/>
      <c r="E953" s="5" t="n"/>
      <c r="F953" s="5" t="n"/>
      <c r="G953" s="6" t="n"/>
      <c r="H953" s="5" t="n"/>
    </row>
    <row r="954">
      <c r="A954" t="n">
        <v>951</v>
      </c>
      <c r="B954" s="8" t="n"/>
      <c r="C954" s="5" t="n"/>
      <c r="D954" s="5" t="n"/>
      <c r="E954" s="5" t="n"/>
      <c r="F954" s="5" t="n"/>
      <c r="G954" s="6" t="n"/>
      <c r="H954" s="5" t="n"/>
    </row>
    <row r="955">
      <c r="A955" t="n">
        <v>952</v>
      </c>
      <c r="B955" s="8" t="n"/>
      <c r="C955" s="5" t="n"/>
      <c r="D955" s="5" t="n"/>
      <c r="E955" s="5" t="n"/>
      <c r="F955" s="5" t="n"/>
      <c r="G955" s="6" t="n"/>
      <c r="H955" s="5" t="n"/>
    </row>
    <row r="956">
      <c r="A956" t="n">
        <v>953</v>
      </c>
      <c r="B956" s="8" t="n"/>
      <c r="C956" s="5" t="n"/>
      <c r="D956" s="5" t="n"/>
      <c r="E956" s="5" t="n"/>
      <c r="F956" s="5" t="n"/>
      <c r="G956" s="6" t="n"/>
      <c r="H956" s="5" t="n"/>
    </row>
    <row r="957">
      <c r="A957" t="n">
        <v>954</v>
      </c>
      <c r="B957" s="8" t="n"/>
      <c r="C957" s="5" t="n"/>
      <c r="D957" s="5" t="n"/>
      <c r="E957" s="5" t="n"/>
      <c r="F957" s="5" t="n"/>
      <c r="G957" s="6" t="n"/>
      <c r="H957" s="5" t="n"/>
    </row>
    <row r="958">
      <c r="A958" t="n">
        <v>955</v>
      </c>
      <c r="B958" s="8" t="n"/>
      <c r="C958" s="5" t="n"/>
      <c r="D958" s="5" t="n"/>
      <c r="E958" s="5" t="n"/>
      <c r="F958" s="5" t="n"/>
      <c r="G958" s="6" t="n"/>
      <c r="H958" s="5" t="n"/>
    </row>
    <row r="959">
      <c r="A959" t="n">
        <v>956</v>
      </c>
      <c r="B959" s="8" t="n"/>
      <c r="C959" s="5" t="n"/>
      <c r="D959" s="5" t="n"/>
      <c r="E959" s="5" t="n"/>
      <c r="F959" s="5" t="n"/>
      <c r="G959" s="6" t="n"/>
      <c r="H959" s="5" t="n"/>
    </row>
    <row r="960">
      <c r="A960" t="n">
        <v>957</v>
      </c>
      <c r="B960" s="8" t="n"/>
      <c r="C960" s="5" t="n"/>
      <c r="D960" s="5" t="n"/>
      <c r="E960" s="5" t="n"/>
      <c r="F960" s="5" t="n"/>
      <c r="G960" s="6" t="n"/>
      <c r="H960" s="5" t="n"/>
    </row>
    <row r="961">
      <c r="A961" t="n">
        <v>958</v>
      </c>
      <c r="B961" s="8" t="n"/>
      <c r="C961" s="5" t="n"/>
      <c r="D961" s="5" t="n"/>
      <c r="E961" s="5" t="n"/>
      <c r="F961" s="5" t="n"/>
      <c r="G961" s="6" t="n"/>
      <c r="H961" s="5" t="n"/>
    </row>
    <row r="962">
      <c r="A962" t="n">
        <v>959</v>
      </c>
      <c r="B962" s="8" t="n"/>
      <c r="C962" s="5" t="n"/>
      <c r="D962" s="5" t="n"/>
      <c r="E962" s="5" t="n"/>
      <c r="F962" s="5" t="n"/>
      <c r="G962" s="6" t="n"/>
      <c r="H962" s="5" t="n"/>
    </row>
    <row r="963">
      <c r="A963" t="n">
        <v>960</v>
      </c>
      <c r="B963" s="8" t="n"/>
      <c r="C963" s="5" t="n"/>
      <c r="D963" s="5" t="n"/>
      <c r="E963" s="5" t="n"/>
      <c r="F963" s="5" t="n"/>
      <c r="G963" s="6" t="n"/>
      <c r="H963" s="5" t="n"/>
    </row>
    <row r="964">
      <c r="A964" t="n">
        <v>961</v>
      </c>
      <c r="B964" s="8" t="n"/>
      <c r="C964" s="5" t="n"/>
      <c r="D964" s="5" t="n"/>
      <c r="E964" s="5" t="n"/>
      <c r="F964" s="5" t="n"/>
      <c r="G964" s="6" t="n"/>
      <c r="H964" s="5" t="n"/>
    </row>
    <row r="965">
      <c r="A965" t="n">
        <v>962</v>
      </c>
      <c r="B965" s="8" t="n"/>
      <c r="C965" s="5" t="n"/>
      <c r="D965" s="5" t="n"/>
      <c r="E965" s="5" t="n"/>
      <c r="F965" s="5" t="n"/>
      <c r="G965" s="6" t="n"/>
      <c r="H965" s="5" t="n"/>
    </row>
    <row r="966">
      <c r="A966" t="n">
        <v>963</v>
      </c>
      <c r="B966" s="8" t="n"/>
      <c r="C966" s="5" t="n"/>
      <c r="D966" s="5" t="n"/>
      <c r="E966" s="5" t="n"/>
      <c r="F966" s="5" t="n"/>
      <c r="G966" s="6" t="n"/>
      <c r="H966" s="5" t="n"/>
    </row>
    <row r="967">
      <c r="A967" t="n">
        <v>964</v>
      </c>
      <c r="B967" s="8" t="n"/>
      <c r="C967" s="5" t="n"/>
      <c r="D967" s="5" t="n"/>
      <c r="E967" s="5" t="n"/>
      <c r="F967" s="5" t="n"/>
      <c r="G967" s="6" t="n"/>
      <c r="H967" s="5" t="n"/>
    </row>
    <row r="968">
      <c r="A968" t="n">
        <v>965</v>
      </c>
      <c r="B968" s="8" t="n"/>
      <c r="C968" s="5" t="n"/>
      <c r="D968" s="5" t="n"/>
      <c r="E968" s="5" t="n"/>
      <c r="F968" s="5" t="n"/>
      <c r="G968" s="6" t="n"/>
      <c r="H968" s="5" t="n"/>
    </row>
    <row r="969">
      <c r="A969" t="n">
        <v>966</v>
      </c>
      <c r="B969" s="8" t="n"/>
      <c r="C969" s="5" t="n"/>
      <c r="D969" s="5" t="n"/>
      <c r="E969" s="5" t="n"/>
      <c r="F969" s="5" t="n"/>
      <c r="G969" s="6" t="n"/>
      <c r="H969" s="5" t="n"/>
    </row>
    <row r="970">
      <c r="A970" t="n">
        <v>967</v>
      </c>
      <c r="B970" s="8" t="n"/>
      <c r="C970" s="5" t="n"/>
      <c r="D970" s="5" t="n"/>
      <c r="E970" s="5" t="n"/>
      <c r="F970" s="5" t="n"/>
      <c r="G970" s="6" t="n"/>
      <c r="H970" s="5" t="n"/>
    </row>
    <row r="971">
      <c r="A971" t="n">
        <v>968</v>
      </c>
      <c r="B971" s="8" t="n"/>
      <c r="C971" s="5" t="n"/>
      <c r="D971" s="5" t="n"/>
      <c r="E971" s="5" t="n"/>
      <c r="F971" s="5" t="n"/>
      <c r="G971" s="6" t="n"/>
      <c r="H971" s="5" t="n"/>
    </row>
    <row r="972">
      <c r="A972" t="n">
        <v>969</v>
      </c>
      <c r="B972" s="8" t="n"/>
      <c r="C972" s="5" t="n"/>
      <c r="D972" s="5" t="n"/>
      <c r="E972" s="5" t="n"/>
      <c r="F972" s="5" t="n"/>
      <c r="G972" s="6" t="n"/>
      <c r="H972" s="5" t="n"/>
    </row>
    <row r="973">
      <c r="A973" t="n">
        <v>970</v>
      </c>
      <c r="B973" s="8" t="n"/>
      <c r="C973" s="5" t="n"/>
      <c r="D973" s="5" t="n"/>
      <c r="E973" s="5" t="n"/>
      <c r="F973" s="5" t="n"/>
      <c r="G973" s="6" t="n"/>
      <c r="H973" s="5" t="n"/>
    </row>
    <row r="974">
      <c r="A974" t="n">
        <v>971</v>
      </c>
      <c r="B974" s="8" t="n"/>
      <c r="C974" s="5" t="n"/>
      <c r="D974" s="5" t="n"/>
      <c r="E974" s="5" t="n"/>
      <c r="F974" s="5" t="n"/>
      <c r="G974" s="6" t="n"/>
      <c r="H974" s="5" t="n"/>
    </row>
    <row r="975">
      <c r="A975" t="n">
        <v>972</v>
      </c>
      <c r="B975" s="8" t="n"/>
      <c r="C975" s="5" t="n"/>
      <c r="D975" s="5" t="n"/>
      <c r="E975" s="5" t="n"/>
      <c r="F975" s="5" t="n"/>
      <c r="G975" s="6" t="n"/>
      <c r="H975" s="5" t="n"/>
    </row>
    <row r="976">
      <c r="A976" t="n">
        <v>973</v>
      </c>
      <c r="B976" s="8" t="n"/>
      <c r="C976" s="5" t="n"/>
      <c r="D976" s="5" t="n"/>
      <c r="E976" s="5" t="n"/>
      <c r="F976" s="5" t="n"/>
      <c r="G976" s="6" t="n"/>
      <c r="H976" s="5" t="n"/>
    </row>
    <row r="977">
      <c r="A977" t="n">
        <v>974</v>
      </c>
      <c r="B977" s="8" t="n"/>
      <c r="C977" s="5" t="n"/>
      <c r="D977" s="5" t="n"/>
      <c r="E977" s="5" t="n"/>
      <c r="F977" s="5" t="n"/>
      <c r="G977" s="6" t="n"/>
      <c r="H977" s="5" t="n"/>
    </row>
    <row r="978">
      <c r="A978" t="n">
        <v>975</v>
      </c>
      <c r="B978" s="8" t="n"/>
      <c r="C978" s="5" t="n"/>
      <c r="D978" s="5" t="n"/>
      <c r="E978" s="5" t="n"/>
      <c r="F978" s="5" t="n"/>
      <c r="G978" s="6" t="n"/>
      <c r="H978" s="5" t="n"/>
    </row>
    <row r="979">
      <c r="A979" t="n">
        <v>976</v>
      </c>
      <c r="B979" s="8" t="n"/>
      <c r="C979" s="5" t="n"/>
      <c r="D979" s="5" t="n"/>
      <c r="E979" s="5" t="n"/>
      <c r="F979" s="5" t="n"/>
      <c r="G979" s="6" t="n"/>
      <c r="H979" s="5" t="n"/>
    </row>
    <row r="980">
      <c r="A980" t="n">
        <v>977</v>
      </c>
      <c r="B980" s="8" t="n"/>
      <c r="C980" s="5" t="n"/>
      <c r="D980" s="5" t="n"/>
      <c r="E980" s="5" t="n"/>
      <c r="F980" s="5" t="n"/>
      <c r="G980" s="6" t="n"/>
      <c r="H980" s="5" t="n"/>
    </row>
    <row r="981">
      <c r="A981" t="n">
        <v>978</v>
      </c>
      <c r="B981" s="8" t="n"/>
      <c r="C981" s="5" t="n"/>
      <c r="D981" s="5" t="n"/>
      <c r="E981" s="5" t="n"/>
      <c r="F981" s="5" t="n"/>
      <c r="G981" s="6" t="n"/>
      <c r="H981" s="5" t="n"/>
    </row>
    <row r="982">
      <c r="A982" t="n">
        <v>979</v>
      </c>
      <c r="B982" s="8" t="n"/>
      <c r="C982" s="5" t="n"/>
      <c r="D982" s="5" t="n"/>
      <c r="E982" s="5" t="n"/>
      <c r="F982" s="5" t="n"/>
      <c r="G982" s="6" t="n"/>
      <c r="H982" s="5" t="n"/>
    </row>
    <row r="983">
      <c r="A983" t="n">
        <v>980</v>
      </c>
      <c r="B983" s="8" t="n"/>
      <c r="C983" s="5" t="n"/>
      <c r="D983" s="5" t="n"/>
      <c r="E983" s="5" t="n"/>
      <c r="F983" s="5" t="n"/>
      <c r="G983" s="6" t="n"/>
      <c r="H983" s="5" t="n"/>
    </row>
    <row r="984">
      <c r="A984" t="n">
        <v>981</v>
      </c>
      <c r="B984" s="8" t="n"/>
      <c r="C984" s="5" t="n"/>
      <c r="D984" s="5" t="n"/>
      <c r="E984" s="5" t="n"/>
      <c r="F984" s="5" t="n"/>
      <c r="G984" s="6" t="n"/>
      <c r="H984" s="5" t="n"/>
    </row>
    <row r="985">
      <c r="A985" t="n">
        <v>982</v>
      </c>
      <c r="B985" s="8" t="n"/>
      <c r="C985" s="5" t="n"/>
      <c r="D985" s="5" t="n"/>
      <c r="E985" s="5" t="n"/>
      <c r="F985" s="5" t="n"/>
      <c r="G985" s="6" t="n"/>
      <c r="H985" s="5" t="n"/>
    </row>
    <row r="986">
      <c r="A986" t="n">
        <v>983</v>
      </c>
      <c r="B986" s="8" t="n"/>
      <c r="C986" s="5" t="n"/>
      <c r="D986" s="5" t="n"/>
      <c r="E986" s="5" t="n"/>
      <c r="F986" s="5" t="n"/>
      <c r="G986" s="6" t="n"/>
      <c r="H986" s="5" t="n"/>
    </row>
    <row r="987">
      <c r="A987" t="n">
        <v>984</v>
      </c>
      <c r="B987" s="8" t="n"/>
      <c r="C987" s="5" t="n"/>
      <c r="D987" s="5" t="n"/>
      <c r="E987" s="5" t="n"/>
      <c r="F987" s="5" t="n"/>
      <c r="G987" s="6" t="n"/>
      <c r="H987" s="5" t="n"/>
    </row>
    <row r="988">
      <c r="A988" t="n">
        <v>985</v>
      </c>
      <c r="B988" s="8" t="n"/>
      <c r="C988" s="5" t="n"/>
      <c r="D988" s="5" t="n"/>
      <c r="E988" s="5" t="n"/>
      <c r="F988" s="5" t="n"/>
      <c r="G988" s="6" t="n"/>
      <c r="H988" s="5" t="n"/>
    </row>
    <row r="989">
      <c r="A989" t="n">
        <v>986</v>
      </c>
      <c r="B989" s="8" t="n"/>
      <c r="C989" s="5" t="n"/>
      <c r="D989" s="5" t="n"/>
      <c r="E989" s="5" t="n"/>
      <c r="F989" s="5" t="n"/>
      <c r="G989" s="6" t="n"/>
      <c r="H989" s="5" t="n"/>
    </row>
    <row r="990">
      <c r="A990" t="n">
        <v>987</v>
      </c>
      <c r="B990" s="8" t="n"/>
      <c r="C990" s="5" t="n"/>
      <c r="D990" s="5" t="n"/>
      <c r="E990" s="5" t="n"/>
      <c r="F990" s="5" t="n"/>
      <c r="G990" s="6" t="n"/>
      <c r="H990" s="5" t="n"/>
    </row>
    <row r="991">
      <c r="A991" t="n">
        <v>988</v>
      </c>
      <c r="B991" s="8" t="n"/>
      <c r="C991" s="5" t="n"/>
      <c r="D991" s="5" t="n"/>
      <c r="E991" s="5" t="n"/>
      <c r="F991" s="5" t="n"/>
      <c r="G991" s="6" t="n"/>
      <c r="H991" s="5" t="n"/>
    </row>
    <row r="992">
      <c r="A992" t="n">
        <v>989</v>
      </c>
      <c r="B992" s="8" t="n"/>
      <c r="C992" s="5" t="n"/>
      <c r="D992" s="5" t="n"/>
      <c r="E992" s="5" t="n"/>
      <c r="F992" s="5" t="n"/>
      <c r="G992" s="6" t="n"/>
      <c r="H992" s="5" t="n"/>
    </row>
    <row r="993">
      <c r="A993" t="n">
        <v>990</v>
      </c>
      <c r="B993" s="8" t="n"/>
      <c r="C993" s="5" t="n"/>
      <c r="D993" s="5" t="n"/>
      <c r="E993" s="5" t="n"/>
      <c r="F993" s="5" t="n"/>
      <c r="G993" s="6" t="n"/>
      <c r="H993" s="5" t="n"/>
    </row>
    <row r="994">
      <c r="A994" t="n">
        <v>991</v>
      </c>
      <c r="B994" s="8" t="n"/>
      <c r="C994" s="5" t="n"/>
      <c r="D994" s="5" t="n"/>
      <c r="E994" s="5" t="n"/>
      <c r="F994" s="5" t="n"/>
      <c r="G994" s="6" t="n"/>
      <c r="H994" s="5" t="n"/>
    </row>
    <row r="995">
      <c r="A995" t="n">
        <v>992</v>
      </c>
      <c r="B995" s="8" t="n"/>
      <c r="C995" s="5" t="n"/>
      <c r="D995" s="5" t="n"/>
      <c r="E995" s="5" t="n"/>
      <c r="F995" s="5" t="n"/>
      <c r="G995" s="6" t="n"/>
      <c r="H995" s="5" t="n"/>
    </row>
    <row r="996">
      <c r="A996" t="n">
        <v>993</v>
      </c>
      <c r="B996" s="8" t="n"/>
      <c r="C996" s="5" t="n"/>
      <c r="D996" s="5" t="n"/>
      <c r="E996" s="5" t="n"/>
      <c r="F996" s="5" t="n"/>
      <c r="G996" s="6" t="n"/>
      <c r="H996" s="5" t="n"/>
    </row>
    <row r="997">
      <c r="A997" t="n">
        <v>994</v>
      </c>
      <c r="B997" s="8" t="n"/>
      <c r="C997" s="5" t="n"/>
      <c r="D997" s="5" t="n"/>
      <c r="E997" s="5" t="n"/>
      <c r="F997" s="5" t="n"/>
      <c r="G997" s="6" t="n"/>
      <c r="H997" s="5" t="n"/>
    </row>
    <row r="998">
      <c r="A998" t="n">
        <v>995</v>
      </c>
      <c r="B998" s="8" t="n"/>
      <c r="C998" s="5" t="n"/>
      <c r="D998" s="5" t="n"/>
      <c r="E998" s="5" t="n"/>
      <c r="F998" s="5" t="n"/>
      <c r="G998" s="6" t="n"/>
      <c r="H998" s="5" t="n"/>
    </row>
    <row r="999">
      <c r="A999" t="n">
        <v>996</v>
      </c>
      <c r="B999" s="8" t="n"/>
      <c r="C999" s="5" t="n"/>
      <c r="D999" s="5" t="n"/>
      <c r="E999" s="5" t="n"/>
      <c r="F999" s="5" t="n"/>
      <c r="G999" s="6" t="n"/>
      <c r="H999" s="5" t="n"/>
    </row>
    <row r="1000">
      <c r="A1000" t="n">
        <v>997</v>
      </c>
      <c r="B1000" s="8" t="n"/>
      <c r="C1000" s="5" t="n"/>
      <c r="D1000" s="5" t="n"/>
      <c r="E1000" s="5" t="n"/>
      <c r="F1000" s="5" t="n"/>
      <c r="G1000" s="6" t="n"/>
      <c r="H1000" s="5" t="n"/>
    </row>
    <row r="1001">
      <c r="A1001" t="n">
        <v>998</v>
      </c>
      <c r="B1001" s="8" t="n"/>
      <c r="C1001" s="5" t="n"/>
      <c r="D1001" s="5" t="n"/>
      <c r="E1001" s="5" t="n"/>
      <c r="F1001" s="5" t="n"/>
      <c r="G1001" s="6" t="n"/>
      <c r="H1001" s="5" t="n"/>
    </row>
    <row r="1002">
      <c r="A1002" t="n">
        <v>999</v>
      </c>
      <c r="B1002" s="8" t="n"/>
      <c r="C1002" s="5" t="n"/>
      <c r="D1002" s="5" t="n"/>
      <c r="E1002" s="5" t="n"/>
      <c r="F1002" s="5" t="n"/>
      <c r="G1002" s="6" t="n"/>
      <c r="H1002" s="5" t="n"/>
    </row>
    <row r="1003">
      <c r="A1003" t="n">
        <v>1000</v>
      </c>
      <c r="B1003" s="8" t="n"/>
      <c r="C1003" s="5" t="n"/>
      <c r="D1003" s="5" t="n"/>
      <c r="E1003" s="5" t="n"/>
      <c r="F1003" s="5" t="n"/>
      <c r="G1003" s="6" t="n"/>
      <c r="H1003" s="5" t="n"/>
    </row>
  </sheetData>
  <dataValidations count="200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"BEPAARI,DUKANDAR,CAPITAL,LOAN,AMANAT,ADVANCE,EXPENSE,ZAKAT,DRAWINGS,OTHER"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showDropDown="0" showInputMessage="0" showErrorMessage="0" allowBlank="1" type="list">
      <formula1>"CASH,BANK,UPI,TRANSFER"</formula1>
    </dataValidation>
    <dataValidation sqref="D4" showDropDown="0" showInputMessage="0" showErrorMessage="0" allowBlank="1" type="list">
      <formula1>INDIRECT("ST_"&amp;$C4)</formula1>
    </dataValidation>
    <dataValidation sqref="E4" showDropDown="0" showInputMessage="0" showErrorMessage="0" allowBlank="1" type="list">
      <formula1>INDIRECT($C4)</formula1>
    </dataValidation>
    <dataValidation sqref="D5" showDropDown="0" showInputMessage="0" showErrorMessage="0" allowBlank="1" type="list">
      <formula1>INDIRECT("ST_"&amp;$C5)</formula1>
    </dataValidation>
    <dataValidation sqref="E5" showDropDown="0" showInputMessage="0" showErrorMessage="0" allowBlank="1" type="list">
      <formula1>INDIRECT($C5)</formula1>
    </dataValidation>
    <dataValidation sqref="D6" showDropDown="0" showInputMessage="0" showErrorMessage="0" allowBlank="1" type="list">
      <formula1>INDIRECT("ST_"&amp;$C6)</formula1>
    </dataValidation>
    <dataValidation sqref="E6" showDropDown="0" showInputMessage="0" showErrorMessage="0" allowBlank="1" type="list">
      <formula1>INDIRECT($C6)</formula1>
    </dataValidation>
    <dataValidation sqref="D7" showDropDown="0" showInputMessage="0" showErrorMessage="0" allowBlank="1" type="list">
      <formula1>INDIRECT("ST_"&amp;$C7)</formula1>
    </dataValidation>
    <dataValidation sqref="E7" showDropDown="0" showInputMessage="0" showErrorMessage="0" allowBlank="1" type="list">
      <formula1>INDIRECT($C7)</formula1>
    </dataValidation>
    <dataValidation sqref="D8" showDropDown="0" showInputMessage="0" showErrorMessage="0" allowBlank="1" type="list">
      <formula1>INDIRECT("ST_"&amp;$C8)</formula1>
    </dataValidation>
    <dataValidation sqref="E8" showDropDown="0" showInputMessage="0" showErrorMessage="0" allowBlank="1" type="list">
      <formula1>INDIRECT($C8)</formula1>
    </dataValidation>
    <dataValidation sqref="D9" showDropDown="0" showInputMessage="0" showErrorMessage="0" allowBlank="1" type="list">
      <formula1>INDIRECT("ST_"&amp;$C9)</formula1>
    </dataValidation>
    <dataValidation sqref="E9" showDropDown="0" showInputMessage="0" showErrorMessage="0" allowBlank="1" type="list">
      <formula1>INDIRECT($C9)</formula1>
    </dataValidation>
    <dataValidation sqref="D10" showDropDown="0" showInputMessage="0" showErrorMessage="0" allowBlank="1" type="list">
      <formula1>INDIRECT("ST_"&amp;$C10)</formula1>
    </dataValidation>
    <dataValidation sqref="E10" showDropDown="0" showInputMessage="0" showErrorMessage="0" allowBlank="1" type="list">
      <formula1>INDIRECT($C10)</formula1>
    </dataValidation>
    <dataValidation sqref="D11" showDropDown="0" showInputMessage="0" showErrorMessage="0" allowBlank="1" type="list">
      <formula1>INDIRECT("ST_"&amp;$C11)</formula1>
    </dataValidation>
    <dataValidation sqref="E11" showDropDown="0" showInputMessage="0" showErrorMessage="0" allowBlank="1" type="list">
      <formula1>INDIRECT($C11)</formula1>
    </dataValidation>
    <dataValidation sqref="D12" showDropDown="0" showInputMessage="0" showErrorMessage="0" allowBlank="1" type="list">
      <formula1>INDIRECT("ST_"&amp;$C12)</formula1>
    </dataValidation>
    <dataValidation sqref="E12" showDropDown="0" showInputMessage="0" showErrorMessage="0" allowBlank="1" type="list">
      <formula1>INDIRECT($C12)</formula1>
    </dataValidation>
    <dataValidation sqref="D13" showDropDown="0" showInputMessage="0" showErrorMessage="0" allowBlank="1" type="list">
      <formula1>INDIRECT("ST_"&amp;$C13)</formula1>
    </dataValidation>
    <dataValidation sqref="E13" showDropDown="0" showInputMessage="0" showErrorMessage="0" allowBlank="1" type="list">
      <formula1>INDIRECT($C13)</formula1>
    </dataValidation>
    <dataValidation sqref="D14" showDropDown="0" showInputMessage="0" showErrorMessage="0" allowBlank="1" type="list">
      <formula1>INDIRECT("ST_"&amp;$C14)</formula1>
    </dataValidation>
    <dataValidation sqref="E14" showDropDown="0" showInputMessage="0" showErrorMessage="0" allowBlank="1" type="list">
      <formula1>INDIRECT($C14)</formula1>
    </dataValidation>
    <dataValidation sqref="D15" showDropDown="0" showInputMessage="0" showErrorMessage="0" allowBlank="1" type="list">
      <formula1>INDIRECT("ST_"&amp;$C15)</formula1>
    </dataValidation>
    <dataValidation sqref="E15" showDropDown="0" showInputMessage="0" showErrorMessage="0" allowBlank="1" type="list">
      <formula1>INDIRECT($C15)</formula1>
    </dataValidation>
    <dataValidation sqref="D16" showDropDown="0" showInputMessage="0" showErrorMessage="0" allowBlank="1" type="list">
      <formula1>INDIRECT("ST_"&amp;$C16)</formula1>
    </dataValidation>
    <dataValidation sqref="E16" showDropDown="0" showInputMessage="0" showErrorMessage="0" allowBlank="1" type="list">
      <formula1>INDIRECT($C16)</formula1>
    </dataValidation>
    <dataValidation sqref="D17" showDropDown="0" showInputMessage="0" showErrorMessage="0" allowBlank="1" type="list">
      <formula1>INDIRECT("ST_"&amp;$C17)</formula1>
    </dataValidation>
    <dataValidation sqref="E17" showDropDown="0" showInputMessage="0" showErrorMessage="0" allowBlank="1" type="list">
      <formula1>INDIRECT($C17)</formula1>
    </dataValidation>
    <dataValidation sqref="D18" showDropDown="0" showInputMessage="0" showErrorMessage="0" allowBlank="1" type="list">
      <formula1>INDIRECT("ST_"&amp;$C18)</formula1>
    </dataValidation>
    <dataValidation sqref="E18" showDropDown="0" showInputMessage="0" showErrorMessage="0" allowBlank="1" type="list">
      <formula1>INDIRECT($C18)</formula1>
    </dataValidation>
    <dataValidation sqref="D19" showDropDown="0" showInputMessage="0" showErrorMessage="0" allowBlank="1" type="list">
      <formula1>INDIRECT("ST_"&amp;$C19)</formula1>
    </dataValidation>
    <dataValidation sqref="E19" showDropDown="0" showInputMessage="0" showErrorMessage="0" allowBlank="1" type="list">
      <formula1>INDIRECT($C19)</formula1>
    </dataValidation>
    <dataValidation sqref="D20" showDropDown="0" showInputMessage="0" showErrorMessage="0" allowBlank="1" type="list">
      <formula1>INDIRECT("ST_"&amp;$C20)</formula1>
    </dataValidation>
    <dataValidation sqref="E20" showDropDown="0" showInputMessage="0" showErrorMessage="0" allowBlank="1" type="list">
      <formula1>INDIRECT($C20)</formula1>
    </dataValidation>
    <dataValidation sqref="D21" showDropDown="0" showInputMessage="0" showErrorMessage="0" allowBlank="1" type="list">
      <formula1>INDIRECT("ST_"&amp;$C21)</formula1>
    </dataValidation>
    <dataValidation sqref="E21" showDropDown="0" showInputMessage="0" showErrorMessage="0" allowBlank="1" type="list">
      <formula1>INDIRECT($C21)</formula1>
    </dataValidation>
    <dataValidation sqref="D22" showDropDown="0" showInputMessage="0" showErrorMessage="0" allowBlank="1" type="list">
      <formula1>INDIRECT("ST_"&amp;$C22)</formula1>
    </dataValidation>
    <dataValidation sqref="E22" showDropDown="0" showInputMessage="0" showErrorMessage="0" allowBlank="1" type="list">
      <formula1>INDIRECT($C22)</formula1>
    </dataValidation>
    <dataValidation sqref="D23" showDropDown="0" showInputMessage="0" showErrorMessage="0" allowBlank="1" type="list">
      <formula1>INDIRECT("ST_"&amp;$C23)</formula1>
    </dataValidation>
    <dataValidation sqref="E23" showDropDown="0" showInputMessage="0" showErrorMessage="0" allowBlank="1" type="list">
      <formula1>INDIRECT($C23)</formula1>
    </dataValidation>
    <dataValidation sqref="D24" showDropDown="0" showInputMessage="0" showErrorMessage="0" allowBlank="1" type="list">
      <formula1>INDIRECT("ST_"&amp;$C24)</formula1>
    </dataValidation>
    <dataValidation sqref="E24" showDropDown="0" showInputMessage="0" showErrorMessage="0" allowBlank="1" type="list">
      <formula1>INDIRECT($C24)</formula1>
    </dataValidation>
    <dataValidation sqref="D25" showDropDown="0" showInputMessage="0" showErrorMessage="0" allowBlank="1" type="list">
      <formula1>INDIRECT("ST_"&amp;$C25)</formula1>
    </dataValidation>
    <dataValidation sqref="E25" showDropDown="0" showInputMessage="0" showErrorMessage="0" allowBlank="1" type="list">
      <formula1>INDIRECT($C25)</formula1>
    </dataValidation>
    <dataValidation sqref="D26" showDropDown="0" showInputMessage="0" showErrorMessage="0" allowBlank="1" type="list">
      <formula1>INDIRECT("ST_"&amp;$C26)</formula1>
    </dataValidation>
    <dataValidation sqref="E26" showDropDown="0" showInputMessage="0" showErrorMessage="0" allowBlank="1" type="list">
      <formula1>INDIRECT($C26)</formula1>
    </dataValidation>
    <dataValidation sqref="D27" showDropDown="0" showInputMessage="0" showErrorMessage="0" allowBlank="1" type="list">
      <formula1>INDIRECT("ST_"&amp;$C27)</formula1>
    </dataValidation>
    <dataValidation sqref="E27" showDropDown="0" showInputMessage="0" showErrorMessage="0" allowBlank="1" type="list">
      <formula1>INDIRECT($C27)</formula1>
    </dataValidation>
    <dataValidation sqref="D28" showDropDown="0" showInputMessage="0" showErrorMessage="0" allowBlank="1" type="list">
      <formula1>INDIRECT("ST_"&amp;$C28)</formula1>
    </dataValidation>
    <dataValidation sqref="E28" showDropDown="0" showInputMessage="0" showErrorMessage="0" allowBlank="1" type="list">
      <formula1>INDIRECT($C28)</formula1>
    </dataValidation>
    <dataValidation sqref="D29" showDropDown="0" showInputMessage="0" showErrorMessage="0" allowBlank="1" type="list">
      <formula1>INDIRECT("ST_"&amp;$C29)</formula1>
    </dataValidation>
    <dataValidation sqref="E29" showDropDown="0" showInputMessage="0" showErrorMessage="0" allowBlank="1" type="list">
      <formula1>INDIRECT($C29)</formula1>
    </dataValidation>
    <dataValidation sqref="D30" showDropDown="0" showInputMessage="0" showErrorMessage="0" allowBlank="1" type="list">
      <formula1>INDIRECT("ST_"&amp;$C30)</formula1>
    </dataValidation>
    <dataValidation sqref="E30" showDropDown="0" showInputMessage="0" showErrorMessage="0" allowBlank="1" type="list">
      <formula1>INDIRECT($C30)</formula1>
    </dataValidation>
    <dataValidation sqref="D31" showDropDown="0" showInputMessage="0" showErrorMessage="0" allowBlank="1" type="list">
      <formula1>INDIRECT("ST_"&amp;$C31)</formula1>
    </dataValidation>
    <dataValidation sqref="E31" showDropDown="0" showInputMessage="0" showErrorMessage="0" allowBlank="1" type="list">
      <formula1>INDIRECT($C31)</formula1>
    </dataValidation>
    <dataValidation sqref="D32" showDropDown="0" showInputMessage="0" showErrorMessage="0" allowBlank="1" type="list">
      <formula1>INDIRECT("ST_"&amp;$C32)</formula1>
    </dataValidation>
    <dataValidation sqref="E32" showDropDown="0" showInputMessage="0" showErrorMessage="0" allowBlank="1" type="list">
      <formula1>INDIRECT($C32)</formula1>
    </dataValidation>
    <dataValidation sqref="D33" showDropDown="0" showInputMessage="0" showErrorMessage="0" allowBlank="1" type="list">
      <formula1>INDIRECT("ST_"&amp;$C33)</formula1>
    </dataValidation>
    <dataValidation sqref="E33" showDropDown="0" showInputMessage="0" showErrorMessage="0" allowBlank="1" type="list">
      <formula1>INDIRECT($C33)</formula1>
    </dataValidation>
    <dataValidation sqref="D34" showDropDown="0" showInputMessage="0" showErrorMessage="0" allowBlank="1" type="list">
      <formula1>INDIRECT("ST_"&amp;$C34)</formula1>
    </dataValidation>
    <dataValidation sqref="E34" showDropDown="0" showInputMessage="0" showErrorMessage="0" allowBlank="1" type="list">
      <formula1>INDIRECT($C34)</formula1>
    </dataValidation>
    <dataValidation sqref="D35" showDropDown="0" showInputMessage="0" showErrorMessage="0" allowBlank="1" type="list">
      <formula1>INDIRECT("ST_"&amp;$C35)</formula1>
    </dataValidation>
    <dataValidation sqref="E35" showDropDown="0" showInputMessage="0" showErrorMessage="0" allowBlank="1" type="list">
      <formula1>INDIRECT($C35)</formula1>
    </dataValidation>
    <dataValidation sqref="D36" showDropDown="0" showInputMessage="0" showErrorMessage="0" allowBlank="1" type="list">
      <formula1>INDIRECT("ST_"&amp;$C36)</formula1>
    </dataValidation>
    <dataValidation sqref="E36" showDropDown="0" showInputMessage="0" showErrorMessage="0" allowBlank="1" type="list">
      <formula1>INDIRECT($C36)</formula1>
    </dataValidation>
    <dataValidation sqref="D37" showDropDown="0" showInputMessage="0" showErrorMessage="0" allowBlank="1" type="list">
      <formula1>INDIRECT("ST_"&amp;$C37)</formula1>
    </dataValidation>
    <dataValidation sqref="E37" showDropDown="0" showInputMessage="0" showErrorMessage="0" allowBlank="1" type="list">
      <formula1>INDIRECT($C37)</formula1>
    </dataValidation>
    <dataValidation sqref="D38" showDropDown="0" showInputMessage="0" showErrorMessage="0" allowBlank="1" type="list">
      <formula1>INDIRECT("ST_"&amp;$C38)</formula1>
    </dataValidation>
    <dataValidation sqref="E38" showDropDown="0" showInputMessage="0" showErrorMessage="0" allowBlank="1" type="list">
      <formula1>INDIRECT($C38)</formula1>
    </dataValidation>
    <dataValidation sqref="D39" showDropDown="0" showInputMessage="0" showErrorMessage="0" allowBlank="1" type="list">
      <formula1>INDIRECT("ST_"&amp;$C39)</formula1>
    </dataValidation>
    <dataValidation sqref="E39" showDropDown="0" showInputMessage="0" showErrorMessage="0" allowBlank="1" type="list">
      <formula1>INDIRECT($C39)</formula1>
    </dataValidation>
    <dataValidation sqref="D40" showDropDown="0" showInputMessage="0" showErrorMessage="0" allowBlank="1" type="list">
      <formula1>INDIRECT("ST_"&amp;$C40)</formula1>
    </dataValidation>
    <dataValidation sqref="E40" showDropDown="0" showInputMessage="0" showErrorMessage="0" allowBlank="1" type="list">
      <formula1>INDIRECT($C40)</formula1>
    </dataValidation>
    <dataValidation sqref="D41" showDropDown="0" showInputMessage="0" showErrorMessage="0" allowBlank="1" type="list">
      <formula1>INDIRECT("ST_"&amp;$C41)</formula1>
    </dataValidation>
    <dataValidation sqref="E41" showDropDown="0" showInputMessage="0" showErrorMessage="0" allowBlank="1" type="list">
      <formula1>INDIRECT($C41)</formula1>
    </dataValidation>
    <dataValidation sqref="D42" showDropDown="0" showInputMessage="0" showErrorMessage="0" allowBlank="1" type="list">
      <formula1>INDIRECT("ST_"&amp;$C42)</formula1>
    </dataValidation>
    <dataValidation sqref="E42" showDropDown="0" showInputMessage="0" showErrorMessage="0" allowBlank="1" type="list">
      <formula1>INDIRECT($C42)</formula1>
    </dataValidation>
    <dataValidation sqref="D43" showDropDown="0" showInputMessage="0" showErrorMessage="0" allowBlank="1" type="list">
      <formula1>INDIRECT("ST_"&amp;$C43)</formula1>
    </dataValidation>
    <dataValidation sqref="E43" showDropDown="0" showInputMessage="0" showErrorMessage="0" allowBlank="1" type="list">
      <formula1>INDIRECT($C43)</formula1>
    </dataValidation>
    <dataValidation sqref="D44" showDropDown="0" showInputMessage="0" showErrorMessage="0" allowBlank="1" type="list">
      <formula1>INDIRECT("ST_"&amp;$C44)</formula1>
    </dataValidation>
    <dataValidation sqref="E44" showDropDown="0" showInputMessage="0" showErrorMessage="0" allowBlank="1" type="list">
      <formula1>INDIRECT($C44)</formula1>
    </dataValidation>
    <dataValidation sqref="D45" showDropDown="0" showInputMessage="0" showErrorMessage="0" allowBlank="1" type="list">
      <formula1>INDIRECT("ST_"&amp;$C45)</formula1>
    </dataValidation>
    <dataValidation sqref="E45" showDropDown="0" showInputMessage="0" showErrorMessage="0" allowBlank="1" type="list">
      <formula1>INDIRECT($C45)</formula1>
    </dataValidation>
    <dataValidation sqref="D46" showDropDown="0" showInputMessage="0" showErrorMessage="0" allowBlank="1" type="list">
      <formula1>INDIRECT("ST_"&amp;$C46)</formula1>
    </dataValidation>
    <dataValidation sqref="E46" showDropDown="0" showInputMessage="0" showErrorMessage="0" allowBlank="1" type="list">
      <formula1>INDIRECT($C46)</formula1>
    </dataValidation>
    <dataValidation sqref="D47" showDropDown="0" showInputMessage="0" showErrorMessage="0" allowBlank="1" type="list">
      <formula1>INDIRECT("ST_"&amp;$C47)</formula1>
    </dataValidation>
    <dataValidation sqref="E47" showDropDown="0" showInputMessage="0" showErrorMessage="0" allowBlank="1" type="list">
      <formula1>INDIRECT($C47)</formula1>
    </dataValidation>
    <dataValidation sqref="D48" showDropDown="0" showInputMessage="0" showErrorMessage="0" allowBlank="1" type="list">
      <formula1>INDIRECT("ST_"&amp;$C48)</formula1>
    </dataValidation>
    <dataValidation sqref="E48" showDropDown="0" showInputMessage="0" showErrorMessage="0" allowBlank="1" type="list">
      <formula1>INDIRECT($C48)</formula1>
    </dataValidation>
    <dataValidation sqref="D49" showDropDown="0" showInputMessage="0" showErrorMessage="0" allowBlank="1" type="list">
      <formula1>INDIRECT("ST_"&amp;$C49)</formula1>
    </dataValidation>
    <dataValidation sqref="E49" showDropDown="0" showInputMessage="0" showErrorMessage="0" allowBlank="1" type="list">
      <formula1>INDIRECT($C49)</formula1>
    </dataValidation>
    <dataValidation sqref="D50" showDropDown="0" showInputMessage="0" showErrorMessage="0" allowBlank="1" type="list">
      <formula1>INDIRECT("ST_"&amp;$C50)</formula1>
    </dataValidation>
    <dataValidation sqref="E50" showDropDown="0" showInputMessage="0" showErrorMessage="0" allowBlank="1" type="list">
      <formula1>INDIRECT($C50)</formula1>
    </dataValidation>
    <dataValidation sqref="D51" showDropDown="0" showInputMessage="0" showErrorMessage="0" allowBlank="1" type="list">
      <formula1>INDIRECT("ST_"&amp;$C51)</formula1>
    </dataValidation>
    <dataValidation sqref="E51" showDropDown="0" showInputMessage="0" showErrorMessage="0" allowBlank="1" type="list">
      <formula1>INDIRECT($C51)</formula1>
    </dataValidation>
    <dataValidation sqref="D52" showDropDown="0" showInputMessage="0" showErrorMessage="0" allowBlank="1" type="list">
      <formula1>INDIRECT("ST_"&amp;$C52)</formula1>
    </dataValidation>
    <dataValidation sqref="E52" showDropDown="0" showInputMessage="0" showErrorMessage="0" allowBlank="1" type="list">
      <formula1>INDIRECT($C52)</formula1>
    </dataValidation>
    <dataValidation sqref="D53" showDropDown="0" showInputMessage="0" showErrorMessage="0" allowBlank="1" type="list">
      <formula1>INDIRECT("ST_"&amp;$C53)</formula1>
    </dataValidation>
    <dataValidation sqref="E53" showDropDown="0" showInputMessage="0" showErrorMessage="0" allowBlank="1" type="list">
      <formula1>INDIRECT($C53)</formula1>
    </dataValidation>
    <dataValidation sqref="D54" showDropDown="0" showInputMessage="0" showErrorMessage="0" allowBlank="1" type="list">
      <formula1>INDIRECT("ST_"&amp;$C54)</formula1>
    </dataValidation>
    <dataValidation sqref="E54" showDropDown="0" showInputMessage="0" showErrorMessage="0" allowBlank="1" type="list">
      <formula1>INDIRECT($C54)</formula1>
    </dataValidation>
    <dataValidation sqref="D55" showDropDown="0" showInputMessage="0" showErrorMessage="0" allowBlank="1" type="list">
      <formula1>INDIRECT("ST_"&amp;$C55)</formula1>
    </dataValidation>
    <dataValidation sqref="E55" showDropDown="0" showInputMessage="0" showErrorMessage="0" allowBlank="1" type="list">
      <formula1>INDIRECT($C55)</formula1>
    </dataValidation>
    <dataValidation sqref="D56" showDropDown="0" showInputMessage="0" showErrorMessage="0" allowBlank="1" type="list">
      <formula1>INDIRECT("ST_"&amp;$C56)</formula1>
    </dataValidation>
    <dataValidation sqref="E56" showDropDown="0" showInputMessage="0" showErrorMessage="0" allowBlank="1" type="list">
      <formula1>INDIRECT($C56)</formula1>
    </dataValidation>
    <dataValidation sqref="D57" showDropDown="0" showInputMessage="0" showErrorMessage="0" allowBlank="1" type="list">
      <formula1>INDIRECT("ST_"&amp;$C57)</formula1>
    </dataValidation>
    <dataValidation sqref="E57" showDropDown="0" showInputMessage="0" showErrorMessage="0" allowBlank="1" type="list">
      <formula1>INDIRECT($C57)</formula1>
    </dataValidation>
    <dataValidation sqref="D58" showDropDown="0" showInputMessage="0" showErrorMessage="0" allowBlank="1" type="list">
      <formula1>INDIRECT("ST_"&amp;$C58)</formula1>
    </dataValidation>
    <dataValidation sqref="E58" showDropDown="0" showInputMessage="0" showErrorMessage="0" allowBlank="1" type="list">
      <formula1>INDIRECT($C58)</formula1>
    </dataValidation>
    <dataValidation sqref="D59" showDropDown="0" showInputMessage="0" showErrorMessage="0" allowBlank="1" type="list">
      <formula1>INDIRECT("ST_"&amp;$C59)</formula1>
    </dataValidation>
    <dataValidation sqref="E59" showDropDown="0" showInputMessage="0" showErrorMessage="0" allowBlank="1" type="list">
      <formula1>INDIRECT($C59)</formula1>
    </dataValidation>
    <dataValidation sqref="D60" showDropDown="0" showInputMessage="0" showErrorMessage="0" allowBlank="1" type="list">
      <formula1>INDIRECT("ST_"&amp;$C60)</formula1>
    </dataValidation>
    <dataValidation sqref="E60" showDropDown="0" showInputMessage="0" showErrorMessage="0" allowBlank="1" type="list">
      <formula1>INDIRECT($C60)</formula1>
    </dataValidation>
    <dataValidation sqref="D61" showDropDown="0" showInputMessage="0" showErrorMessage="0" allowBlank="1" type="list">
      <formula1>INDIRECT("ST_"&amp;$C61)</formula1>
    </dataValidation>
    <dataValidation sqref="E61" showDropDown="0" showInputMessage="0" showErrorMessage="0" allowBlank="1" type="list">
      <formula1>INDIRECT($C61)</formula1>
    </dataValidation>
    <dataValidation sqref="D62" showDropDown="0" showInputMessage="0" showErrorMessage="0" allowBlank="1" type="list">
      <formula1>INDIRECT("ST_"&amp;$C62)</formula1>
    </dataValidation>
    <dataValidation sqref="E62" showDropDown="0" showInputMessage="0" showErrorMessage="0" allowBlank="1" type="list">
      <formula1>INDIRECT($C62)</formula1>
    </dataValidation>
    <dataValidation sqref="D63" showDropDown="0" showInputMessage="0" showErrorMessage="0" allowBlank="1" type="list">
      <formula1>INDIRECT("ST_"&amp;$C63)</formula1>
    </dataValidation>
    <dataValidation sqref="E63" showDropDown="0" showInputMessage="0" showErrorMessage="0" allowBlank="1" type="list">
      <formula1>INDIRECT($C63)</formula1>
    </dataValidation>
    <dataValidation sqref="D64" showDropDown="0" showInputMessage="0" showErrorMessage="0" allowBlank="1" type="list">
      <formula1>INDIRECT("ST_"&amp;$C64)</formula1>
    </dataValidation>
    <dataValidation sqref="E64" showDropDown="0" showInputMessage="0" showErrorMessage="0" allowBlank="1" type="list">
      <formula1>INDIRECT($C64)</formula1>
    </dataValidation>
    <dataValidation sqref="D65" showDropDown="0" showInputMessage="0" showErrorMessage="0" allowBlank="1" type="list">
      <formula1>INDIRECT("ST_"&amp;$C65)</formula1>
    </dataValidation>
    <dataValidation sqref="E65" showDropDown="0" showInputMessage="0" showErrorMessage="0" allowBlank="1" type="list">
      <formula1>INDIRECT($C65)</formula1>
    </dataValidation>
    <dataValidation sqref="D66" showDropDown="0" showInputMessage="0" showErrorMessage="0" allowBlank="1" type="list">
      <formula1>INDIRECT("ST_"&amp;$C66)</formula1>
    </dataValidation>
    <dataValidation sqref="E66" showDropDown="0" showInputMessage="0" showErrorMessage="0" allowBlank="1" type="list">
      <formula1>INDIRECT($C66)</formula1>
    </dataValidation>
    <dataValidation sqref="D67" showDropDown="0" showInputMessage="0" showErrorMessage="0" allowBlank="1" type="list">
      <formula1>INDIRECT("ST_"&amp;$C67)</formula1>
    </dataValidation>
    <dataValidation sqref="E67" showDropDown="0" showInputMessage="0" showErrorMessage="0" allowBlank="1" type="list">
      <formula1>INDIRECT($C67)</formula1>
    </dataValidation>
    <dataValidation sqref="D68" showDropDown="0" showInputMessage="0" showErrorMessage="0" allowBlank="1" type="list">
      <formula1>INDIRECT("ST_"&amp;$C68)</formula1>
    </dataValidation>
    <dataValidation sqref="E68" showDropDown="0" showInputMessage="0" showErrorMessage="0" allowBlank="1" type="list">
      <formula1>INDIRECT($C68)</formula1>
    </dataValidation>
    <dataValidation sqref="D69" showDropDown="0" showInputMessage="0" showErrorMessage="0" allowBlank="1" type="list">
      <formula1>INDIRECT("ST_"&amp;$C69)</formula1>
    </dataValidation>
    <dataValidation sqref="E69" showDropDown="0" showInputMessage="0" showErrorMessage="0" allowBlank="1" type="list">
      <formula1>INDIRECT($C69)</formula1>
    </dataValidation>
    <dataValidation sqref="D70" showDropDown="0" showInputMessage="0" showErrorMessage="0" allowBlank="1" type="list">
      <formula1>INDIRECT("ST_"&amp;$C70)</formula1>
    </dataValidation>
    <dataValidation sqref="E70" showDropDown="0" showInputMessage="0" showErrorMessage="0" allowBlank="1" type="list">
      <formula1>INDIRECT($C70)</formula1>
    </dataValidation>
    <dataValidation sqref="D71" showDropDown="0" showInputMessage="0" showErrorMessage="0" allowBlank="1" type="list">
      <formula1>INDIRECT("ST_"&amp;$C71)</formula1>
    </dataValidation>
    <dataValidation sqref="E71" showDropDown="0" showInputMessage="0" showErrorMessage="0" allowBlank="1" type="list">
      <formula1>INDIRECT($C71)</formula1>
    </dataValidation>
    <dataValidation sqref="D72" showDropDown="0" showInputMessage="0" showErrorMessage="0" allowBlank="1" type="list">
      <formula1>INDIRECT("ST_"&amp;$C72)</formula1>
    </dataValidation>
    <dataValidation sqref="E72" showDropDown="0" showInputMessage="0" showErrorMessage="0" allowBlank="1" type="list">
      <formula1>INDIRECT($C72)</formula1>
    </dataValidation>
    <dataValidation sqref="D73" showDropDown="0" showInputMessage="0" showErrorMessage="0" allowBlank="1" type="list">
      <formula1>INDIRECT("ST_"&amp;$C73)</formula1>
    </dataValidation>
    <dataValidation sqref="E73" showDropDown="0" showInputMessage="0" showErrorMessage="0" allowBlank="1" type="list">
      <formula1>INDIRECT($C73)</formula1>
    </dataValidation>
    <dataValidation sqref="D74" showDropDown="0" showInputMessage="0" showErrorMessage="0" allowBlank="1" type="list">
      <formula1>INDIRECT("ST_"&amp;$C74)</formula1>
    </dataValidation>
    <dataValidation sqref="E74" showDropDown="0" showInputMessage="0" showErrorMessage="0" allowBlank="1" type="list">
      <formula1>INDIRECT($C74)</formula1>
    </dataValidation>
    <dataValidation sqref="D75" showDropDown="0" showInputMessage="0" showErrorMessage="0" allowBlank="1" type="list">
      <formula1>INDIRECT("ST_"&amp;$C75)</formula1>
    </dataValidation>
    <dataValidation sqref="E75" showDropDown="0" showInputMessage="0" showErrorMessage="0" allowBlank="1" type="list">
      <formula1>INDIRECT($C75)</formula1>
    </dataValidation>
    <dataValidation sqref="D76" showDropDown="0" showInputMessage="0" showErrorMessage="0" allowBlank="1" type="list">
      <formula1>INDIRECT("ST_"&amp;$C76)</formula1>
    </dataValidation>
    <dataValidation sqref="E76" showDropDown="0" showInputMessage="0" showErrorMessage="0" allowBlank="1" type="list">
      <formula1>INDIRECT($C76)</formula1>
    </dataValidation>
    <dataValidation sqref="D77" showDropDown="0" showInputMessage="0" showErrorMessage="0" allowBlank="1" type="list">
      <formula1>INDIRECT("ST_"&amp;$C77)</formula1>
    </dataValidation>
    <dataValidation sqref="E77" showDropDown="0" showInputMessage="0" showErrorMessage="0" allowBlank="1" type="list">
      <formula1>INDIRECT($C77)</formula1>
    </dataValidation>
    <dataValidation sqref="D78" showDropDown="0" showInputMessage="0" showErrorMessage="0" allowBlank="1" type="list">
      <formula1>INDIRECT("ST_"&amp;$C78)</formula1>
    </dataValidation>
    <dataValidation sqref="E78" showDropDown="0" showInputMessage="0" showErrorMessage="0" allowBlank="1" type="list">
      <formula1>INDIRECT($C78)</formula1>
    </dataValidation>
    <dataValidation sqref="D79" showDropDown="0" showInputMessage="0" showErrorMessage="0" allowBlank="1" type="list">
      <formula1>INDIRECT("ST_"&amp;$C79)</formula1>
    </dataValidation>
    <dataValidation sqref="E79" showDropDown="0" showInputMessage="0" showErrorMessage="0" allowBlank="1" type="list">
      <formula1>INDIRECT($C79)</formula1>
    </dataValidation>
    <dataValidation sqref="D80" showDropDown="0" showInputMessage="0" showErrorMessage="0" allowBlank="1" type="list">
      <formula1>INDIRECT("ST_"&amp;$C80)</formula1>
    </dataValidation>
    <dataValidation sqref="E80" showDropDown="0" showInputMessage="0" showErrorMessage="0" allowBlank="1" type="list">
      <formula1>INDIRECT($C80)</formula1>
    </dataValidation>
    <dataValidation sqref="D81" showDropDown="0" showInputMessage="0" showErrorMessage="0" allowBlank="1" type="list">
      <formula1>INDIRECT("ST_"&amp;$C81)</formula1>
    </dataValidation>
    <dataValidation sqref="E81" showDropDown="0" showInputMessage="0" showErrorMessage="0" allowBlank="1" type="list">
      <formula1>INDIRECT($C81)</formula1>
    </dataValidation>
    <dataValidation sqref="D82" showDropDown="0" showInputMessage="0" showErrorMessage="0" allowBlank="1" type="list">
      <formula1>INDIRECT("ST_"&amp;$C82)</formula1>
    </dataValidation>
    <dataValidation sqref="E82" showDropDown="0" showInputMessage="0" showErrorMessage="0" allowBlank="1" type="list">
      <formula1>INDIRECT($C82)</formula1>
    </dataValidation>
    <dataValidation sqref="D83" showDropDown="0" showInputMessage="0" showErrorMessage="0" allowBlank="1" type="list">
      <formula1>INDIRECT("ST_"&amp;$C83)</formula1>
    </dataValidation>
    <dataValidation sqref="E83" showDropDown="0" showInputMessage="0" showErrorMessage="0" allowBlank="1" type="list">
      <formula1>INDIRECT($C83)</formula1>
    </dataValidation>
    <dataValidation sqref="D84" showDropDown="0" showInputMessage="0" showErrorMessage="0" allowBlank="1" type="list">
      <formula1>INDIRECT("ST_"&amp;$C84)</formula1>
    </dataValidation>
    <dataValidation sqref="E84" showDropDown="0" showInputMessage="0" showErrorMessage="0" allowBlank="1" type="list">
      <formula1>INDIRECT($C84)</formula1>
    </dataValidation>
    <dataValidation sqref="D85" showDropDown="0" showInputMessage="0" showErrorMessage="0" allowBlank="1" type="list">
      <formula1>INDIRECT("ST_"&amp;$C85)</formula1>
    </dataValidation>
    <dataValidation sqref="E85" showDropDown="0" showInputMessage="0" showErrorMessage="0" allowBlank="1" type="list">
      <formula1>INDIRECT($C85)</formula1>
    </dataValidation>
    <dataValidation sqref="D86" showDropDown="0" showInputMessage="0" showErrorMessage="0" allowBlank="1" type="list">
      <formula1>INDIRECT("ST_"&amp;$C86)</formula1>
    </dataValidation>
    <dataValidation sqref="E86" showDropDown="0" showInputMessage="0" showErrorMessage="0" allowBlank="1" type="list">
      <formula1>INDIRECT($C86)</formula1>
    </dataValidation>
    <dataValidation sqref="D87" showDropDown="0" showInputMessage="0" showErrorMessage="0" allowBlank="1" type="list">
      <formula1>INDIRECT("ST_"&amp;$C87)</formula1>
    </dataValidation>
    <dataValidation sqref="E87" showDropDown="0" showInputMessage="0" showErrorMessage="0" allowBlank="1" type="list">
      <formula1>INDIRECT($C87)</formula1>
    </dataValidation>
    <dataValidation sqref="D88" showDropDown="0" showInputMessage="0" showErrorMessage="0" allowBlank="1" type="list">
      <formula1>INDIRECT("ST_"&amp;$C88)</formula1>
    </dataValidation>
    <dataValidation sqref="E88" showDropDown="0" showInputMessage="0" showErrorMessage="0" allowBlank="1" type="list">
      <formula1>INDIRECT($C88)</formula1>
    </dataValidation>
    <dataValidation sqref="D89" showDropDown="0" showInputMessage="0" showErrorMessage="0" allowBlank="1" type="list">
      <formula1>INDIRECT("ST_"&amp;$C89)</formula1>
    </dataValidation>
    <dataValidation sqref="E89" showDropDown="0" showInputMessage="0" showErrorMessage="0" allowBlank="1" type="list">
      <formula1>INDIRECT($C89)</formula1>
    </dataValidation>
    <dataValidation sqref="D90" showDropDown="0" showInputMessage="0" showErrorMessage="0" allowBlank="1" type="list">
      <formula1>INDIRECT("ST_"&amp;$C90)</formula1>
    </dataValidation>
    <dataValidation sqref="E90" showDropDown="0" showInputMessage="0" showErrorMessage="0" allowBlank="1" type="list">
      <formula1>INDIRECT($C90)</formula1>
    </dataValidation>
    <dataValidation sqref="D91" showDropDown="0" showInputMessage="0" showErrorMessage="0" allowBlank="1" type="list">
      <formula1>INDIRECT("ST_"&amp;$C91)</formula1>
    </dataValidation>
    <dataValidation sqref="E91" showDropDown="0" showInputMessage="0" showErrorMessage="0" allowBlank="1" type="list">
      <formula1>INDIRECT($C91)</formula1>
    </dataValidation>
    <dataValidation sqref="D92" showDropDown="0" showInputMessage="0" showErrorMessage="0" allowBlank="1" type="list">
      <formula1>INDIRECT("ST_"&amp;$C92)</formula1>
    </dataValidation>
    <dataValidation sqref="E92" showDropDown="0" showInputMessage="0" showErrorMessage="0" allowBlank="1" type="list">
      <formula1>INDIRECT($C92)</formula1>
    </dataValidation>
    <dataValidation sqref="D93" showDropDown="0" showInputMessage="0" showErrorMessage="0" allowBlank="1" type="list">
      <formula1>INDIRECT("ST_"&amp;$C93)</formula1>
    </dataValidation>
    <dataValidation sqref="E93" showDropDown="0" showInputMessage="0" showErrorMessage="0" allowBlank="1" type="list">
      <formula1>INDIRECT($C93)</formula1>
    </dataValidation>
    <dataValidation sqref="D94" showDropDown="0" showInputMessage="0" showErrorMessage="0" allowBlank="1" type="list">
      <formula1>INDIRECT("ST_"&amp;$C94)</formula1>
    </dataValidation>
    <dataValidation sqref="E94" showDropDown="0" showInputMessage="0" showErrorMessage="0" allowBlank="1" type="list">
      <formula1>INDIRECT($C94)</formula1>
    </dataValidation>
    <dataValidation sqref="D95" showDropDown="0" showInputMessage="0" showErrorMessage="0" allowBlank="1" type="list">
      <formula1>INDIRECT("ST_"&amp;$C95)</formula1>
    </dataValidation>
    <dataValidation sqref="E95" showDropDown="0" showInputMessage="0" showErrorMessage="0" allowBlank="1" type="list">
      <formula1>INDIRECT($C95)</formula1>
    </dataValidation>
    <dataValidation sqref="D96" showDropDown="0" showInputMessage="0" showErrorMessage="0" allowBlank="1" type="list">
      <formula1>INDIRECT("ST_"&amp;$C96)</formula1>
    </dataValidation>
    <dataValidation sqref="E96" showDropDown="0" showInputMessage="0" showErrorMessage="0" allowBlank="1" type="list">
      <formula1>INDIRECT($C96)</formula1>
    </dataValidation>
    <dataValidation sqref="D97" showDropDown="0" showInputMessage="0" showErrorMessage="0" allowBlank="1" type="list">
      <formula1>INDIRECT("ST_"&amp;$C97)</formula1>
    </dataValidation>
    <dataValidation sqref="E97" showDropDown="0" showInputMessage="0" showErrorMessage="0" allowBlank="1" type="list">
      <formula1>INDIRECT($C97)</formula1>
    </dataValidation>
    <dataValidation sqref="D98" showDropDown="0" showInputMessage="0" showErrorMessage="0" allowBlank="1" type="list">
      <formula1>INDIRECT("ST_"&amp;$C98)</formula1>
    </dataValidation>
    <dataValidation sqref="E98" showDropDown="0" showInputMessage="0" showErrorMessage="0" allowBlank="1" type="list">
      <formula1>INDIRECT($C98)</formula1>
    </dataValidation>
    <dataValidation sqref="D99" showDropDown="0" showInputMessage="0" showErrorMessage="0" allowBlank="1" type="list">
      <formula1>INDIRECT("ST_"&amp;$C99)</formula1>
    </dataValidation>
    <dataValidation sqref="E99" showDropDown="0" showInputMessage="0" showErrorMessage="0" allowBlank="1" type="list">
      <formula1>INDIRECT($C99)</formula1>
    </dataValidation>
    <dataValidation sqref="D100" showDropDown="0" showInputMessage="0" showErrorMessage="0" allowBlank="1" type="list">
      <formula1>INDIRECT("ST_"&amp;$C100)</formula1>
    </dataValidation>
    <dataValidation sqref="E100" showDropDown="0" showInputMessage="0" showErrorMessage="0" allowBlank="1" type="list">
      <formula1>INDIRECT($C100)</formula1>
    </dataValidation>
    <dataValidation sqref="D101" showDropDown="0" showInputMessage="0" showErrorMessage="0" allowBlank="1" type="list">
      <formula1>INDIRECT("ST_"&amp;$C101)</formula1>
    </dataValidation>
    <dataValidation sqref="E101" showDropDown="0" showInputMessage="0" showErrorMessage="0" allowBlank="1" type="list">
      <formula1>INDIRECT($C101)</formula1>
    </dataValidation>
    <dataValidation sqref="D102" showDropDown="0" showInputMessage="0" showErrorMessage="0" allowBlank="1" type="list">
      <formula1>INDIRECT("ST_"&amp;$C102)</formula1>
    </dataValidation>
    <dataValidation sqref="E102" showDropDown="0" showInputMessage="0" showErrorMessage="0" allowBlank="1" type="list">
      <formula1>INDIRECT($C102)</formula1>
    </dataValidation>
    <dataValidation sqref="D103" showDropDown="0" showInputMessage="0" showErrorMessage="0" allowBlank="1" type="list">
      <formula1>INDIRECT("ST_"&amp;$C103)</formula1>
    </dataValidation>
    <dataValidation sqref="E103" showDropDown="0" showInputMessage="0" showErrorMessage="0" allowBlank="1" type="list">
      <formula1>INDIRECT($C103)</formula1>
    </dataValidation>
    <dataValidation sqref="D104" showDropDown="0" showInputMessage="0" showErrorMessage="0" allowBlank="1" type="list">
      <formula1>INDIRECT("ST_"&amp;$C104)</formula1>
    </dataValidation>
    <dataValidation sqref="E104" showDropDown="0" showInputMessage="0" showErrorMessage="0" allowBlank="1" type="list">
      <formula1>INDIRECT($C104)</formula1>
    </dataValidation>
    <dataValidation sqref="D105" showDropDown="0" showInputMessage="0" showErrorMessage="0" allowBlank="1" type="list">
      <formula1>INDIRECT("ST_"&amp;$C105)</formula1>
    </dataValidation>
    <dataValidation sqref="E105" showDropDown="0" showInputMessage="0" showErrorMessage="0" allowBlank="1" type="list">
      <formula1>INDIRECT($C105)</formula1>
    </dataValidation>
    <dataValidation sqref="D106" showDropDown="0" showInputMessage="0" showErrorMessage="0" allowBlank="1" type="list">
      <formula1>INDIRECT("ST_"&amp;$C106)</formula1>
    </dataValidation>
    <dataValidation sqref="E106" showDropDown="0" showInputMessage="0" showErrorMessage="0" allowBlank="1" type="list">
      <formula1>INDIRECT($C106)</formula1>
    </dataValidation>
    <dataValidation sqref="D107" showDropDown="0" showInputMessage="0" showErrorMessage="0" allowBlank="1" type="list">
      <formula1>INDIRECT("ST_"&amp;$C107)</formula1>
    </dataValidation>
    <dataValidation sqref="E107" showDropDown="0" showInputMessage="0" showErrorMessage="0" allowBlank="1" type="list">
      <formula1>INDIRECT($C107)</formula1>
    </dataValidation>
    <dataValidation sqref="D108" showDropDown="0" showInputMessage="0" showErrorMessage="0" allowBlank="1" type="list">
      <formula1>INDIRECT("ST_"&amp;$C108)</formula1>
    </dataValidation>
    <dataValidation sqref="E108" showDropDown="0" showInputMessage="0" showErrorMessage="0" allowBlank="1" type="list">
      <formula1>INDIRECT($C108)</formula1>
    </dataValidation>
    <dataValidation sqref="D109" showDropDown="0" showInputMessage="0" showErrorMessage="0" allowBlank="1" type="list">
      <formula1>INDIRECT("ST_"&amp;$C109)</formula1>
    </dataValidation>
    <dataValidation sqref="E109" showDropDown="0" showInputMessage="0" showErrorMessage="0" allowBlank="1" type="list">
      <formula1>INDIRECT($C109)</formula1>
    </dataValidation>
    <dataValidation sqref="D110" showDropDown="0" showInputMessage="0" showErrorMessage="0" allowBlank="1" type="list">
      <formula1>INDIRECT("ST_"&amp;$C110)</formula1>
    </dataValidation>
    <dataValidation sqref="E110" showDropDown="0" showInputMessage="0" showErrorMessage="0" allowBlank="1" type="list">
      <formula1>INDIRECT($C110)</formula1>
    </dataValidation>
    <dataValidation sqref="D111" showDropDown="0" showInputMessage="0" showErrorMessage="0" allowBlank="1" type="list">
      <formula1>INDIRECT("ST_"&amp;$C111)</formula1>
    </dataValidation>
    <dataValidation sqref="E111" showDropDown="0" showInputMessage="0" showErrorMessage="0" allowBlank="1" type="list">
      <formula1>INDIRECT($C111)</formula1>
    </dataValidation>
    <dataValidation sqref="D112" showDropDown="0" showInputMessage="0" showErrorMessage="0" allowBlank="1" type="list">
      <formula1>INDIRECT("ST_"&amp;$C112)</formula1>
    </dataValidation>
    <dataValidation sqref="E112" showDropDown="0" showInputMessage="0" showErrorMessage="0" allowBlank="1" type="list">
      <formula1>INDIRECT($C112)</formula1>
    </dataValidation>
    <dataValidation sqref="D113" showDropDown="0" showInputMessage="0" showErrorMessage="0" allowBlank="1" type="list">
      <formula1>INDIRECT("ST_"&amp;$C113)</formula1>
    </dataValidation>
    <dataValidation sqref="E113" showDropDown="0" showInputMessage="0" showErrorMessage="0" allowBlank="1" type="list">
      <formula1>INDIRECT($C113)</formula1>
    </dataValidation>
    <dataValidation sqref="D114" showDropDown="0" showInputMessage="0" showErrorMessage="0" allowBlank="1" type="list">
      <formula1>INDIRECT("ST_"&amp;$C114)</formula1>
    </dataValidation>
    <dataValidation sqref="E114" showDropDown="0" showInputMessage="0" showErrorMessage="0" allowBlank="1" type="list">
      <formula1>INDIRECT($C114)</formula1>
    </dataValidation>
    <dataValidation sqref="D115" showDropDown="0" showInputMessage="0" showErrorMessage="0" allowBlank="1" type="list">
      <formula1>INDIRECT("ST_"&amp;$C115)</formula1>
    </dataValidation>
    <dataValidation sqref="E115" showDropDown="0" showInputMessage="0" showErrorMessage="0" allowBlank="1" type="list">
      <formula1>INDIRECT($C115)</formula1>
    </dataValidation>
    <dataValidation sqref="D116" showDropDown="0" showInputMessage="0" showErrorMessage="0" allowBlank="1" type="list">
      <formula1>INDIRECT("ST_"&amp;$C116)</formula1>
    </dataValidation>
    <dataValidation sqref="E116" showDropDown="0" showInputMessage="0" showErrorMessage="0" allowBlank="1" type="list">
      <formula1>INDIRECT($C116)</formula1>
    </dataValidation>
    <dataValidation sqref="D117" showDropDown="0" showInputMessage="0" showErrorMessage="0" allowBlank="1" type="list">
      <formula1>INDIRECT("ST_"&amp;$C117)</formula1>
    </dataValidation>
    <dataValidation sqref="E117" showDropDown="0" showInputMessage="0" showErrorMessage="0" allowBlank="1" type="list">
      <formula1>INDIRECT($C117)</formula1>
    </dataValidation>
    <dataValidation sqref="D118" showDropDown="0" showInputMessage="0" showErrorMessage="0" allowBlank="1" type="list">
      <formula1>INDIRECT("ST_"&amp;$C118)</formula1>
    </dataValidation>
    <dataValidation sqref="E118" showDropDown="0" showInputMessage="0" showErrorMessage="0" allowBlank="1" type="list">
      <formula1>INDIRECT($C118)</formula1>
    </dataValidation>
    <dataValidation sqref="D119" showDropDown="0" showInputMessage="0" showErrorMessage="0" allowBlank="1" type="list">
      <formula1>INDIRECT("ST_"&amp;$C119)</formula1>
    </dataValidation>
    <dataValidation sqref="E119" showDropDown="0" showInputMessage="0" showErrorMessage="0" allowBlank="1" type="list">
      <formula1>INDIRECT($C119)</formula1>
    </dataValidation>
    <dataValidation sqref="D120" showDropDown="0" showInputMessage="0" showErrorMessage="0" allowBlank="1" type="list">
      <formula1>INDIRECT("ST_"&amp;$C120)</formula1>
    </dataValidation>
    <dataValidation sqref="E120" showDropDown="0" showInputMessage="0" showErrorMessage="0" allowBlank="1" type="list">
      <formula1>INDIRECT($C120)</formula1>
    </dataValidation>
    <dataValidation sqref="D121" showDropDown="0" showInputMessage="0" showErrorMessage="0" allowBlank="1" type="list">
      <formula1>INDIRECT("ST_"&amp;$C121)</formula1>
    </dataValidation>
    <dataValidation sqref="E121" showDropDown="0" showInputMessage="0" showErrorMessage="0" allowBlank="1" type="list">
      <formula1>INDIRECT($C121)</formula1>
    </dataValidation>
    <dataValidation sqref="D122" showDropDown="0" showInputMessage="0" showErrorMessage="0" allowBlank="1" type="list">
      <formula1>INDIRECT("ST_"&amp;$C122)</formula1>
    </dataValidation>
    <dataValidation sqref="E122" showDropDown="0" showInputMessage="0" showErrorMessage="0" allowBlank="1" type="list">
      <formula1>INDIRECT($C122)</formula1>
    </dataValidation>
    <dataValidation sqref="D123" showDropDown="0" showInputMessage="0" showErrorMessage="0" allowBlank="1" type="list">
      <formula1>INDIRECT("ST_"&amp;$C123)</formula1>
    </dataValidation>
    <dataValidation sqref="E123" showDropDown="0" showInputMessage="0" showErrorMessage="0" allowBlank="1" type="list">
      <formula1>INDIRECT($C123)</formula1>
    </dataValidation>
    <dataValidation sqref="D124" showDropDown="0" showInputMessage="0" showErrorMessage="0" allowBlank="1" type="list">
      <formula1>INDIRECT("ST_"&amp;$C124)</formula1>
    </dataValidation>
    <dataValidation sqref="E124" showDropDown="0" showInputMessage="0" showErrorMessage="0" allowBlank="1" type="list">
      <formula1>INDIRECT($C124)</formula1>
    </dataValidation>
    <dataValidation sqref="D125" showDropDown="0" showInputMessage="0" showErrorMessage="0" allowBlank="1" type="list">
      <formula1>INDIRECT("ST_"&amp;$C125)</formula1>
    </dataValidation>
    <dataValidation sqref="E125" showDropDown="0" showInputMessage="0" showErrorMessage="0" allowBlank="1" type="list">
      <formula1>INDIRECT($C125)</formula1>
    </dataValidation>
    <dataValidation sqref="D126" showDropDown="0" showInputMessage="0" showErrorMessage="0" allowBlank="1" type="list">
      <formula1>INDIRECT("ST_"&amp;$C126)</formula1>
    </dataValidation>
    <dataValidation sqref="E126" showDropDown="0" showInputMessage="0" showErrorMessage="0" allowBlank="1" type="list">
      <formula1>INDIRECT($C126)</formula1>
    </dataValidation>
    <dataValidation sqref="D127" showDropDown="0" showInputMessage="0" showErrorMessage="0" allowBlank="1" type="list">
      <formula1>INDIRECT("ST_"&amp;$C127)</formula1>
    </dataValidation>
    <dataValidation sqref="E127" showDropDown="0" showInputMessage="0" showErrorMessage="0" allowBlank="1" type="list">
      <formula1>INDIRECT($C127)</formula1>
    </dataValidation>
    <dataValidation sqref="D128" showDropDown="0" showInputMessage="0" showErrorMessage="0" allowBlank="1" type="list">
      <formula1>INDIRECT("ST_"&amp;$C128)</formula1>
    </dataValidation>
    <dataValidation sqref="E128" showDropDown="0" showInputMessage="0" showErrorMessage="0" allowBlank="1" type="list">
      <formula1>INDIRECT($C128)</formula1>
    </dataValidation>
    <dataValidation sqref="D129" showDropDown="0" showInputMessage="0" showErrorMessage="0" allowBlank="1" type="list">
      <formula1>INDIRECT("ST_"&amp;$C129)</formula1>
    </dataValidation>
    <dataValidation sqref="E129" showDropDown="0" showInputMessage="0" showErrorMessage="0" allowBlank="1" type="list">
      <formula1>INDIRECT($C129)</formula1>
    </dataValidation>
    <dataValidation sqref="D130" showDropDown="0" showInputMessage="0" showErrorMessage="0" allowBlank="1" type="list">
      <formula1>INDIRECT("ST_"&amp;$C130)</formula1>
    </dataValidation>
    <dataValidation sqref="E130" showDropDown="0" showInputMessage="0" showErrorMessage="0" allowBlank="1" type="list">
      <formula1>INDIRECT($C130)</formula1>
    </dataValidation>
    <dataValidation sqref="D131" showDropDown="0" showInputMessage="0" showErrorMessage="0" allowBlank="1" type="list">
      <formula1>INDIRECT("ST_"&amp;$C131)</formula1>
    </dataValidation>
    <dataValidation sqref="E131" showDropDown="0" showInputMessage="0" showErrorMessage="0" allowBlank="1" type="list">
      <formula1>INDIRECT($C131)</formula1>
    </dataValidation>
    <dataValidation sqref="D132" showDropDown="0" showInputMessage="0" showErrorMessage="0" allowBlank="1" type="list">
      <formula1>INDIRECT("ST_"&amp;$C132)</formula1>
    </dataValidation>
    <dataValidation sqref="E132" showDropDown="0" showInputMessage="0" showErrorMessage="0" allowBlank="1" type="list">
      <formula1>INDIRECT($C132)</formula1>
    </dataValidation>
    <dataValidation sqref="D133" showDropDown="0" showInputMessage="0" showErrorMessage="0" allowBlank="1" type="list">
      <formula1>INDIRECT("ST_"&amp;$C133)</formula1>
    </dataValidation>
    <dataValidation sqref="E133" showDropDown="0" showInputMessage="0" showErrorMessage="0" allowBlank="1" type="list">
      <formula1>INDIRECT($C133)</formula1>
    </dataValidation>
    <dataValidation sqref="D134" showDropDown="0" showInputMessage="0" showErrorMessage="0" allowBlank="1" type="list">
      <formula1>INDIRECT("ST_"&amp;$C134)</formula1>
    </dataValidation>
    <dataValidation sqref="E134" showDropDown="0" showInputMessage="0" showErrorMessage="0" allowBlank="1" type="list">
      <formula1>INDIRECT($C134)</formula1>
    </dataValidation>
    <dataValidation sqref="D135" showDropDown="0" showInputMessage="0" showErrorMessage="0" allowBlank="1" type="list">
      <formula1>INDIRECT("ST_"&amp;$C135)</formula1>
    </dataValidation>
    <dataValidation sqref="E135" showDropDown="0" showInputMessage="0" showErrorMessage="0" allowBlank="1" type="list">
      <formula1>INDIRECT($C135)</formula1>
    </dataValidation>
    <dataValidation sqref="D136" showDropDown="0" showInputMessage="0" showErrorMessage="0" allowBlank="1" type="list">
      <formula1>INDIRECT("ST_"&amp;$C136)</formula1>
    </dataValidation>
    <dataValidation sqref="E136" showDropDown="0" showInputMessage="0" showErrorMessage="0" allowBlank="1" type="list">
      <formula1>INDIRECT($C136)</formula1>
    </dataValidation>
    <dataValidation sqref="D137" showDropDown="0" showInputMessage="0" showErrorMessage="0" allowBlank="1" type="list">
      <formula1>INDIRECT("ST_"&amp;$C137)</formula1>
    </dataValidation>
    <dataValidation sqref="E137" showDropDown="0" showInputMessage="0" showErrorMessage="0" allowBlank="1" type="list">
      <formula1>INDIRECT($C137)</formula1>
    </dataValidation>
    <dataValidation sqref="D138" showDropDown="0" showInputMessage="0" showErrorMessage="0" allowBlank="1" type="list">
      <formula1>INDIRECT("ST_"&amp;$C138)</formula1>
    </dataValidation>
    <dataValidation sqref="E138" showDropDown="0" showInputMessage="0" showErrorMessage="0" allowBlank="1" type="list">
      <formula1>INDIRECT($C138)</formula1>
    </dataValidation>
    <dataValidation sqref="D139" showDropDown="0" showInputMessage="0" showErrorMessage="0" allowBlank="1" type="list">
      <formula1>INDIRECT("ST_"&amp;$C139)</formula1>
    </dataValidation>
    <dataValidation sqref="E139" showDropDown="0" showInputMessage="0" showErrorMessage="0" allowBlank="1" type="list">
      <formula1>INDIRECT($C139)</formula1>
    </dataValidation>
    <dataValidation sqref="D140" showDropDown="0" showInputMessage="0" showErrorMessage="0" allowBlank="1" type="list">
      <formula1>INDIRECT("ST_"&amp;$C140)</formula1>
    </dataValidation>
    <dataValidation sqref="E140" showDropDown="0" showInputMessage="0" showErrorMessage="0" allowBlank="1" type="list">
      <formula1>INDIRECT($C140)</formula1>
    </dataValidation>
    <dataValidation sqref="D141" showDropDown="0" showInputMessage="0" showErrorMessage="0" allowBlank="1" type="list">
      <formula1>INDIRECT("ST_"&amp;$C141)</formula1>
    </dataValidation>
    <dataValidation sqref="E141" showDropDown="0" showInputMessage="0" showErrorMessage="0" allowBlank="1" type="list">
      <formula1>INDIRECT($C141)</formula1>
    </dataValidation>
    <dataValidation sqref="D142" showDropDown="0" showInputMessage="0" showErrorMessage="0" allowBlank="1" type="list">
      <formula1>INDIRECT("ST_"&amp;$C142)</formula1>
    </dataValidation>
    <dataValidation sqref="E142" showDropDown="0" showInputMessage="0" showErrorMessage="0" allowBlank="1" type="list">
      <formula1>INDIRECT($C142)</formula1>
    </dataValidation>
    <dataValidation sqref="D143" showDropDown="0" showInputMessage="0" showErrorMessage="0" allowBlank="1" type="list">
      <formula1>INDIRECT("ST_"&amp;$C143)</formula1>
    </dataValidation>
    <dataValidation sqref="E143" showDropDown="0" showInputMessage="0" showErrorMessage="0" allowBlank="1" type="list">
      <formula1>INDIRECT($C143)</formula1>
    </dataValidation>
    <dataValidation sqref="D144" showDropDown="0" showInputMessage="0" showErrorMessage="0" allowBlank="1" type="list">
      <formula1>INDIRECT("ST_"&amp;$C144)</formula1>
    </dataValidation>
    <dataValidation sqref="E144" showDropDown="0" showInputMessage="0" showErrorMessage="0" allowBlank="1" type="list">
      <formula1>INDIRECT($C144)</formula1>
    </dataValidation>
    <dataValidation sqref="D145" showDropDown="0" showInputMessage="0" showErrorMessage="0" allowBlank="1" type="list">
      <formula1>INDIRECT("ST_"&amp;$C145)</formula1>
    </dataValidation>
    <dataValidation sqref="E145" showDropDown="0" showInputMessage="0" showErrorMessage="0" allowBlank="1" type="list">
      <formula1>INDIRECT($C145)</formula1>
    </dataValidation>
    <dataValidation sqref="D146" showDropDown="0" showInputMessage="0" showErrorMessage="0" allowBlank="1" type="list">
      <formula1>INDIRECT("ST_"&amp;$C146)</formula1>
    </dataValidation>
    <dataValidation sqref="E146" showDropDown="0" showInputMessage="0" showErrorMessage="0" allowBlank="1" type="list">
      <formula1>INDIRECT($C146)</formula1>
    </dataValidation>
    <dataValidation sqref="D147" showDropDown="0" showInputMessage="0" showErrorMessage="0" allowBlank="1" type="list">
      <formula1>INDIRECT("ST_"&amp;$C147)</formula1>
    </dataValidation>
    <dataValidation sqref="E147" showDropDown="0" showInputMessage="0" showErrorMessage="0" allowBlank="1" type="list">
      <formula1>INDIRECT($C147)</formula1>
    </dataValidation>
    <dataValidation sqref="D148" showDropDown="0" showInputMessage="0" showErrorMessage="0" allowBlank="1" type="list">
      <formula1>INDIRECT("ST_"&amp;$C148)</formula1>
    </dataValidation>
    <dataValidation sqref="E148" showDropDown="0" showInputMessage="0" showErrorMessage="0" allowBlank="1" type="list">
      <formula1>INDIRECT($C148)</formula1>
    </dataValidation>
    <dataValidation sqref="D149" showDropDown="0" showInputMessage="0" showErrorMessage="0" allowBlank="1" type="list">
      <formula1>INDIRECT("ST_"&amp;$C149)</formula1>
    </dataValidation>
    <dataValidation sqref="E149" showDropDown="0" showInputMessage="0" showErrorMessage="0" allowBlank="1" type="list">
      <formula1>INDIRECT($C149)</formula1>
    </dataValidation>
    <dataValidation sqref="D150" showDropDown="0" showInputMessage="0" showErrorMessage="0" allowBlank="1" type="list">
      <formula1>INDIRECT("ST_"&amp;$C150)</formula1>
    </dataValidation>
    <dataValidation sqref="E150" showDropDown="0" showInputMessage="0" showErrorMessage="0" allowBlank="1" type="list">
      <formula1>INDIRECT($C150)</formula1>
    </dataValidation>
    <dataValidation sqref="D151" showDropDown="0" showInputMessage="0" showErrorMessage="0" allowBlank="1" type="list">
      <formula1>INDIRECT("ST_"&amp;$C151)</formula1>
    </dataValidation>
    <dataValidation sqref="E151" showDropDown="0" showInputMessage="0" showErrorMessage="0" allowBlank="1" type="list">
      <formula1>INDIRECT($C151)</formula1>
    </dataValidation>
    <dataValidation sqref="D152" showDropDown="0" showInputMessage="0" showErrorMessage="0" allowBlank="1" type="list">
      <formula1>INDIRECT("ST_"&amp;$C152)</formula1>
    </dataValidation>
    <dataValidation sqref="E152" showDropDown="0" showInputMessage="0" showErrorMessage="0" allowBlank="1" type="list">
      <formula1>INDIRECT($C152)</formula1>
    </dataValidation>
    <dataValidation sqref="D153" showDropDown="0" showInputMessage="0" showErrorMessage="0" allowBlank="1" type="list">
      <formula1>INDIRECT("ST_"&amp;$C153)</formula1>
    </dataValidation>
    <dataValidation sqref="E153" showDropDown="0" showInputMessage="0" showErrorMessage="0" allowBlank="1" type="list">
      <formula1>INDIRECT($C153)</formula1>
    </dataValidation>
    <dataValidation sqref="D154" showDropDown="0" showInputMessage="0" showErrorMessage="0" allowBlank="1" type="list">
      <formula1>INDIRECT("ST_"&amp;$C154)</formula1>
    </dataValidation>
    <dataValidation sqref="E154" showDropDown="0" showInputMessage="0" showErrorMessage="0" allowBlank="1" type="list">
      <formula1>INDIRECT($C154)</formula1>
    </dataValidation>
    <dataValidation sqref="D155" showDropDown="0" showInputMessage="0" showErrorMessage="0" allowBlank="1" type="list">
      <formula1>INDIRECT("ST_"&amp;$C155)</formula1>
    </dataValidation>
    <dataValidation sqref="E155" showDropDown="0" showInputMessage="0" showErrorMessage="0" allowBlank="1" type="list">
      <formula1>INDIRECT($C155)</formula1>
    </dataValidation>
    <dataValidation sqref="D156" showDropDown="0" showInputMessage="0" showErrorMessage="0" allowBlank="1" type="list">
      <formula1>INDIRECT("ST_"&amp;$C156)</formula1>
    </dataValidation>
    <dataValidation sqref="E156" showDropDown="0" showInputMessage="0" showErrorMessage="0" allowBlank="1" type="list">
      <formula1>INDIRECT($C156)</formula1>
    </dataValidation>
    <dataValidation sqref="D157" showDropDown="0" showInputMessage="0" showErrorMessage="0" allowBlank="1" type="list">
      <formula1>INDIRECT("ST_"&amp;$C157)</formula1>
    </dataValidation>
    <dataValidation sqref="E157" showDropDown="0" showInputMessage="0" showErrorMessage="0" allowBlank="1" type="list">
      <formula1>INDIRECT($C157)</formula1>
    </dataValidation>
    <dataValidation sqref="D158" showDropDown="0" showInputMessage="0" showErrorMessage="0" allowBlank="1" type="list">
      <formula1>INDIRECT("ST_"&amp;$C158)</formula1>
    </dataValidation>
    <dataValidation sqref="E158" showDropDown="0" showInputMessage="0" showErrorMessage="0" allowBlank="1" type="list">
      <formula1>INDIRECT($C158)</formula1>
    </dataValidation>
    <dataValidation sqref="D159" showDropDown="0" showInputMessage="0" showErrorMessage="0" allowBlank="1" type="list">
      <formula1>INDIRECT("ST_"&amp;$C159)</formula1>
    </dataValidation>
    <dataValidation sqref="E159" showDropDown="0" showInputMessage="0" showErrorMessage="0" allowBlank="1" type="list">
      <formula1>INDIRECT($C159)</formula1>
    </dataValidation>
    <dataValidation sqref="D160" showDropDown="0" showInputMessage="0" showErrorMessage="0" allowBlank="1" type="list">
      <formula1>INDIRECT("ST_"&amp;$C160)</formula1>
    </dataValidation>
    <dataValidation sqref="E160" showDropDown="0" showInputMessage="0" showErrorMessage="0" allowBlank="1" type="list">
      <formula1>INDIRECT($C160)</formula1>
    </dataValidation>
    <dataValidation sqref="D161" showDropDown="0" showInputMessage="0" showErrorMessage="0" allowBlank="1" type="list">
      <formula1>INDIRECT("ST_"&amp;$C161)</formula1>
    </dataValidation>
    <dataValidation sqref="E161" showDropDown="0" showInputMessage="0" showErrorMessage="0" allowBlank="1" type="list">
      <formula1>INDIRECT($C161)</formula1>
    </dataValidation>
    <dataValidation sqref="D162" showDropDown="0" showInputMessage="0" showErrorMessage="0" allowBlank="1" type="list">
      <formula1>INDIRECT("ST_"&amp;$C162)</formula1>
    </dataValidation>
    <dataValidation sqref="E162" showDropDown="0" showInputMessage="0" showErrorMessage="0" allowBlank="1" type="list">
      <formula1>INDIRECT($C162)</formula1>
    </dataValidation>
    <dataValidation sqref="D163" showDropDown="0" showInputMessage="0" showErrorMessage="0" allowBlank="1" type="list">
      <formula1>INDIRECT("ST_"&amp;$C163)</formula1>
    </dataValidation>
    <dataValidation sqref="E163" showDropDown="0" showInputMessage="0" showErrorMessage="0" allowBlank="1" type="list">
      <formula1>INDIRECT($C163)</formula1>
    </dataValidation>
    <dataValidation sqref="D164" showDropDown="0" showInputMessage="0" showErrorMessage="0" allowBlank="1" type="list">
      <formula1>INDIRECT("ST_"&amp;$C164)</formula1>
    </dataValidation>
    <dataValidation sqref="E164" showDropDown="0" showInputMessage="0" showErrorMessage="0" allowBlank="1" type="list">
      <formula1>INDIRECT($C164)</formula1>
    </dataValidation>
    <dataValidation sqref="D165" showDropDown="0" showInputMessage="0" showErrorMessage="0" allowBlank="1" type="list">
      <formula1>INDIRECT("ST_"&amp;$C165)</formula1>
    </dataValidation>
    <dataValidation sqref="E165" showDropDown="0" showInputMessage="0" showErrorMessage="0" allowBlank="1" type="list">
      <formula1>INDIRECT($C165)</formula1>
    </dataValidation>
    <dataValidation sqref="D166" showDropDown="0" showInputMessage="0" showErrorMessage="0" allowBlank="1" type="list">
      <formula1>INDIRECT("ST_"&amp;$C166)</formula1>
    </dataValidation>
    <dataValidation sqref="E166" showDropDown="0" showInputMessage="0" showErrorMessage="0" allowBlank="1" type="list">
      <formula1>INDIRECT($C166)</formula1>
    </dataValidation>
    <dataValidation sqref="D167" showDropDown="0" showInputMessage="0" showErrorMessage="0" allowBlank="1" type="list">
      <formula1>INDIRECT("ST_"&amp;$C167)</formula1>
    </dataValidation>
    <dataValidation sqref="E167" showDropDown="0" showInputMessage="0" showErrorMessage="0" allowBlank="1" type="list">
      <formula1>INDIRECT($C167)</formula1>
    </dataValidation>
    <dataValidation sqref="D168" showDropDown="0" showInputMessage="0" showErrorMessage="0" allowBlank="1" type="list">
      <formula1>INDIRECT("ST_"&amp;$C168)</formula1>
    </dataValidation>
    <dataValidation sqref="E168" showDropDown="0" showInputMessage="0" showErrorMessage="0" allowBlank="1" type="list">
      <formula1>INDIRECT($C168)</formula1>
    </dataValidation>
    <dataValidation sqref="D169" showDropDown="0" showInputMessage="0" showErrorMessage="0" allowBlank="1" type="list">
      <formula1>INDIRECT("ST_"&amp;$C169)</formula1>
    </dataValidation>
    <dataValidation sqref="E169" showDropDown="0" showInputMessage="0" showErrorMessage="0" allowBlank="1" type="list">
      <formula1>INDIRECT($C169)</formula1>
    </dataValidation>
    <dataValidation sqref="D170" showDropDown="0" showInputMessage="0" showErrorMessage="0" allowBlank="1" type="list">
      <formula1>INDIRECT("ST_"&amp;$C170)</formula1>
    </dataValidation>
    <dataValidation sqref="E170" showDropDown="0" showInputMessage="0" showErrorMessage="0" allowBlank="1" type="list">
      <formula1>INDIRECT($C170)</formula1>
    </dataValidation>
    <dataValidation sqref="D171" showDropDown="0" showInputMessage="0" showErrorMessage="0" allowBlank="1" type="list">
      <formula1>INDIRECT("ST_"&amp;$C171)</formula1>
    </dataValidation>
    <dataValidation sqref="E171" showDropDown="0" showInputMessage="0" showErrorMessage="0" allowBlank="1" type="list">
      <formula1>INDIRECT($C171)</formula1>
    </dataValidation>
    <dataValidation sqref="D172" showDropDown="0" showInputMessage="0" showErrorMessage="0" allowBlank="1" type="list">
      <formula1>INDIRECT("ST_"&amp;$C172)</formula1>
    </dataValidation>
    <dataValidation sqref="E172" showDropDown="0" showInputMessage="0" showErrorMessage="0" allowBlank="1" type="list">
      <formula1>INDIRECT($C172)</formula1>
    </dataValidation>
    <dataValidation sqref="D173" showDropDown="0" showInputMessage="0" showErrorMessage="0" allowBlank="1" type="list">
      <formula1>INDIRECT("ST_"&amp;$C173)</formula1>
    </dataValidation>
    <dataValidation sqref="E173" showDropDown="0" showInputMessage="0" showErrorMessage="0" allowBlank="1" type="list">
      <formula1>INDIRECT($C173)</formula1>
    </dataValidation>
    <dataValidation sqref="D174" showDropDown="0" showInputMessage="0" showErrorMessage="0" allowBlank="1" type="list">
      <formula1>INDIRECT("ST_"&amp;$C174)</formula1>
    </dataValidation>
    <dataValidation sqref="E174" showDropDown="0" showInputMessage="0" showErrorMessage="0" allowBlank="1" type="list">
      <formula1>INDIRECT($C174)</formula1>
    </dataValidation>
    <dataValidation sqref="D175" showDropDown="0" showInputMessage="0" showErrorMessage="0" allowBlank="1" type="list">
      <formula1>INDIRECT("ST_"&amp;$C175)</formula1>
    </dataValidation>
    <dataValidation sqref="E175" showDropDown="0" showInputMessage="0" showErrorMessage="0" allowBlank="1" type="list">
      <formula1>INDIRECT($C175)</formula1>
    </dataValidation>
    <dataValidation sqref="D176" showDropDown="0" showInputMessage="0" showErrorMessage="0" allowBlank="1" type="list">
      <formula1>INDIRECT("ST_"&amp;$C176)</formula1>
    </dataValidation>
    <dataValidation sqref="E176" showDropDown="0" showInputMessage="0" showErrorMessage="0" allowBlank="1" type="list">
      <formula1>INDIRECT($C176)</formula1>
    </dataValidation>
    <dataValidation sqref="D177" showDropDown="0" showInputMessage="0" showErrorMessage="0" allowBlank="1" type="list">
      <formula1>INDIRECT("ST_"&amp;$C177)</formula1>
    </dataValidation>
    <dataValidation sqref="E177" showDropDown="0" showInputMessage="0" showErrorMessage="0" allowBlank="1" type="list">
      <formula1>INDIRECT($C177)</formula1>
    </dataValidation>
    <dataValidation sqref="D178" showDropDown="0" showInputMessage="0" showErrorMessage="0" allowBlank="1" type="list">
      <formula1>INDIRECT("ST_"&amp;$C178)</formula1>
    </dataValidation>
    <dataValidation sqref="E178" showDropDown="0" showInputMessage="0" showErrorMessage="0" allowBlank="1" type="list">
      <formula1>INDIRECT($C178)</formula1>
    </dataValidation>
    <dataValidation sqref="D179" showDropDown="0" showInputMessage="0" showErrorMessage="0" allowBlank="1" type="list">
      <formula1>INDIRECT("ST_"&amp;$C179)</formula1>
    </dataValidation>
    <dataValidation sqref="E179" showDropDown="0" showInputMessage="0" showErrorMessage="0" allowBlank="1" type="list">
      <formula1>INDIRECT($C179)</formula1>
    </dataValidation>
    <dataValidation sqref="D180" showDropDown="0" showInputMessage="0" showErrorMessage="0" allowBlank="1" type="list">
      <formula1>INDIRECT("ST_"&amp;$C180)</formula1>
    </dataValidation>
    <dataValidation sqref="E180" showDropDown="0" showInputMessage="0" showErrorMessage="0" allowBlank="1" type="list">
      <formula1>INDIRECT($C180)</formula1>
    </dataValidation>
    <dataValidation sqref="D181" showDropDown="0" showInputMessage="0" showErrorMessage="0" allowBlank="1" type="list">
      <formula1>INDIRECT("ST_"&amp;$C181)</formula1>
    </dataValidation>
    <dataValidation sqref="E181" showDropDown="0" showInputMessage="0" showErrorMessage="0" allowBlank="1" type="list">
      <formula1>INDIRECT($C181)</formula1>
    </dataValidation>
    <dataValidation sqref="D182" showDropDown="0" showInputMessage="0" showErrorMessage="0" allowBlank="1" type="list">
      <formula1>INDIRECT("ST_"&amp;$C182)</formula1>
    </dataValidation>
    <dataValidation sqref="E182" showDropDown="0" showInputMessage="0" showErrorMessage="0" allowBlank="1" type="list">
      <formula1>INDIRECT($C182)</formula1>
    </dataValidation>
    <dataValidation sqref="D183" showDropDown="0" showInputMessage="0" showErrorMessage="0" allowBlank="1" type="list">
      <formula1>INDIRECT("ST_"&amp;$C183)</formula1>
    </dataValidation>
    <dataValidation sqref="E183" showDropDown="0" showInputMessage="0" showErrorMessage="0" allowBlank="1" type="list">
      <formula1>INDIRECT($C183)</formula1>
    </dataValidation>
    <dataValidation sqref="D184" showDropDown="0" showInputMessage="0" showErrorMessage="0" allowBlank="1" type="list">
      <formula1>INDIRECT("ST_"&amp;$C184)</formula1>
    </dataValidation>
    <dataValidation sqref="E184" showDropDown="0" showInputMessage="0" showErrorMessage="0" allowBlank="1" type="list">
      <formula1>INDIRECT($C184)</formula1>
    </dataValidation>
    <dataValidation sqref="D185" showDropDown="0" showInputMessage="0" showErrorMessage="0" allowBlank="1" type="list">
      <formula1>INDIRECT("ST_"&amp;$C185)</formula1>
    </dataValidation>
    <dataValidation sqref="E185" showDropDown="0" showInputMessage="0" showErrorMessage="0" allowBlank="1" type="list">
      <formula1>INDIRECT($C185)</formula1>
    </dataValidation>
    <dataValidation sqref="D186" showDropDown="0" showInputMessage="0" showErrorMessage="0" allowBlank="1" type="list">
      <formula1>INDIRECT("ST_"&amp;$C186)</formula1>
    </dataValidation>
    <dataValidation sqref="E186" showDropDown="0" showInputMessage="0" showErrorMessage="0" allowBlank="1" type="list">
      <formula1>INDIRECT($C186)</formula1>
    </dataValidation>
    <dataValidation sqref="D187" showDropDown="0" showInputMessage="0" showErrorMessage="0" allowBlank="1" type="list">
      <formula1>INDIRECT("ST_"&amp;$C187)</formula1>
    </dataValidation>
    <dataValidation sqref="E187" showDropDown="0" showInputMessage="0" showErrorMessage="0" allowBlank="1" type="list">
      <formula1>INDIRECT($C187)</formula1>
    </dataValidation>
    <dataValidation sqref="D188" showDropDown="0" showInputMessage="0" showErrorMessage="0" allowBlank="1" type="list">
      <formula1>INDIRECT("ST_"&amp;$C188)</formula1>
    </dataValidation>
    <dataValidation sqref="E188" showDropDown="0" showInputMessage="0" showErrorMessage="0" allowBlank="1" type="list">
      <formula1>INDIRECT($C188)</formula1>
    </dataValidation>
    <dataValidation sqref="D189" showDropDown="0" showInputMessage="0" showErrorMessage="0" allowBlank="1" type="list">
      <formula1>INDIRECT("ST_"&amp;$C189)</formula1>
    </dataValidation>
    <dataValidation sqref="E189" showDropDown="0" showInputMessage="0" showErrorMessage="0" allowBlank="1" type="list">
      <formula1>INDIRECT($C189)</formula1>
    </dataValidation>
    <dataValidation sqref="D190" showDropDown="0" showInputMessage="0" showErrorMessage="0" allowBlank="1" type="list">
      <formula1>INDIRECT("ST_"&amp;$C190)</formula1>
    </dataValidation>
    <dataValidation sqref="E190" showDropDown="0" showInputMessage="0" showErrorMessage="0" allowBlank="1" type="list">
      <formula1>INDIRECT($C190)</formula1>
    </dataValidation>
    <dataValidation sqref="D191" showDropDown="0" showInputMessage="0" showErrorMessage="0" allowBlank="1" type="list">
      <formula1>INDIRECT("ST_"&amp;$C191)</formula1>
    </dataValidation>
    <dataValidation sqref="E191" showDropDown="0" showInputMessage="0" showErrorMessage="0" allowBlank="1" type="list">
      <formula1>INDIRECT($C191)</formula1>
    </dataValidation>
    <dataValidation sqref="D192" showDropDown="0" showInputMessage="0" showErrorMessage="0" allowBlank="1" type="list">
      <formula1>INDIRECT("ST_"&amp;$C192)</formula1>
    </dataValidation>
    <dataValidation sqref="E192" showDropDown="0" showInputMessage="0" showErrorMessage="0" allowBlank="1" type="list">
      <formula1>INDIRECT($C192)</formula1>
    </dataValidation>
    <dataValidation sqref="D193" showDropDown="0" showInputMessage="0" showErrorMessage="0" allowBlank="1" type="list">
      <formula1>INDIRECT("ST_"&amp;$C193)</formula1>
    </dataValidation>
    <dataValidation sqref="E193" showDropDown="0" showInputMessage="0" showErrorMessage="0" allowBlank="1" type="list">
      <formula1>INDIRECT($C193)</formula1>
    </dataValidation>
    <dataValidation sqref="D194" showDropDown="0" showInputMessage="0" showErrorMessage="0" allowBlank="1" type="list">
      <formula1>INDIRECT("ST_"&amp;$C194)</formula1>
    </dataValidation>
    <dataValidation sqref="E194" showDropDown="0" showInputMessage="0" showErrorMessage="0" allowBlank="1" type="list">
      <formula1>INDIRECT($C194)</formula1>
    </dataValidation>
    <dataValidation sqref="D195" showDropDown="0" showInputMessage="0" showErrorMessage="0" allowBlank="1" type="list">
      <formula1>INDIRECT("ST_"&amp;$C195)</formula1>
    </dataValidation>
    <dataValidation sqref="E195" showDropDown="0" showInputMessage="0" showErrorMessage="0" allowBlank="1" type="list">
      <formula1>INDIRECT($C195)</formula1>
    </dataValidation>
    <dataValidation sqref="D196" showDropDown="0" showInputMessage="0" showErrorMessage="0" allowBlank="1" type="list">
      <formula1>INDIRECT("ST_"&amp;$C196)</formula1>
    </dataValidation>
    <dataValidation sqref="E196" showDropDown="0" showInputMessage="0" showErrorMessage="0" allowBlank="1" type="list">
      <formula1>INDIRECT($C196)</formula1>
    </dataValidation>
    <dataValidation sqref="D197" showDropDown="0" showInputMessage="0" showErrorMessage="0" allowBlank="1" type="list">
      <formula1>INDIRECT("ST_"&amp;$C197)</formula1>
    </dataValidation>
    <dataValidation sqref="E197" showDropDown="0" showInputMessage="0" showErrorMessage="0" allowBlank="1" type="list">
      <formula1>INDIRECT($C197)</formula1>
    </dataValidation>
    <dataValidation sqref="D198" showDropDown="0" showInputMessage="0" showErrorMessage="0" allowBlank="1" type="list">
      <formula1>INDIRECT("ST_"&amp;$C198)</formula1>
    </dataValidation>
    <dataValidation sqref="E198" showDropDown="0" showInputMessage="0" showErrorMessage="0" allowBlank="1" type="list">
      <formula1>INDIRECT($C198)</formula1>
    </dataValidation>
    <dataValidation sqref="D199" showDropDown="0" showInputMessage="0" showErrorMessage="0" allowBlank="1" type="list">
      <formula1>INDIRECT("ST_"&amp;$C199)</formula1>
    </dataValidation>
    <dataValidation sqref="E199" showDropDown="0" showInputMessage="0" showErrorMessage="0" allowBlank="1" type="list">
      <formula1>INDIRECT($C199)</formula1>
    </dataValidation>
    <dataValidation sqref="D200" showDropDown="0" showInputMessage="0" showErrorMessage="0" allowBlank="1" type="list">
      <formula1>INDIRECT("ST_"&amp;$C200)</formula1>
    </dataValidation>
    <dataValidation sqref="E200" showDropDown="0" showInputMessage="0" showErrorMessage="0" allowBlank="1" type="list">
      <formula1>INDIRECT($C200)</formula1>
    </dataValidation>
    <dataValidation sqref="D201" showDropDown="0" showInputMessage="0" showErrorMessage="0" allowBlank="1" type="list">
      <formula1>INDIRECT("ST_"&amp;$C201)</formula1>
    </dataValidation>
    <dataValidation sqref="E201" showDropDown="0" showInputMessage="0" showErrorMessage="0" allowBlank="1" type="list">
      <formula1>INDIRECT($C201)</formula1>
    </dataValidation>
    <dataValidation sqref="D202" showDropDown="0" showInputMessage="0" showErrorMessage="0" allowBlank="1" type="list">
      <formula1>INDIRECT("ST_"&amp;$C202)</formula1>
    </dataValidation>
    <dataValidation sqref="E202" showDropDown="0" showInputMessage="0" showErrorMessage="0" allowBlank="1" type="list">
      <formula1>INDIRECT($C202)</formula1>
    </dataValidation>
    <dataValidation sqref="D203" showDropDown="0" showInputMessage="0" showErrorMessage="0" allowBlank="1" type="list">
      <formula1>INDIRECT("ST_"&amp;$C203)</formula1>
    </dataValidation>
    <dataValidation sqref="E203" showDropDown="0" showInputMessage="0" showErrorMessage="0" allowBlank="1" type="list">
      <formula1>INDIRECT($C203)</formula1>
    </dataValidation>
    <dataValidation sqref="D204" showDropDown="0" showInputMessage="0" showErrorMessage="0" allowBlank="1" type="list">
      <formula1>INDIRECT("ST_"&amp;$C204)</formula1>
    </dataValidation>
    <dataValidation sqref="E204" showDropDown="0" showInputMessage="0" showErrorMessage="0" allowBlank="1" type="list">
      <formula1>INDIRECT($C204)</formula1>
    </dataValidation>
    <dataValidation sqref="D205" showDropDown="0" showInputMessage="0" showErrorMessage="0" allowBlank="1" type="list">
      <formula1>INDIRECT("ST_"&amp;$C205)</formula1>
    </dataValidation>
    <dataValidation sqref="E205" showDropDown="0" showInputMessage="0" showErrorMessage="0" allowBlank="1" type="list">
      <formula1>INDIRECT($C205)</formula1>
    </dataValidation>
    <dataValidation sqref="D206" showDropDown="0" showInputMessage="0" showErrorMessage="0" allowBlank="1" type="list">
      <formula1>INDIRECT("ST_"&amp;$C206)</formula1>
    </dataValidation>
    <dataValidation sqref="E206" showDropDown="0" showInputMessage="0" showErrorMessage="0" allowBlank="1" type="list">
      <formula1>INDIRECT($C206)</formula1>
    </dataValidation>
    <dataValidation sqref="D207" showDropDown="0" showInputMessage="0" showErrorMessage="0" allowBlank="1" type="list">
      <formula1>INDIRECT("ST_"&amp;$C207)</formula1>
    </dataValidation>
    <dataValidation sqref="E207" showDropDown="0" showInputMessage="0" showErrorMessage="0" allowBlank="1" type="list">
      <formula1>INDIRECT($C207)</formula1>
    </dataValidation>
    <dataValidation sqref="D208" showDropDown="0" showInputMessage="0" showErrorMessage="0" allowBlank="1" type="list">
      <formula1>INDIRECT("ST_"&amp;$C208)</formula1>
    </dataValidation>
    <dataValidation sqref="E208" showDropDown="0" showInputMessage="0" showErrorMessage="0" allowBlank="1" type="list">
      <formula1>INDIRECT($C208)</formula1>
    </dataValidation>
    <dataValidation sqref="D209" showDropDown="0" showInputMessage="0" showErrorMessage="0" allowBlank="1" type="list">
      <formula1>INDIRECT("ST_"&amp;$C209)</formula1>
    </dataValidation>
    <dataValidation sqref="E209" showDropDown="0" showInputMessage="0" showErrorMessage="0" allowBlank="1" type="list">
      <formula1>INDIRECT($C209)</formula1>
    </dataValidation>
    <dataValidation sqref="D210" showDropDown="0" showInputMessage="0" showErrorMessage="0" allowBlank="1" type="list">
      <formula1>INDIRECT("ST_"&amp;$C210)</formula1>
    </dataValidation>
    <dataValidation sqref="E210" showDropDown="0" showInputMessage="0" showErrorMessage="0" allowBlank="1" type="list">
      <formula1>INDIRECT($C210)</formula1>
    </dataValidation>
    <dataValidation sqref="D211" showDropDown="0" showInputMessage="0" showErrorMessage="0" allowBlank="1" type="list">
      <formula1>INDIRECT("ST_"&amp;$C211)</formula1>
    </dataValidation>
    <dataValidation sqref="E211" showDropDown="0" showInputMessage="0" showErrorMessage="0" allowBlank="1" type="list">
      <formula1>INDIRECT($C211)</formula1>
    </dataValidation>
    <dataValidation sqref="D212" showDropDown="0" showInputMessage="0" showErrorMessage="0" allowBlank="1" type="list">
      <formula1>INDIRECT("ST_"&amp;$C212)</formula1>
    </dataValidation>
    <dataValidation sqref="E212" showDropDown="0" showInputMessage="0" showErrorMessage="0" allowBlank="1" type="list">
      <formula1>INDIRECT($C212)</formula1>
    </dataValidation>
    <dataValidation sqref="D213" showDropDown="0" showInputMessage="0" showErrorMessage="0" allowBlank="1" type="list">
      <formula1>INDIRECT("ST_"&amp;$C213)</formula1>
    </dataValidation>
    <dataValidation sqref="E213" showDropDown="0" showInputMessage="0" showErrorMessage="0" allowBlank="1" type="list">
      <formula1>INDIRECT($C213)</formula1>
    </dataValidation>
    <dataValidation sqref="D214" showDropDown="0" showInputMessage="0" showErrorMessage="0" allowBlank="1" type="list">
      <formula1>INDIRECT("ST_"&amp;$C214)</formula1>
    </dataValidation>
    <dataValidation sqref="E214" showDropDown="0" showInputMessage="0" showErrorMessage="0" allowBlank="1" type="list">
      <formula1>INDIRECT($C214)</formula1>
    </dataValidation>
    <dataValidation sqref="D215" showDropDown="0" showInputMessage="0" showErrorMessage="0" allowBlank="1" type="list">
      <formula1>INDIRECT("ST_"&amp;$C215)</formula1>
    </dataValidation>
    <dataValidation sqref="E215" showDropDown="0" showInputMessage="0" showErrorMessage="0" allowBlank="1" type="list">
      <formula1>INDIRECT($C215)</formula1>
    </dataValidation>
    <dataValidation sqref="D216" showDropDown="0" showInputMessage="0" showErrorMessage="0" allowBlank="1" type="list">
      <formula1>INDIRECT("ST_"&amp;$C216)</formula1>
    </dataValidation>
    <dataValidation sqref="E216" showDropDown="0" showInputMessage="0" showErrorMessage="0" allowBlank="1" type="list">
      <formula1>INDIRECT($C216)</formula1>
    </dataValidation>
    <dataValidation sqref="D217" showDropDown="0" showInputMessage="0" showErrorMessage="0" allowBlank="1" type="list">
      <formula1>INDIRECT("ST_"&amp;$C217)</formula1>
    </dataValidation>
    <dataValidation sqref="E217" showDropDown="0" showInputMessage="0" showErrorMessage="0" allowBlank="1" type="list">
      <formula1>INDIRECT($C217)</formula1>
    </dataValidation>
    <dataValidation sqref="D218" showDropDown="0" showInputMessage="0" showErrorMessage="0" allowBlank="1" type="list">
      <formula1>INDIRECT("ST_"&amp;$C218)</formula1>
    </dataValidation>
    <dataValidation sqref="E218" showDropDown="0" showInputMessage="0" showErrorMessage="0" allowBlank="1" type="list">
      <formula1>INDIRECT($C218)</formula1>
    </dataValidation>
    <dataValidation sqref="D219" showDropDown="0" showInputMessage="0" showErrorMessage="0" allowBlank="1" type="list">
      <formula1>INDIRECT("ST_"&amp;$C219)</formula1>
    </dataValidation>
    <dataValidation sqref="E219" showDropDown="0" showInputMessage="0" showErrorMessage="0" allowBlank="1" type="list">
      <formula1>INDIRECT($C219)</formula1>
    </dataValidation>
    <dataValidation sqref="D220" showDropDown="0" showInputMessage="0" showErrorMessage="0" allowBlank="1" type="list">
      <formula1>INDIRECT("ST_"&amp;$C220)</formula1>
    </dataValidation>
    <dataValidation sqref="E220" showDropDown="0" showInputMessage="0" showErrorMessage="0" allowBlank="1" type="list">
      <formula1>INDIRECT($C220)</formula1>
    </dataValidation>
    <dataValidation sqref="D221" showDropDown="0" showInputMessage="0" showErrorMessage="0" allowBlank="1" type="list">
      <formula1>INDIRECT("ST_"&amp;$C221)</formula1>
    </dataValidation>
    <dataValidation sqref="E221" showDropDown="0" showInputMessage="0" showErrorMessage="0" allowBlank="1" type="list">
      <formula1>INDIRECT($C221)</formula1>
    </dataValidation>
    <dataValidation sqref="D222" showDropDown="0" showInputMessage="0" showErrorMessage="0" allowBlank="1" type="list">
      <formula1>INDIRECT("ST_"&amp;$C222)</formula1>
    </dataValidation>
    <dataValidation sqref="E222" showDropDown="0" showInputMessage="0" showErrorMessage="0" allowBlank="1" type="list">
      <formula1>INDIRECT($C222)</formula1>
    </dataValidation>
    <dataValidation sqref="D223" showDropDown="0" showInputMessage="0" showErrorMessage="0" allowBlank="1" type="list">
      <formula1>INDIRECT("ST_"&amp;$C223)</formula1>
    </dataValidation>
    <dataValidation sqref="E223" showDropDown="0" showInputMessage="0" showErrorMessage="0" allowBlank="1" type="list">
      <formula1>INDIRECT($C223)</formula1>
    </dataValidation>
    <dataValidation sqref="D224" showDropDown="0" showInputMessage="0" showErrorMessage="0" allowBlank="1" type="list">
      <formula1>INDIRECT("ST_"&amp;$C224)</formula1>
    </dataValidation>
    <dataValidation sqref="E224" showDropDown="0" showInputMessage="0" showErrorMessage="0" allowBlank="1" type="list">
      <formula1>INDIRECT($C224)</formula1>
    </dataValidation>
    <dataValidation sqref="D225" showDropDown="0" showInputMessage="0" showErrorMessage="0" allowBlank="1" type="list">
      <formula1>INDIRECT("ST_"&amp;$C225)</formula1>
    </dataValidation>
    <dataValidation sqref="E225" showDropDown="0" showInputMessage="0" showErrorMessage="0" allowBlank="1" type="list">
      <formula1>INDIRECT($C225)</formula1>
    </dataValidation>
    <dataValidation sqref="D226" showDropDown="0" showInputMessage="0" showErrorMessage="0" allowBlank="1" type="list">
      <formula1>INDIRECT("ST_"&amp;$C226)</formula1>
    </dataValidation>
    <dataValidation sqref="E226" showDropDown="0" showInputMessage="0" showErrorMessage="0" allowBlank="1" type="list">
      <formula1>INDIRECT($C226)</formula1>
    </dataValidation>
    <dataValidation sqref="D227" showDropDown="0" showInputMessage="0" showErrorMessage="0" allowBlank="1" type="list">
      <formula1>INDIRECT("ST_"&amp;$C227)</formula1>
    </dataValidation>
    <dataValidation sqref="E227" showDropDown="0" showInputMessage="0" showErrorMessage="0" allowBlank="1" type="list">
      <formula1>INDIRECT($C227)</formula1>
    </dataValidation>
    <dataValidation sqref="D228" showDropDown="0" showInputMessage="0" showErrorMessage="0" allowBlank="1" type="list">
      <formula1>INDIRECT("ST_"&amp;$C228)</formula1>
    </dataValidation>
    <dataValidation sqref="E228" showDropDown="0" showInputMessage="0" showErrorMessage="0" allowBlank="1" type="list">
      <formula1>INDIRECT($C228)</formula1>
    </dataValidation>
    <dataValidation sqref="D229" showDropDown="0" showInputMessage="0" showErrorMessage="0" allowBlank="1" type="list">
      <formula1>INDIRECT("ST_"&amp;$C229)</formula1>
    </dataValidation>
    <dataValidation sqref="E229" showDropDown="0" showInputMessage="0" showErrorMessage="0" allowBlank="1" type="list">
      <formula1>INDIRECT($C229)</formula1>
    </dataValidation>
    <dataValidation sqref="D230" showDropDown="0" showInputMessage="0" showErrorMessage="0" allowBlank="1" type="list">
      <formula1>INDIRECT("ST_"&amp;$C230)</formula1>
    </dataValidation>
    <dataValidation sqref="E230" showDropDown="0" showInputMessage="0" showErrorMessage="0" allowBlank="1" type="list">
      <formula1>INDIRECT($C230)</formula1>
    </dataValidation>
    <dataValidation sqref="D231" showDropDown="0" showInputMessage="0" showErrorMessage="0" allowBlank="1" type="list">
      <formula1>INDIRECT("ST_"&amp;$C231)</formula1>
    </dataValidation>
    <dataValidation sqref="E231" showDropDown="0" showInputMessage="0" showErrorMessage="0" allowBlank="1" type="list">
      <formula1>INDIRECT($C231)</formula1>
    </dataValidation>
    <dataValidation sqref="D232" showDropDown="0" showInputMessage="0" showErrorMessage="0" allowBlank="1" type="list">
      <formula1>INDIRECT("ST_"&amp;$C232)</formula1>
    </dataValidation>
    <dataValidation sqref="E232" showDropDown="0" showInputMessage="0" showErrorMessage="0" allowBlank="1" type="list">
      <formula1>INDIRECT($C232)</formula1>
    </dataValidation>
    <dataValidation sqref="D233" showDropDown="0" showInputMessage="0" showErrorMessage="0" allowBlank="1" type="list">
      <formula1>INDIRECT("ST_"&amp;$C233)</formula1>
    </dataValidation>
    <dataValidation sqref="E233" showDropDown="0" showInputMessage="0" showErrorMessage="0" allowBlank="1" type="list">
      <formula1>INDIRECT($C233)</formula1>
    </dataValidation>
    <dataValidation sqref="D234" showDropDown="0" showInputMessage="0" showErrorMessage="0" allowBlank="1" type="list">
      <formula1>INDIRECT("ST_"&amp;$C234)</formula1>
    </dataValidation>
    <dataValidation sqref="E234" showDropDown="0" showInputMessage="0" showErrorMessage="0" allowBlank="1" type="list">
      <formula1>INDIRECT($C234)</formula1>
    </dataValidation>
    <dataValidation sqref="D235" showDropDown="0" showInputMessage="0" showErrorMessage="0" allowBlank="1" type="list">
      <formula1>INDIRECT("ST_"&amp;$C235)</formula1>
    </dataValidation>
    <dataValidation sqref="E235" showDropDown="0" showInputMessage="0" showErrorMessage="0" allowBlank="1" type="list">
      <formula1>INDIRECT($C235)</formula1>
    </dataValidation>
    <dataValidation sqref="D236" showDropDown="0" showInputMessage="0" showErrorMessage="0" allowBlank="1" type="list">
      <formula1>INDIRECT("ST_"&amp;$C236)</formula1>
    </dataValidation>
    <dataValidation sqref="E236" showDropDown="0" showInputMessage="0" showErrorMessage="0" allowBlank="1" type="list">
      <formula1>INDIRECT($C236)</formula1>
    </dataValidation>
    <dataValidation sqref="D237" showDropDown="0" showInputMessage="0" showErrorMessage="0" allowBlank="1" type="list">
      <formula1>INDIRECT("ST_"&amp;$C237)</formula1>
    </dataValidation>
    <dataValidation sqref="E237" showDropDown="0" showInputMessage="0" showErrorMessage="0" allowBlank="1" type="list">
      <formula1>INDIRECT($C237)</formula1>
    </dataValidation>
    <dataValidation sqref="D238" showDropDown="0" showInputMessage="0" showErrorMessage="0" allowBlank="1" type="list">
      <formula1>INDIRECT("ST_"&amp;$C238)</formula1>
    </dataValidation>
    <dataValidation sqref="E238" showDropDown="0" showInputMessage="0" showErrorMessage="0" allowBlank="1" type="list">
      <formula1>INDIRECT($C238)</formula1>
    </dataValidation>
    <dataValidation sqref="D239" showDropDown="0" showInputMessage="0" showErrorMessage="0" allowBlank="1" type="list">
      <formula1>INDIRECT("ST_"&amp;$C239)</formula1>
    </dataValidation>
    <dataValidation sqref="E239" showDropDown="0" showInputMessage="0" showErrorMessage="0" allowBlank="1" type="list">
      <formula1>INDIRECT($C239)</formula1>
    </dataValidation>
    <dataValidation sqref="D240" showDropDown="0" showInputMessage="0" showErrorMessage="0" allowBlank="1" type="list">
      <formula1>INDIRECT("ST_"&amp;$C240)</formula1>
    </dataValidation>
    <dataValidation sqref="E240" showDropDown="0" showInputMessage="0" showErrorMessage="0" allowBlank="1" type="list">
      <formula1>INDIRECT($C240)</formula1>
    </dataValidation>
    <dataValidation sqref="D241" showDropDown="0" showInputMessage="0" showErrorMessage="0" allowBlank="1" type="list">
      <formula1>INDIRECT("ST_"&amp;$C241)</formula1>
    </dataValidation>
    <dataValidation sqref="E241" showDropDown="0" showInputMessage="0" showErrorMessage="0" allowBlank="1" type="list">
      <formula1>INDIRECT($C241)</formula1>
    </dataValidation>
    <dataValidation sqref="D242" showDropDown="0" showInputMessage="0" showErrorMessage="0" allowBlank="1" type="list">
      <formula1>INDIRECT("ST_"&amp;$C242)</formula1>
    </dataValidation>
    <dataValidation sqref="E242" showDropDown="0" showInputMessage="0" showErrorMessage="0" allowBlank="1" type="list">
      <formula1>INDIRECT($C242)</formula1>
    </dataValidation>
    <dataValidation sqref="D243" showDropDown="0" showInputMessage="0" showErrorMessage="0" allowBlank="1" type="list">
      <formula1>INDIRECT("ST_"&amp;$C243)</formula1>
    </dataValidation>
    <dataValidation sqref="E243" showDropDown="0" showInputMessage="0" showErrorMessage="0" allowBlank="1" type="list">
      <formula1>INDIRECT($C243)</formula1>
    </dataValidation>
    <dataValidation sqref="D244" showDropDown="0" showInputMessage="0" showErrorMessage="0" allowBlank="1" type="list">
      <formula1>INDIRECT("ST_"&amp;$C244)</formula1>
    </dataValidation>
    <dataValidation sqref="E244" showDropDown="0" showInputMessage="0" showErrorMessage="0" allowBlank="1" type="list">
      <formula1>INDIRECT($C244)</formula1>
    </dataValidation>
    <dataValidation sqref="D245" showDropDown="0" showInputMessage="0" showErrorMessage="0" allowBlank="1" type="list">
      <formula1>INDIRECT("ST_"&amp;$C245)</formula1>
    </dataValidation>
    <dataValidation sqref="E245" showDropDown="0" showInputMessage="0" showErrorMessage="0" allowBlank="1" type="list">
      <formula1>INDIRECT($C245)</formula1>
    </dataValidation>
    <dataValidation sqref="D246" showDropDown="0" showInputMessage="0" showErrorMessage="0" allowBlank="1" type="list">
      <formula1>INDIRECT("ST_"&amp;$C246)</formula1>
    </dataValidation>
    <dataValidation sqref="E246" showDropDown="0" showInputMessage="0" showErrorMessage="0" allowBlank="1" type="list">
      <formula1>INDIRECT($C246)</formula1>
    </dataValidation>
    <dataValidation sqref="D247" showDropDown="0" showInputMessage="0" showErrorMessage="0" allowBlank="1" type="list">
      <formula1>INDIRECT("ST_"&amp;$C247)</formula1>
    </dataValidation>
    <dataValidation sqref="E247" showDropDown="0" showInputMessage="0" showErrorMessage="0" allowBlank="1" type="list">
      <formula1>INDIRECT($C247)</formula1>
    </dataValidation>
    <dataValidation sqref="D248" showDropDown="0" showInputMessage="0" showErrorMessage="0" allowBlank="1" type="list">
      <formula1>INDIRECT("ST_"&amp;$C248)</formula1>
    </dataValidation>
    <dataValidation sqref="E248" showDropDown="0" showInputMessage="0" showErrorMessage="0" allowBlank="1" type="list">
      <formula1>INDIRECT($C248)</formula1>
    </dataValidation>
    <dataValidation sqref="D249" showDropDown="0" showInputMessage="0" showErrorMessage="0" allowBlank="1" type="list">
      <formula1>INDIRECT("ST_"&amp;$C249)</formula1>
    </dataValidation>
    <dataValidation sqref="E249" showDropDown="0" showInputMessage="0" showErrorMessage="0" allowBlank="1" type="list">
      <formula1>INDIRECT($C249)</formula1>
    </dataValidation>
    <dataValidation sqref="D250" showDropDown="0" showInputMessage="0" showErrorMessage="0" allowBlank="1" type="list">
      <formula1>INDIRECT("ST_"&amp;$C250)</formula1>
    </dataValidation>
    <dataValidation sqref="E250" showDropDown="0" showInputMessage="0" showErrorMessage="0" allowBlank="1" type="list">
      <formula1>INDIRECT($C250)</formula1>
    </dataValidation>
    <dataValidation sqref="D251" showDropDown="0" showInputMessage="0" showErrorMessage="0" allowBlank="1" type="list">
      <formula1>INDIRECT("ST_"&amp;$C251)</formula1>
    </dataValidation>
    <dataValidation sqref="E251" showDropDown="0" showInputMessage="0" showErrorMessage="0" allowBlank="1" type="list">
      <formula1>INDIRECT($C251)</formula1>
    </dataValidation>
    <dataValidation sqref="D252" showDropDown="0" showInputMessage="0" showErrorMessage="0" allowBlank="1" type="list">
      <formula1>INDIRECT("ST_"&amp;$C252)</formula1>
    </dataValidation>
    <dataValidation sqref="E252" showDropDown="0" showInputMessage="0" showErrorMessage="0" allowBlank="1" type="list">
      <formula1>INDIRECT($C252)</formula1>
    </dataValidation>
    <dataValidation sqref="D253" showDropDown="0" showInputMessage="0" showErrorMessage="0" allowBlank="1" type="list">
      <formula1>INDIRECT("ST_"&amp;$C253)</formula1>
    </dataValidation>
    <dataValidation sqref="E253" showDropDown="0" showInputMessage="0" showErrorMessage="0" allowBlank="1" type="list">
      <formula1>INDIRECT($C253)</formula1>
    </dataValidation>
    <dataValidation sqref="D254" showDropDown="0" showInputMessage="0" showErrorMessage="0" allowBlank="1" type="list">
      <formula1>INDIRECT("ST_"&amp;$C254)</formula1>
    </dataValidation>
    <dataValidation sqref="E254" showDropDown="0" showInputMessage="0" showErrorMessage="0" allowBlank="1" type="list">
      <formula1>INDIRECT($C254)</formula1>
    </dataValidation>
    <dataValidation sqref="D255" showDropDown="0" showInputMessage="0" showErrorMessage="0" allowBlank="1" type="list">
      <formula1>INDIRECT("ST_"&amp;$C255)</formula1>
    </dataValidation>
    <dataValidation sqref="E255" showDropDown="0" showInputMessage="0" showErrorMessage="0" allowBlank="1" type="list">
      <formula1>INDIRECT($C255)</formula1>
    </dataValidation>
    <dataValidation sqref="D256" showDropDown="0" showInputMessage="0" showErrorMessage="0" allowBlank="1" type="list">
      <formula1>INDIRECT("ST_"&amp;$C256)</formula1>
    </dataValidation>
    <dataValidation sqref="E256" showDropDown="0" showInputMessage="0" showErrorMessage="0" allowBlank="1" type="list">
      <formula1>INDIRECT($C256)</formula1>
    </dataValidation>
    <dataValidation sqref="D257" showDropDown="0" showInputMessage="0" showErrorMessage="0" allowBlank="1" type="list">
      <formula1>INDIRECT("ST_"&amp;$C257)</formula1>
    </dataValidation>
    <dataValidation sqref="E257" showDropDown="0" showInputMessage="0" showErrorMessage="0" allowBlank="1" type="list">
      <formula1>INDIRECT($C257)</formula1>
    </dataValidation>
    <dataValidation sqref="D258" showDropDown="0" showInputMessage="0" showErrorMessage="0" allowBlank="1" type="list">
      <formula1>INDIRECT("ST_"&amp;$C258)</formula1>
    </dataValidation>
    <dataValidation sqref="E258" showDropDown="0" showInputMessage="0" showErrorMessage="0" allowBlank="1" type="list">
      <formula1>INDIRECT($C258)</formula1>
    </dataValidation>
    <dataValidation sqref="D259" showDropDown="0" showInputMessage="0" showErrorMessage="0" allowBlank="1" type="list">
      <formula1>INDIRECT("ST_"&amp;$C259)</formula1>
    </dataValidation>
    <dataValidation sqref="E259" showDropDown="0" showInputMessage="0" showErrorMessage="0" allowBlank="1" type="list">
      <formula1>INDIRECT($C259)</formula1>
    </dataValidation>
    <dataValidation sqref="D260" showDropDown="0" showInputMessage="0" showErrorMessage="0" allowBlank="1" type="list">
      <formula1>INDIRECT("ST_"&amp;$C260)</formula1>
    </dataValidation>
    <dataValidation sqref="E260" showDropDown="0" showInputMessage="0" showErrorMessage="0" allowBlank="1" type="list">
      <formula1>INDIRECT($C260)</formula1>
    </dataValidation>
    <dataValidation sqref="D261" showDropDown="0" showInputMessage="0" showErrorMessage="0" allowBlank="1" type="list">
      <formula1>INDIRECT("ST_"&amp;$C261)</formula1>
    </dataValidation>
    <dataValidation sqref="E261" showDropDown="0" showInputMessage="0" showErrorMessage="0" allowBlank="1" type="list">
      <formula1>INDIRECT($C261)</formula1>
    </dataValidation>
    <dataValidation sqref="D262" showDropDown="0" showInputMessage="0" showErrorMessage="0" allowBlank="1" type="list">
      <formula1>INDIRECT("ST_"&amp;$C262)</formula1>
    </dataValidation>
    <dataValidation sqref="E262" showDropDown="0" showInputMessage="0" showErrorMessage="0" allowBlank="1" type="list">
      <formula1>INDIRECT($C262)</formula1>
    </dataValidation>
    <dataValidation sqref="D263" showDropDown="0" showInputMessage="0" showErrorMessage="0" allowBlank="1" type="list">
      <formula1>INDIRECT("ST_"&amp;$C263)</formula1>
    </dataValidation>
    <dataValidation sqref="E263" showDropDown="0" showInputMessage="0" showErrorMessage="0" allowBlank="1" type="list">
      <formula1>INDIRECT($C263)</formula1>
    </dataValidation>
    <dataValidation sqref="D264" showDropDown="0" showInputMessage="0" showErrorMessage="0" allowBlank="1" type="list">
      <formula1>INDIRECT("ST_"&amp;$C264)</formula1>
    </dataValidation>
    <dataValidation sqref="E264" showDropDown="0" showInputMessage="0" showErrorMessage="0" allowBlank="1" type="list">
      <formula1>INDIRECT($C264)</formula1>
    </dataValidation>
    <dataValidation sqref="D265" showDropDown="0" showInputMessage="0" showErrorMessage="0" allowBlank="1" type="list">
      <formula1>INDIRECT("ST_"&amp;$C265)</formula1>
    </dataValidation>
    <dataValidation sqref="E265" showDropDown="0" showInputMessage="0" showErrorMessage="0" allowBlank="1" type="list">
      <formula1>INDIRECT($C265)</formula1>
    </dataValidation>
    <dataValidation sqref="D266" showDropDown="0" showInputMessage="0" showErrorMessage="0" allowBlank="1" type="list">
      <formula1>INDIRECT("ST_"&amp;$C266)</formula1>
    </dataValidation>
    <dataValidation sqref="E266" showDropDown="0" showInputMessage="0" showErrorMessage="0" allowBlank="1" type="list">
      <formula1>INDIRECT($C266)</formula1>
    </dataValidation>
    <dataValidation sqref="D267" showDropDown="0" showInputMessage="0" showErrorMessage="0" allowBlank="1" type="list">
      <formula1>INDIRECT("ST_"&amp;$C267)</formula1>
    </dataValidation>
    <dataValidation sqref="E267" showDropDown="0" showInputMessage="0" showErrorMessage="0" allowBlank="1" type="list">
      <formula1>INDIRECT($C267)</formula1>
    </dataValidation>
    <dataValidation sqref="D268" showDropDown="0" showInputMessage="0" showErrorMessage="0" allowBlank="1" type="list">
      <formula1>INDIRECT("ST_"&amp;$C268)</formula1>
    </dataValidation>
    <dataValidation sqref="E268" showDropDown="0" showInputMessage="0" showErrorMessage="0" allowBlank="1" type="list">
      <formula1>INDIRECT($C268)</formula1>
    </dataValidation>
    <dataValidation sqref="D269" showDropDown="0" showInputMessage="0" showErrorMessage="0" allowBlank="1" type="list">
      <formula1>INDIRECT("ST_"&amp;$C269)</formula1>
    </dataValidation>
    <dataValidation sqref="E269" showDropDown="0" showInputMessage="0" showErrorMessage="0" allowBlank="1" type="list">
      <formula1>INDIRECT($C269)</formula1>
    </dataValidation>
    <dataValidation sqref="D270" showDropDown="0" showInputMessage="0" showErrorMessage="0" allowBlank="1" type="list">
      <formula1>INDIRECT("ST_"&amp;$C270)</formula1>
    </dataValidation>
    <dataValidation sqref="E270" showDropDown="0" showInputMessage="0" showErrorMessage="0" allowBlank="1" type="list">
      <formula1>INDIRECT($C270)</formula1>
    </dataValidation>
    <dataValidation sqref="D271" showDropDown="0" showInputMessage="0" showErrorMessage="0" allowBlank="1" type="list">
      <formula1>INDIRECT("ST_"&amp;$C271)</formula1>
    </dataValidation>
    <dataValidation sqref="E271" showDropDown="0" showInputMessage="0" showErrorMessage="0" allowBlank="1" type="list">
      <formula1>INDIRECT($C271)</formula1>
    </dataValidation>
    <dataValidation sqref="D272" showDropDown="0" showInputMessage="0" showErrorMessage="0" allowBlank="1" type="list">
      <formula1>INDIRECT("ST_"&amp;$C272)</formula1>
    </dataValidation>
    <dataValidation sqref="E272" showDropDown="0" showInputMessage="0" showErrorMessage="0" allowBlank="1" type="list">
      <formula1>INDIRECT($C272)</formula1>
    </dataValidation>
    <dataValidation sqref="D273" showDropDown="0" showInputMessage="0" showErrorMessage="0" allowBlank="1" type="list">
      <formula1>INDIRECT("ST_"&amp;$C273)</formula1>
    </dataValidation>
    <dataValidation sqref="E273" showDropDown="0" showInputMessage="0" showErrorMessage="0" allowBlank="1" type="list">
      <formula1>INDIRECT($C273)</formula1>
    </dataValidation>
    <dataValidation sqref="D274" showDropDown="0" showInputMessage="0" showErrorMessage="0" allowBlank="1" type="list">
      <formula1>INDIRECT("ST_"&amp;$C274)</formula1>
    </dataValidation>
    <dataValidation sqref="E274" showDropDown="0" showInputMessage="0" showErrorMessage="0" allowBlank="1" type="list">
      <formula1>INDIRECT($C274)</formula1>
    </dataValidation>
    <dataValidation sqref="D275" showDropDown="0" showInputMessage="0" showErrorMessage="0" allowBlank="1" type="list">
      <formula1>INDIRECT("ST_"&amp;$C275)</formula1>
    </dataValidation>
    <dataValidation sqref="E275" showDropDown="0" showInputMessage="0" showErrorMessage="0" allowBlank="1" type="list">
      <formula1>INDIRECT($C275)</formula1>
    </dataValidation>
    <dataValidation sqref="D276" showDropDown="0" showInputMessage="0" showErrorMessage="0" allowBlank="1" type="list">
      <formula1>INDIRECT("ST_"&amp;$C276)</formula1>
    </dataValidation>
    <dataValidation sqref="E276" showDropDown="0" showInputMessage="0" showErrorMessage="0" allowBlank="1" type="list">
      <formula1>INDIRECT($C276)</formula1>
    </dataValidation>
    <dataValidation sqref="D277" showDropDown="0" showInputMessage="0" showErrorMessage="0" allowBlank="1" type="list">
      <formula1>INDIRECT("ST_"&amp;$C277)</formula1>
    </dataValidation>
    <dataValidation sqref="E277" showDropDown="0" showInputMessage="0" showErrorMessage="0" allowBlank="1" type="list">
      <formula1>INDIRECT($C277)</formula1>
    </dataValidation>
    <dataValidation sqref="D278" showDropDown="0" showInputMessage="0" showErrorMessage="0" allowBlank="1" type="list">
      <formula1>INDIRECT("ST_"&amp;$C278)</formula1>
    </dataValidation>
    <dataValidation sqref="E278" showDropDown="0" showInputMessage="0" showErrorMessage="0" allowBlank="1" type="list">
      <formula1>INDIRECT($C278)</formula1>
    </dataValidation>
    <dataValidation sqref="D279" showDropDown="0" showInputMessage="0" showErrorMessage="0" allowBlank="1" type="list">
      <formula1>INDIRECT("ST_"&amp;$C279)</formula1>
    </dataValidation>
    <dataValidation sqref="E279" showDropDown="0" showInputMessage="0" showErrorMessage="0" allowBlank="1" type="list">
      <formula1>INDIRECT($C279)</formula1>
    </dataValidation>
    <dataValidation sqref="D280" showDropDown="0" showInputMessage="0" showErrorMessage="0" allowBlank="1" type="list">
      <formula1>INDIRECT("ST_"&amp;$C280)</formula1>
    </dataValidation>
    <dataValidation sqref="E280" showDropDown="0" showInputMessage="0" showErrorMessage="0" allowBlank="1" type="list">
      <formula1>INDIRECT($C280)</formula1>
    </dataValidation>
    <dataValidation sqref="D281" showDropDown="0" showInputMessage="0" showErrorMessage="0" allowBlank="1" type="list">
      <formula1>INDIRECT("ST_"&amp;$C281)</formula1>
    </dataValidation>
    <dataValidation sqref="E281" showDropDown="0" showInputMessage="0" showErrorMessage="0" allowBlank="1" type="list">
      <formula1>INDIRECT($C281)</formula1>
    </dataValidation>
    <dataValidation sqref="D282" showDropDown="0" showInputMessage="0" showErrorMessage="0" allowBlank="1" type="list">
      <formula1>INDIRECT("ST_"&amp;$C282)</formula1>
    </dataValidation>
    <dataValidation sqref="E282" showDropDown="0" showInputMessage="0" showErrorMessage="0" allowBlank="1" type="list">
      <formula1>INDIRECT($C282)</formula1>
    </dataValidation>
    <dataValidation sqref="D283" showDropDown="0" showInputMessage="0" showErrorMessage="0" allowBlank="1" type="list">
      <formula1>INDIRECT("ST_"&amp;$C283)</formula1>
    </dataValidation>
    <dataValidation sqref="E283" showDropDown="0" showInputMessage="0" showErrorMessage="0" allowBlank="1" type="list">
      <formula1>INDIRECT($C283)</formula1>
    </dataValidation>
    <dataValidation sqref="D284" showDropDown="0" showInputMessage="0" showErrorMessage="0" allowBlank="1" type="list">
      <formula1>INDIRECT("ST_"&amp;$C284)</formula1>
    </dataValidation>
    <dataValidation sqref="E284" showDropDown="0" showInputMessage="0" showErrorMessage="0" allowBlank="1" type="list">
      <formula1>INDIRECT($C284)</formula1>
    </dataValidation>
    <dataValidation sqref="D285" showDropDown="0" showInputMessage="0" showErrorMessage="0" allowBlank="1" type="list">
      <formula1>INDIRECT("ST_"&amp;$C285)</formula1>
    </dataValidation>
    <dataValidation sqref="E285" showDropDown="0" showInputMessage="0" showErrorMessage="0" allowBlank="1" type="list">
      <formula1>INDIRECT($C285)</formula1>
    </dataValidation>
    <dataValidation sqref="D286" showDropDown="0" showInputMessage="0" showErrorMessage="0" allowBlank="1" type="list">
      <formula1>INDIRECT("ST_"&amp;$C286)</formula1>
    </dataValidation>
    <dataValidation sqref="E286" showDropDown="0" showInputMessage="0" showErrorMessage="0" allowBlank="1" type="list">
      <formula1>INDIRECT($C286)</formula1>
    </dataValidation>
    <dataValidation sqref="D287" showDropDown="0" showInputMessage="0" showErrorMessage="0" allowBlank="1" type="list">
      <formula1>INDIRECT("ST_"&amp;$C287)</formula1>
    </dataValidation>
    <dataValidation sqref="E287" showDropDown="0" showInputMessage="0" showErrorMessage="0" allowBlank="1" type="list">
      <formula1>INDIRECT($C287)</formula1>
    </dataValidation>
    <dataValidation sqref="D288" showDropDown="0" showInputMessage="0" showErrorMessage="0" allowBlank="1" type="list">
      <formula1>INDIRECT("ST_"&amp;$C288)</formula1>
    </dataValidation>
    <dataValidation sqref="E288" showDropDown="0" showInputMessage="0" showErrorMessage="0" allowBlank="1" type="list">
      <formula1>INDIRECT($C288)</formula1>
    </dataValidation>
    <dataValidation sqref="D289" showDropDown="0" showInputMessage="0" showErrorMessage="0" allowBlank="1" type="list">
      <formula1>INDIRECT("ST_"&amp;$C289)</formula1>
    </dataValidation>
    <dataValidation sqref="E289" showDropDown="0" showInputMessage="0" showErrorMessage="0" allowBlank="1" type="list">
      <formula1>INDIRECT($C289)</formula1>
    </dataValidation>
    <dataValidation sqref="D290" showDropDown="0" showInputMessage="0" showErrorMessage="0" allowBlank="1" type="list">
      <formula1>INDIRECT("ST_"&amp;$C290)</formula1>
    </dataValidation>
    <dataValidation sqref="E290" showDropDown="0" showInputMessage="0" showErrorMessage="0" allowBlank="1" type="list">
      <formula1>INDIRECT($C290)</formula1>
    </dataValidation>
    <dataValidation sqref="D291" showDropDown="0" showInputMessage="0" showErrorMessage="0" allowBlank="1" type="list">
      <formula1>INDIRECT("ST_"&amp;$C291)</formula1>
    </dataValidation>
    <dataValidation sqref="E291" showDropDown="0" showInputMessage="0" showErrorMessage="0" allowBlank="1" type="list">
      <formula1>INDIRECT($C291)</formula1>
    </dataValidation>
    <dataValidation sqref="D292" showDropDown="0" showInputMessage="0" showErrorMessage="0" allowBlank="1" type="list">
      <formula1>INDIRECT("ST_"&amp;$C292)</formula1>
    </dataValidation>
    <dataValidation sqref="E292" showDropDown="0" showInputMessage="0" showErrorMessage="0" allowBlank="1" type="list">
      <formula1>INDIRECT($C292)</formula1>
    </dataValidation>
    <dataValidation sqref="D293" showDropDown="0" showInputMessage="0" showErrorMessage="0" allowBlank="1" type="list">
      <formula1>INDIRECT("ST_"&amp;$C293)</formula1>
    </dataValidation>
    <dataValidation sqref="E293" showDropDown="0" showInputMessage="0" showErrorMessage="0" allowBlank="1" type="list">
      <formula1>INDIRECT($C293)</formula1>
    </dataValidation>
    <dataValidation sqref="D294" showDropDown="0" showInputMessage="0" showErrorMessage="0" allowBlank="1" type="list">
      <formula1>INDIRECT("ST_"&amp;$C294)</formula1>
    </dataValidation>
    <dataValidation sqref="E294" showDropDown="0" showInputMessage="0" showErrorMessage="0" allowBlank="1" type="list">
      <formula1>INDIRECT($C294)</formula1>
    </dataValidation>
    <dataValidation sqref="D295" showDropDown="0" showInputMessage="0" showErrorMessage="0" allowBlank="1" type="list">
      <formula1>INDIRECT("ST_"&amp;$C295)</formula1>
    </dataValidation>
    <dataValidation sqref="E295" showDropDown="0" showInputMessage="0" showErrorMessage="0" allowBlank="1" type="list">
      <formula1>INDIRECT($C295)</formula1>
    </dataValidation>
    <dataValidation sqref="D296" showDropDown="0" showInputMessage="0" showErrorMessage="0" allowBlank="1" type="list">
      <formula1>INDIRECT("ST_"&amp;$C296)</formula1>
    </dataValidation>
    <dataValidation sqref="E296" showDropDown="0" showInputMessage="0" showErrorMessage="0" allowBlank="1" type="list">
      <formula1>INDIRECT($C296)</formula1>
    </dataValidation>
    <dataValidation sqref="D297" showDropDown="0" showInputMessage="0" showErrorMessage="0" allowBlank="1" type="list">
      <formula1>INDIRECT("ST_"&amp;$C297)</formula1>
    </dataValidation>
    <dataValidation sqref="E297" showDropDown="0" showInputMessage="0" showErrorMessage="0" allowBlank="1" type="list">
      <formula1>INDIRECT($C297)</formula1>
    </dataValidation>
    <dataValidation sqref="D298" showDropDown="0" showInputMessage="0" showErrorMessage="0" allowBlank="1" type="list">
      <formula1>INDIRECT("ST_"&amp;$C298)</formula1>
    </dataValidation>
    <dataValidation sqref="E298" showDropDown="0" showInputMessage="0" showErrorMessage="0" allowBlank="1" type="list">
      <formula1>INDIRECT($C298)</formula1>
    </dataValidation>
    <dataValidation sqref="D299" showDropDown="0" showInputMessage="0" showErrorMessage="0" allowBlank="1" type="list">
      <formula1>INDIRECT("ST_"&amp;$C299)</formula1>
    </dataValidation>
    <dataValidation sqref="E299" showDropDown="0" showInputMessage="0" showErrorMessage="0" allowBlank="1" type="list">
      <formula1>INDIRECT($C299)</formula1>
    </dataValidation>
    <dataValidation sqref="D300" showDropDown="0" showInputMessage="0" showErrorMessage="0" allowBlank="1" type="list">
      <formula1>INDIRECT("ST_"&amp;$C300)</formula1>
    </dataValidation>
    <dataValidation sqref="E300" showDropDown="0" showInputMessage="0" showErrorMessage="0" allowBlank="1" type="list">
      <formula1>INDIRECT($C300)</formula1>
    </dataValidation>
    <dataValidation sqref="D301" showDropDown="0" showInputMessage="0" showErrorMessage="0" allowBlank="1" type="list">
      <formula1>INDIRECT("ST_"&amp;$C301)</formula1>
    </dataValidation>
    <dataValidation sqref="E301" showDropDown="0" showInputMessage="0" showErrorMessage="0" allowBlank="1" type="list">
      <formula1>INDIRECT($C301)</formula1>
    </dataValidation>
    <dataValidation sqref="D302" showDropDown="0" showInputMessage="0" showErrorMessage="0" allowBlank="1" type="list">
      <formula1>INDIRECT("ST_"&amp;$C302)</formula1>
    </dataValidation>
    <dataValidation sqref="E302" showDropDown="0" showInputMessage="0" showErrorMessage="0" allowBlank="1" type="list">
      <formula1>INDIRECT($C302)</formula1>
    </dataValidation>
    <dataValidation sqref="D303" showDropDown="0" showInputMessage="0" showErrorMessage="0" allowBlank="1" type="list">
      <formula1>INDIRECT("ST_"&amp;$C303)</formula1>
    </dataValidation>
    <dataValidation sqref="E303" showDropDown="0" showInputMessage="0" showErrorMessage="0" allowBlank="1" type="list">
      <formula1>INDIRECT($C303)</formula1>
    </dataValidation>
    <dataValidation sqref="D304" showDropDown="0" showInputMessage="0" showErrorMessage="0" allowBlank="1" type="list">
      <formula1>INDIRECT("ST_"&amp;$C304)</formula1>
    </dataValidation>
    <dataValidation sqref="E304" showDropDown="0" showInputMessage="0" showErrorMessage="0" allowBlank="1" type="list">
      <formula1>INDIRECT($C304)</formula1>
    </dataValidation>
    <dataValidation sqref="D305" showDropDown="0" showInputMessage="0" showErrorMessage="0" allowBlank="1" type="list">
      <formula1>INDIRECT("ST_"&amp;$C305)</formula1>
    </dataValidation>
    <dataValidation sqref="E305" showDropDown="0" showInputMessage="0" showErrorMessage="0" allowBlank="1" type="list">
      <formula1>INDIRECT($C305)</formula1>
    </dataValidation>
    <dataValidation sqref="D306" showDropDown="0" showInputMessage="0" showErrorMessage="0" allowBlank="1" type="list">
      <formula1>INDIRECT("ST_"&amp;$C306)</formula1>
    </dataValidation>
    <dataValidation sqref="E306" showDropDown="0" showInputMessage="0" showErrorMessage="0" allowBlank="1" type="list">
      <formula1>INDIRECT($C306)</formula1>
    </dataValidation>
    <dataValidation sqref="D307" showDropDown="0" showInputMessage="0" showErrorMessage="0" allowBlank="1" type="list">
      <formula1>INDIRECT("ST_"&amp;$C307)</formula1>
    </dataValidation>
    <dataValidation sqref="E307" showDropDown="0" showInputMessage="0" showErrorMessage="0" allowBlank="1" type="list">
      <formula1>INDIRECT($C307)</formula1>
    </dataValidation>
    <dataValidation sqref="D308" showDropDown="0" showInputMessage="0" showErrorMessage="0" allowBlank="1" type="list">
      <formula1>INDIRECT("ST_"&amp;$C308)</formula1>
    </dataValidation>
    <dataValidation sqref="E308" showDropDown="0" showInputMessage="0" showErrorMessage="0" allowBlank="1" type="list">
      <formula1>INDIRECT($C308)</formula1>
    </dataValidation>
    <dataValidation sqref="D309" showDropDown="0" showInputMessage="0" showErrorMessage="0" allowBlank="1" type="list">
      <formula1>INDIRECT("ST_"&amp;$C309)</formula1>
    </dataValidation>
    <dataValidation sqref="E309" showDropDown="0" showInputMessage="0" showErrorMessage="0" allowBlank="1" type="list">
      <formula1>INDIRECT($C309)</formula1>
    </dataValidation>
    <dataValidation sqref="D310" showDropDown="0" showInputMessage="0" showErrorMessage="0" allowBlank="1" type="list">
      <formula1>INDIRECT("ST_"&amp;$C310)</formula1>
    </dataValidation>
    <dataValidation sqref="E310" showDropDown="0" showInputMessage="0" showErrorMessage="0" allowBlank="1" type="list">
      <formula1>INDIRECT($C310)</formula1>
    </dataValidation>
    <dataValidation sqref="D311" showDropDown="0" showInputMessage="0" showErrorMessage="0" allowBlank="1" type="list">
      <formula1>INDIRECT("ST_"&amp;$C311)</formula1>
    </dataValidation>
    <dataValidation sqref="E311" showDropDown="0" showInputMessage="0" showErrorMessage="0" allowBlank="1" type="list">
      <formula1>INDIRECT($C311)</formula1>
    </dataValidation>
    <dataValidation sqref="D312" showDropDown="0" showInputMessage="0" showErrorMessage="0" allowBlank="1" type="list">
      <formula1>INDIRECT("ST_"&amp;$C312)</formula1>
    </dataValidation>
    <dataValidation sqref="E312" showDropDown="0" showInputMessage="0" showErrorMessage="0" allowBlank="1" type="list">
      <formula1>INDIRECT($C312)</formula1>
    </dataValidation>
    <dataValidation sqref="D313" showDropDown="0" showInputMessage="0" showErrorMessage="0" allowBlank="1" type="list">
      <formula1>INDIRECT("ST_"&amp;$C313)</formula1>
    </dataValidation>
    <dataValidation sqref="E313" showDropDown="0" showInputMessage="0" showErrorMessage="0" allowBlank="1" type="list">
      <formula1>INDIRECT($C313)</formula1>
    </dataValidation>
    <dataValidation sqref="D314" showDropDown="0" showInputMessage="0" showErrorMessage="0" allowBlank="1" type="list">
      <formula1>INDIRECT("ST_"&amp;$C314)</formula1>
    </dataValidation>
    <dataValidation sqref="E314" showDropDown="0" showInputMessage="0" showErrorMessage="0" allowBlank="1" type="list">
      <formula1>INDIRECT($C314)</formula1>
    </dataValidation>
    <dataValidation sqref="D315" showDropDown="0" showInputMessage="0" showErrorMessage="0" allowBlank="1" type="list">
      <formula1>INDIRECT("ST_"&amp;$C315)</formula1>
    </dataValidation>
    <dataValidation sqref="E315" showDropDown="0" showInputMessage="0" showErrorMessage="0" allowBlank="1" type="list">
      <formula1>INDIRECT($C315)</formula1>
    </dataValidation>
    <dataValidation sqref="D316" showDropDown="0" showInputMessage="0" showErrorMessage="0" allowBlank="1" type="list">
      <formula1>INDIRECT("ST_"&amp;$C316)</formula1>
    </dataValidation>
    <dataValidation sqref="E316" showDropDown="0" showInputMessage="0" showErrorMessage="0" allowBlank="1" type="list">
      <formula1>INDIRECT($C316)</formula1>
    </dataValidation>
    <dataValidation sqref="D317" showDropDown="0" showInputMessage="0" showErrorMessage="0" allowBlank="1" type="list">
      <formula1>INDIRECT("ST_"&amp;$C317)</formula1>
    </dataValidation>
    <dataValidation sqref="E317" showDropDown="0" showInputMessage="0" showErrorMessage="0" allowBlank="1" type="list">
      <formula1>INDIRECT($C317)</formula1>
    </dataValidation>
    <dataValidation sqref="D318" showDropDown="0" showInputMessage="0" showErrorMessage="0" allowBlank="1" type="list">
      <formula1>INDIRECT("ST_"&amp;$C318)</formula1>
    </dataValidation>
    <dataValidation sqref="E318" showDropDown="0" showInputMessage="0" showErrorMessage="0" allowBlank="1" type="list">
      <formula1>INDIRECT($C318)</formula1>
    </dataValidation>
    <dataValidation sqref="D319" showDropDown="0" showInputMessage="0" showErrorMessage="0" allowBlank="1" type="list">
      <formula1>INDIRECT("ST_"&amp;$C319)</formula1>
    </dataValidation>
    <dataValidation sqref="E319" showDropDown="0" showInputMessage="0" showErrorMessage="0" allowBlank="1" type="list">
      <formula1>INDIRECT($C319)</formula1>
    </dataValidation>
    <dataValidation sqref="D320" showDropDown="0" showInputMessage="0" showErrorMessage="0" allowBlank="1" type="list">
      <formula1>INDIRECT("ST_"&amp;$C320)</formula1>
    </dataValidation>
    <dataValidation sqref="E320" showDropDown="0" showInputMessage="0" showErrorMessage="0" allowBlank="1" type="list">
      <formula1>INDIRECT($C320)</formula1>
    </dataValidation>
    <dataValidation sqref="D321" showDropDown="0" showInputMessage="0" showErrorMessage="0" allowBlank="1" type="list">
      <formula1>INDIRECT("ST_"&amp;$C321)</formula1>
    </dataValidation>
    <dataValidation sqref="E321" showDropDown="0" showInputMessage="0" showErrorMessage="0" allowBlank="1" type="list">
      <formula1>INDIRECT($C321)</formula1>
    </dataValidation>
    <dataValidation sqref="D322" showDropDown="0" showInputMessage="0" showErrorMessage="0" allowBlank="1" type="list">
      <formula1>INDIRECT("ST_"&amp;$C322)</formula1>
    </dataValidation>
    <dataValidation sqref="E322" showDropDown="0" showInputMessage="0" showErrorMessage="0" allowBlank="1" type="list">
      <formula1>INDIRECT($C322)</formula1>
    </dataValidation>
    <dataValidation sqref="D323" showDropDown="0" showInputMessage="0" showErrorMessage="0" allowBlank="1" type="list">
      <formula1>INDIRECT("ST_"&amp;$C323)</formula1>
    </dataValidation>
    <dataValidation sqref="E323" showDropDown="0" showInputMessage="0" showErrorMessage="0" allowBlank="1" type="list">
      <formula1>INDIRECT($C323)</formula1>
    </dataValidation>
    <dataValidation sqref="D324" showDropDown="0" showInputMessage="0" showErrorMessage="0" allowBlank="1" type="list">
      <formula1>INDIRECT("ST_"&amp;$C324)</formula1>
    </dataValidation>
    <dataValidation sqref="E324" showDropDown="0" showInputMessage="0" showErrorMessage="0" allowBlank="1" type="list">
      <formula1>INDIRECT($C324)</formula1>
    </dataValidation>
    <dataValidation sqref="D325" showDropDown="0" showInputMessage="0" showErrorMessage="0" allowBlank="1" type="list">
      <formula1>INDIRECT("ST_"&amp;$C325)</formula1>
    </dataValidation>
    <dataValidation sqref="E325" showDropDown="0" showInputMessage="0" showErrorMessage="0" allowBlank="1" type="list">
      <formula1>INDIRECT($C325)</formula1>
    </dataValidation>
    <dataValidation sqref="D326" showDropDown="0" showInputMessage="0" showErrorMessage="0" allowBlank="1" type="list">
      <formula1>INDIRECT("ST_"&amp;$C326)</formula1>
    </dataValidation>
    <dataValidation sqref="E326" showDropDown="0" showInputMessage="0" showErrorMessage="0" allowBlank="1" type="list">
      <formula1>INDIRECT($C326)</formula1>
    </dataValidation>
    <dataValidation sqref="D327" showDropDown="0" showInputMessage="0" showErrorMessage="0" allowBlank="1" type="list">
      <formula1>INDIRECT("ST_"&amp;$C327)</formula1>
    </dataValidation>
    <dataValidation sqref="E327" showDropDown="0" showInputMessage="0" showErrorMessage="0" allowBlank="1" type="list">
      <formula1>INDIRECT($C327)</formula1>
    </dataValidation>
    <dataValidation sqref="D328" showDropDown="0" showInputMessage="0" showErrorMessage="0" allowBlank="1" type="list">
      <formula1>INDIRECT("ST_"&amp;$C328)</formula1>
    </dataValidation>
    <dataValidation sqref="E328" showDropDown="0" showInputMessage="0" showErrorMessage="0" allowBlank="1" type="list">
      <formula1>INDIRECT($C328)</formula1>
    </dataValidation>
    <dataValidation sqref="D329" showDropDown="0" showInputMessage="0" showErrorMessage="0" allowBlank="1" type="list">
      <formula1>INDIRECT("ST_"&amp;$C329)</formula1>
    </dataValidation>
    <dataValidation sqref="E329" showDropDown="0" showInputMessage="0" showErrorMessage="0" allowBlank="1" type="list">
      <formula1>INDIRECT($C329)</formula1>
    </dataValidation>
    <dataValidation sqref="D330" showDropDown="0" showInputMessage="0" showErrorMessage="0" allowBlank="1" type="list">
      <formula1>INDIRECT("ST_"&amp;$C330)</formula1>
    </dataValidation>
    <dataValidation sqref="E330" showDropDown="0" showInputMessage="0" showErrorMessage="0" allowBlank="1" type="list">
      <formula1>INDIRECT($C330)</formula1>
    </dataValidation>
    <dataValidation sqref="D331" showDropDown="0" showInputMessage="0" showErrorMessage="0" allowBlank="1" type="list">
      <formula1>INDIRECT("ST_"&amp;$C331)</formula1>
    </dataValidation>
    <dataValidation sqref="E331" showDropDown="0" showInputMessage="0" showErrorMessage="0" allowBlank="1" type="list">
      <formula1>INDIRECT($C331)</formula1>
    </dataValidation>
    <dataValidation sqref="D332" showDropDown="0" showInputMessage="0" showErrorMessage="0" allowBlank="1" type="list">
      <formula1>INDIRECT("ST_"&amp;$C332)</formula1>
    </dataValidation>
    <dataValidation sqref="E332" showDropDown="0" showInputMessage="0" showErrorMessage="0" allowBlank="1" type="list">
      <formula1>INDIRECT($C332)</formula1>
    </dataValidation>
    <dataValidation sqref="D333" showDropDown="0" showInputMessage="0" showErrorMessage="0" allowBlank="1" type="list">
      <formula1>INDIRECT("ST_"&amp;$C333)</formula1>
    </dataValidation>
    <dataValidation sqref="E333" showDropDown="0" showInputMessage="0" showErrorMessage="0" allowBlank="1" type="list">
      <formula1>INDIRECT($C333)</formula1>
    </dataValidation>
    <dataValidation sqref="D334" showDropDown="0" showInputMessage="0" showErrorMessage="0" allowBlank="1" type="list">
      <formula1>INDIRECT("ST_"&amp;$C334)</formula1>
    </dataValidation>
    <dataValidation sqref="E334" showDropDown="0" showInputMessage="0" showErrorMessage="0" allowBlank="1" type="list">
      <formula1>INDIRECT($C334)</formula1>
    </dataValidation>
    <dataValidation sqref="D335" showDropDown="0" showInputMessage="0" showErrorMessage="0" allowBlank="1" type="list">
      <formula1>INDIRECT("ST_"&amp;$C335)</formula1>
    </dataValidation>
    <dataValidation sqref="E335" showDropDown="0" showInputMessage="0" showErrorMessage="0" allowBlank="1" type="list">
      <formula1>INDIRECT($C335)</formula1>
    </dataValidation>
    <dataValidation sqref="D336" showDropDown="0" showInputMessage="0" showErrorMessage="0" allowBlank="1" type="list">
      <formula1>INDIRECT("ST_"&amp;$C336)</formula1>
    </dataValidation>
    <dataValidation sqref="E336" showDropDown="0" showInputMessage="0" showErrorMessage="0" allowBlank="1" type="list">
      <formula1>INDIRECT($C336)</formula1>
    </dataValidation>
    <dataValidation sqref="D337" showDropDown="0" showInputMessage="0" showErrorMessage="0" allowBlank="1" type="list">
      <formula1>INDIRECT("ST_"&amp;$C337)</formula1>
    </dataValidation>
    <dataValidation sqref="E337" showDropDown="0" showInputMessage="0" showErrorMessage="0" allowBlank="1" type="list">
      <formula1>INDIRECT($C337)</formula1>
    </dataValidation>
    <dataValidation sqref="D338" showDropDown="0" showInputMessage="0" showErrorMessage="0" allowBlank="1" type="list">
      <formula1>INDIRECT("ST_"&amp;$C338)</formula1>
    </dataValidation>
    <dataValidation sqref="E338" showDropDown="0" showInputMessage="0" showErrorMessage="0" allowBlank="1" type="list">
      <formula1>INDIRECT($C338)</formula1>
    </dataValidation>
    <dataValidation sqref="D339" showDropDown="0" showInputMessage="0" showErrorMessage="0" allowBlank="1" type="list">
      <formula1>INDIRECT("ST_"&amp;$C339)</formula1>
    </dataValidation>
    <dataValidation sqref="E339" showDropDown="0" showInputMessage="0" showErrorMessage="0" allowBlank="1" type="list">
      <formula1>INDIRECT($C339)</formula1>
    </dataValidation>
    <dataValidation sqref="D340" showDropDown="0" showInputMessage="0" showErrorMessage="0" allowBlank="1" type="list">
      <formula1>INDIRECT("ST_"&amp;$C340)</formula1>
    </dataValidation>
    <dataValidation sqref="E340" showDropDown="0" showInputMessage="0" showErrorMessage="0" allowBlank="1" type="list">
      <formula1>INDIRECT($C340)</formula1>
    </dataValidation>
    <dataValidation sqref="D341" showDropDown="0" showInputMessage="0" showErrorMessage="0" allowBlank="1" type="list">
      <formula1>INDIRECT("ST_"&amp;$C341)</formula1>
    </dataValidation>
    <dataValidation sqref="E341" showDropDown="0" showInputMessage="0" showErrorMessage="0" allowBlank="1" type="list">
      <formula1>INDIRECT($C341)</formula1>
    </dataValidation>
    <dataValidation sqref="D342" showDropDown="0" showInputMessage="0" showErrorMessage="0" allowBlank="1" type="list">
      <formula1>INDIRECT("ST_"&amp;$C342)</formula1>
    </dataValidation>
    <dataValidation sqref="E342" showDropDown="0" showInputMessage="0" showErrorMessage="0" allowBlank="1" type="list">
      <formula1>INDIRECT($C342)</formula1>
    </dataValidation>
    <dataValidation sqref="D343" showDropDown="0" showInputMessage="0" showErrorMessage="0" allowBlank="1" type="list">
      <formula1>INDIRECT("ST_"&amp;$C343)</formula1>
    </dataValidation>
    <dataValidation sqref="E343" showDropDown="0" showInputMessage="0" showErrorMessage="0" allowBlank="1" type="list">
      <formula1>INDIRECT($C343)</formula1>
    </dataValidation>
    <dataValidation sqref="D344" showDropDown="0" showInputMessage="0" showErrorMessage="0" allowBlank="1" type="list">
      <formula1>INDIRECT("ST_"&amp;$C344)</formula1>
    </dataValidation>
    <dataValidation sqref="E344" showDropDown="0" showInputMessage="0" showErrorMessage="0" allowBlank="1" type="list">
      <formula1>INDIRECT($C344)</formula1>
    </dataValidation>
    <dataValidation sqref="D345" showDropDown="0" showInputMessage="0" showErrorMessage="0" allowBlank="1" type="list">
      <formula1>INDIRECT("ST_"&amp;$C345)</formula1>
    </dataValidation>
    <dataValidation sqref="E345" showDropDown="0" showInputMessage="0" showErrorMessage="0" allowBlank="1" type="list">
      <formula1>INDIRECT($C345)</formula1>
    </dataValidation>
    <dataValidation sqref="D346" showDropDown="0" showInputMessage="0" showErrorMessage="0" allowBlank="1" type="list">
      <formula1>INDIRECT("ST_"&amp;$C346)</formula1>
    </dataValidation>
    <dataValidation sqref="E346" showDropDown="0" showInputMessage="0" showErrorMessage="0" allowBlank="1" type="list">
      <formula1>INDIRECT($C346)</formula1>
    </dataValidation>
    <dataValidation sqref="D347" showDropDown="0" showInputMessage="0" showErrorMessage="0" allowBlank="1" type="list">
      <formula1>INDIRECT("ST_"&amp;$C347)</formula1>
    </dataValidation>
    <dataValidation sqref="E347" showDropDown="0" showInputMessage="0" showErrorMessage="0" allowBlank="1" type="list">
      <formula1>INDIRECT($C347)</formula1>
    </dataValidation>
    <dataValidation sqref="D348" showDropDown="0" showInputMessage="0" showErrorMessage="0" allowBlank="1" type="list">
      <formula1>INDIRECT("ST_"&amp;$C348)</formula1>
    </dataValidation>
    <dataValidation sqref="E348" showDropDown="0" showInputMessage="0" showErrorMessage="0" allowBlank="1" type="list">
      <formula1>INDIRECT($C348)</formula1>
    </dataValidation>
    <dataValidation sqref="D349" showDropDown="0" showInputMessage="0" showErrorMessage="0" allowBlank="1" type="list">
      <formula1>INDIRECT("ST_"&amp;$C349)</formula1>
    </dataValidation>
    <dataValidation sqref="E349" showDropDown="0" showInputMessage="0" showErrorMessage="0" allowBlank="1" type="list">
      <formula1>INDIRECT($C349)</formula1>
    </dataValidation>
    <dataValidation sqref="D350" showDropDown="0" showInputMessage="0" showErrorMessage="0" allowBlank="1" type="list">
      <formula1>INDIRECT("ST_"&amp;$C350)</formula1>
    </dataValidation>
    <dataValidation sqref="E350" showDropDown="0" showInputMessage="0" showErrorMessage="0" allowBlank="1" type="list">
      <formula1>INDIRECT($C350)</formula1>
    </dataValidation>
    <dataValidation sqref="D351" showDropDown="0" showInputMessage="0" showErrorMessage="0" allowBlank="1" type="list">
      <formula1>INDIRECT("ST_"&amp;$C351)</formula1>
    </dataValidation>
    <dataValidation sqref="E351" showDropDown="0" showInputMessage="0" showErrorMessage="0" allowBlank="1" type="list">
      <formula1>INDIRECT($C351)</formula1>
    </dataValidation>
    <dataValidation sqref="D352" showDropDown="0" showInputMessage="0" showErrorMessage="0" allowBlank="1" type="list">
      <formula1>INDIRECT("ST_"&amp;$C352)</formula1>
    </dataValidation>
    <dataValidation sqref="E352" showDropDown="0" showInputMessage="0" showErrorMessage="0" allowBlank="1" type="list">
      <formula1>INDIRECT($C352)</formula1>
    </dataValidation>
    <dataValidation sqref="D353" showDropDown="0" showInputMessage="0" showErrorMessage="0" allowBlank="1" type="list">
      <formula1>INDIRECT("ST_"&amp;$C353)</formula1>
    </dataValidation>
    <dataValidation sqref="E353" showDropDown="0" showInputMessage="0" showErrorMessage="0" allowBlank="1" type="list">
      <formula1>INDIRECT($C353)</formula1>
    </dataValidation>
    <dataValidation sqref="D354" showDropDown="0" showInputMessage="0" showErrorMessage="0" allowBlank="1" type="list">
      <formula1>INDIRECT("ST_"&amp;$C354)</formula1>
    </dataValidation>
    <dataValidation sqref="E354" showDropDown="0" showInputMessage="0" showErrorMessage="0" allowBlank="1" type="list">
      <formula1>INDIRECT($C354)</formula1>
    </dataValidation>
    <dataValidation sqref="D355" showDropDown="0" showInputMessage="0" showErrorMessage="0" allowBlank="1" type="list">
      <formula1>INDIRECT("ST_"&amp;$C355)</formula1>
    </dataValidation>
    <dataValidation sqref="E355" showDropDown="0" showInputMessage="0" showErrorMessage="0" allowBlank="1" type="list">
      <formula1>INDIRECT($C355)</formula1>
    </dataValidation>
    <dataValidation sqref="D356" showDropDown="0" showInputMessage="0" showErrorMessage="0" allowBlank="1" type="list">
      <formula1>INDIRECT("ST_"&amp;$C356)</formula1>
    </dataValidation>
    <dataValidation sqref="E356" showDropDown="0" showInputMessage="0" showErrorMessage="0" allowBlank="1" type="list">
      <formula1>INDIRECT($C356)</formula1>
    </dataValidation>
    <dataValidation sqref="D357" showDropDown="0" showInputMessage="0" showErrorMessage="0" allowBlank="1" type="list">
      <formula1>INDIRECT("ST_"&amp;$C357)</formula1>
    </dataValidation>
    <dataValidation sqref="E357" showDropDown="0" showInputMessage="0" showErrorMessage="0" allowBlank="1" type="list">
      <formula1>INDIRECT($C357)</formula1>
    </dataValidation>
    <dataValidation sqref="D358" showDropDown="0" showInputMessage="0" showErrorMessage="0" allowBlank="1" type="list">
      <formula1>INDIRECT("ST_"&amp;$C358)</formula1>
    </dataValidation>
    <dataValidation sqref="E358" showDropDown="0" showInputMessage="0" showErrorMessage="0" allowBlank="1" type="list">
      <formula1>INDIRECT($C358)</formula1>
    </dataValidation>
    <dataValidation sqref="D359" showDropDown="0" showInputMessage="0" showErrorMessage="0" allowBlank="1" type="list">
      <formula1>INDIRECT("ST_"&amp;$C359)</formula1>
    </dataValidation>
    <dataValidation sqref="E359" showDropDown="0" showInputMessage="0" showErrorMessage="0" allowBlank="1" type="list">
      <formula1>INDIRECT($C359)</formula1>
    </dataValidation>
    <dataValidation sqref="D360" showDropDown="0" showInputMessage="0" showErrorMessage="0" allowBlank="1" type="list">
      <formula1>INDIRECT("ST_"&amp;$C360)</formula1>
    </dataValidation>
    <dataValidation sqref="E360" showDropDown="0" showInputMessage="0" showErrorMessage="0" allowBlank="1" type="list">
      <formula1>INDIRECT($C360)</formula1>
    </dataValidation>
    <dataValidation sqref="D361" showDropDown="0" showInputMessage="0" showErrorMessage="0" allowBlank="1" type="list">
      <formula1>INDIRECT("ST_"&amp;$C361)</formula1>
    </dataValidation>
    <dataValidation sqref="E361" showDropDown="0" showInputMessage="0" showErrorMessage="0" allowBlank="1" type="list">
      <formula1>INDIRECT($C361)</formula1>
    </dataValidation>
    <dataValidation sqref="D362" showDropDown="0" showInputMessage="0" showErrorMessage="0" allowBlank="1" type="list">
      <formula1>INDIRECT("ST_"&amp;$C362)</formula1>
    </dataValidation>
    <dataValidation sqref="E362" showDropDown="0" showInputMessage="0" showErrorMessage="0" allowBlank="1" type="list">
      <formula1>INDIRECT($C362)</formula1>
    </dataValidation>
    <dataValidation sqref="D363" showDropDown="0" showInputMessage="0" showErrorMessage="0" allowBlank="1" type="list">
      <formula1>INDIRECT("ST_"&amp;$C363)</formula1>
    </dataValidation>
    <dataValidation sqref="E363" showDropDown="0" showInputMessage="0" showErrorMessage="0" allowBlank="1" type="list">
      <formula1>INDIRECT($C363)</formula1>
    </dataValidation>
    <dataValidation sqref="D364" showDropDown="0" showInputMessage="0" showErrorMessage="0" allowBlank="1" type="list">
      <formula1>INDIRECT("ST_"&amp;$C364)</formula1>
    </dataValidation>
    <dataValidation sqref="E364" showDropDown="0" showInputMessage="0" showErrorMessage="0" allowBlank="1" type="list">
      <formula1>INDIRECT($C364)</formula1>
    </dataValidation>
    <dataValidation sqref="D365" showDropDown="0" showInputMessage="0" showErrorMessage="0" allowBlank="1" type="list">
      <formula1>INDIRECT("ST_"&amp;$C365)</formula1>
    </dataValidation>
    <dataValidation sqref="E365" showDropDown="0" showInputMessage="0" showErrorMessage="0" allowBlank="1" type="list">
      <formula1>INDIRECT($C365)</formula1>
    </dataValidation>
    <dataValidation sqref="D366" showDropDown="0" showInputMessage="0" showErrorMessage="0" allowBlank="1" type="list">
      <formula1>INDIRECT("ST_"&amp;$C366)</formula1>
    </dataValidation>
    <dataValidation sqref="E366" showDropDown="0" showInputMessage="0" showErrorMessage="0" allowBlank="1" type="list">
      <formula1>INDIRECT($C366)</formula1>
    </dataValidation>
    <dataValidation sqref="D367" showDropDown="0" showInputMessage="0" showErrorMessage="0" allowBlank="1" type="list">
      <formula1>INDIRECT("ST_"&amp;$C367)</formula1>
    </dataValidation>
    <dataValidation sqref="E367" showDropDown="0" showInputMessage="0" showErrorMessage="0" allowBlank="1" type="list">
      <formula1>INDIRECT($C367)</formula1>
    </dataValidation>
    <dataValidation sqref="D368" showDropDown="0" showInputMessage="0" showErrorMessage="0" allowBlank="1" type="list">
      <formula1>INDIRECT("ST_"&amp;$C368)</formula1>
    </dataValidation>
    <dataValidation sqref="E368" showDropDown="0" showInputMessage="0" showErrorMessage="0" allowBlank="1" type="list">
      <formula1>INDIRECT($C368)</formula1>
    </dataValidation>
    <dataValidation sqref="D369" showDropDown="0" showInputMessage="0" showErrorMessage="0" allowBlank="1" type="list">
      <formula1>INDIRECT("ST_"&amp;$C369)</formula1>
    </dataValidation>
    <dataValidation sqref="E369" showDropDown="0" showInputMessage="0" showErrorMessage="0" allowBlank="1" type="list">
      <formula1>INDIRECT($C369)</formula1>
    </dataValidation>
    <dataValidation sqref="D370" showDropDown="0" showInputMessage="0" showErrorMessage="0" allowBlank="1" type="list">
      <formula1>INDIRECT("ST_"&amp;$C370)</formula1>
    </dataValidation>
    <dataValidation sqref="E370" showDropDown="0" showInputMessage="0" showErrorMessage="0" allowBlank="1" type="list">
      <formula1>INDIRECT($C370)</formula1>
    </dataValidation>
    <dataValidation sqref="D371" showDropDown="0" showInputMessage="0" showErrorMessage="0" allowBlank="1" type="list">
      <formula1>INDIRECT("ST_"&amp;$C371)</formula1>
    </dataValidation>
    <dataValidation sqref="E371" showDropDown="0" showInputMessage="0" showErrorMessage="0" allowBlank="1" type="list">
      <formula1>INDIRECT($C371)</formula1>
    </dataValidation>
    <dataValidation sqref="D372" showDropDown="0" showInputMessage="0" showErrorMessage="0" allowBlank="1" type="list">
      <formula1>INDIRECT("ST_"&amp;$C372)</formula1>
    </dataValidation>
    <dataValidation sqref="E372" showDropDown="0" showInputMessage="0" showErrorMessage="0" allowBlank="1" type="list">
      <formula1>INDIRECT($C372)</formula1>
    </dataValidation>
    <dataValidation sqref="D373" showDropDown="0" showInputMessage="0" showErrorMessage="0" allowBlank="1" type="list">
      <formula1>INDIRECT("ST_"&amp;$C373)</formula1>
    </dataValidation>
    <dataValidation sqref="E373" showDropDown="0" showInputMessage="0" showErrorMessage="0" allowBlank="1" type="list">
      <formula1>INDIRECT($C373)</formula1>
    </dataValidation>
    <dataValidation sqref="D374" showDropDown="0" showInputMessage="0" showErrorMessage="0" allowBlank="1" type="list">
      <formula1>INDIRECT("ST_"&amp;$C374)</formula1>
    </dataValidation>
    <dataValidation sqref="E374" showDropDown="0" showInputMessage="0" showErrorMessage="0" allowBlank="1" type="list">
      <formula1>INDIRECT($C374)</formula1>
    </dataValidation>
    <dataValidation sqref="D375" showDropDown="0" showInputMessage="0" showErrorMessage="0" allowBlank="1" type="list">
      <formula1>INDIRECT("ST_"&amp;$C375)</formula1>
    </dataValidation>
    <dataValidation sqref="E375" showDropDown="0" showInputMessage="0" showErrorMessage="0" allowBlank="1" type="list">
      <formula1>INDIRECT($C375)</formula1>
    </dataValidation>
    <dataValidation sqref="D376" showDropDown="0" showInputMessage="0" showErrorMessage="0" allowBlank="1" type="list">
      <formula1>INDIRECT("ST_"&amp;$C376)</formula1>
    </dataValidation>
    <dataValidation sqref="E376" showDropDown="0" showInputMessage="0" showErrorMessage="0" allowBlank="1" type="list">
      <formula1>INDIRECT($C376)</formula1>
    </dataValidation>
    <dataValidation sqref="D377" showDropDown="0" showInputMessage="0" showErrorMessage="0" allowBlank="1" type="list">
      <formula1>INDIRECT("ST_"&amp;$C377)</formula1>
    </dataValidation>
    <dataValidation sqref="E377" showDropDown="0" showInputMessage="0" showErrorMessage="0" allowBlank="1" type="list">
      <formula1>INDIRECT($C377)</formula1>
    </dataValidation>
    <dataValidation sqref="D378" showDropDown="0" showInputMessage="0" showErrorMessage="0" allowBlank="1" type="list">
      <formula1>INDIRECT("ST_"&amp;$C378)</formula1>
    </dataValidation>
    <dataValidation sqref="E378" showDropDown="0" showInputMessage="0" showErrorMessage="0" allowBlank="1" type="list">
      <formula1>INDIRECT($C378)</formula1>
    </dataValidation>
    <dataValidation sqref="D379" showDropDown="0" showInputMessage="0" showErrorMessage="0" allowBlank="1" type="list">
      <formula1>INDIRECT("ST_"&amp;$C379)</formula1>
    </dataValidation>
    <dataValidation sqref="E379" showDropDown="0" showInputMessage="0" showErrorMessage="0" allowBlank="1" type="list">
      <formula1>INDIRECT($C379)</formula1>
    </dataValidation>
    <dataValidation sqref="D380" showDropDown="0" showInputMessage="0" showErrorMessage="0" allowBlank="1" type="list">
      <formula1>INDIRECT("ST_"&amp;$C380)</formula1>
    </dataValidation>
    <dataValidation sqref="E380" showDropDown="0" showInputMessage="0" showErrorMessage="0" allowBlank="1" type="list">
      <formula1>INDIRECT($C380)</formula1>
    </dataValidation>
    <dataValidation sqref="D381" showDropDown="0" showInputMessage="0" showErrorMessage="0" allowBlank="1" type="list">
      <formula1>INDIRECT("ST_"&amp;$C381)</formula1>
    </dataValidation>
    <dataValidation sqref="E381" showDropDown="0" showInputMessage="0" showErrorMessage="0" allowBlank="1" type="list">
      <formula1>INDIRECT($C381)</formula1>
    </dataValidation>
    <dataValidation sqref="D382" showDropDown="0" showInputMessage="0" showErrorMessage="0" allowBlank="1" type="list">
      <formula1>INDIRECT("ST_"&amp;$C382)</formula1>
    </dataValidation>
    <dataValidation sqref="E382" showDropDown="0" showInputMessage="0" showErrorMessage="0" allowBlank="1" type="list">
      <formula1>INDIRECT($C382)</formula1>
    </dataValidation>
    <dataValidation sqref="D383" showDropDown="0" showInputMessage="0" showErrorMessage="0" allowBlank="1" type="list">
      <formula1>INDIRECT("ST_"&amp;$C383)</formula1>
    </dataValidation>
    <dataValidation sqref="E383" showDropDown="0" showInputMessage="0" showErrorMessage="0" allowBlank="1" type="list">
      <formula1>INDIRECT($C383)</formula1>
    </dataValidation>
    <dataValidation sqref="D384" showDropDown="0" showInputMessage="0" showErrorMessage="0" allowBlank="1" type="list">
      <formula1>INDIRECT("ST_"&amp;$C384)</formula1>
    </dataValidation>
    <dataValidation sqref="E384" showDropDown="0" showInputMessage="0" showErrorMessage="0" allowBlank="1" type="list">
      <formula1>INDIRECT($C384)</formula1>
    </dataValidation>
    <dataValidation sqref="D385" showDropDown="0" showInputMessage="0" showErrorMessage="0" allowBlank="1" type="list">
      <formula1>INDIRECT("ST_"&amp;$C385)</formula1>
    </dataValidation>
    <dataValidation sqref="E385" showDropDown="0" showInputMessage="0" showErrorMessage="0" allowBlank="1" type="list">
      <formula1>INDIRECT($C385)</formula1>
    </dataValidation>
    <dataValidation sqref="D386" showDropDown="0" showInputMessage="0" showErrorMessage="0" allowBlank="1" type="list">
      <formula1>INDIRECT("ST_"&amp;$C386)</formula1>
    </dataValidation>
    <dataValidation sqref="E386" showDropDown="0" showInputMessage="0" showErrorMessage="0" allowBlank="1" type="list">
      <formula1>INDIRECT($C386)</formula1>
    </dataValidation>
    <dataValidation sqref="D387" showDropDown="0" showInputMessage="0" showErrorMessage="0" allowBlank="1" type="list">
      <formula1>INDIRECT("ST_"&amp;$C387)</formula1>
    </dataValidation>
    <dataValidation sqref="E387" showDropDown="0" showInputMessage="0" showErrorMessage="0" allowBlank="1" type="list">
      <formula1>INDIRECT($C387)</formula1>
    </dataValidation>
    <dataValidation sqref="D388" showDropDown="0" showInputMessage="0" showErrorMessage="0" allowBlank="1" type="list">
      <formula1>INDIRECT("ST_"&amp;$C388)</formula1>
    </dataValidation>
    <dataValidation sqref="E388" showDropDown="0" showInputMessage="0" showErrorMessage="0" allowBlank="1" type="list">
      <formula1>INDIRECT($C388)</formula1>
    </dataValidation>
    <dataValidation sqref="D389" showDropDown="0" showInputMessage="0" showErrorMessage="0" allowBlank="1" type="list">
      <formula1>INDIRECT("ST_"&amp;$C389)</formula1>
    </dataValidation>
    <dataValidation sqref="E389" showDropDown="0" showInputMessage="0" showErrorMessage="0" allowBlank="1" type="list">
      <formula1>INDIRECT($C389)</formula1>
    </dataValidation>
    <dataValidation sqref="D390" showDropDown="0" showInputMessage="0" showErrorMessage="0" allowBlank="1" type="list">
      <formula1>INDIRECT("ST_"&amp;$C390)</formula1>
    </dataValidation>
    <dataValidation sqref="E390" showDropDown="0" showInputMessage="0" showErrorMessage="0" allowBlank="1" type="list">
      <formula1>INDIRECT($C390)</formula1>
    </dataValidation>
    <dataValidation sqref="D391" showDropDown="0" showInputMessage="0" showErrorMessage="0" allowBlank="1" type="list">
      <formula1>INDIRECT("ST_"&amp;$C391)</formula1>
    </dataValidation>
    <dataValidation sqref="E391" showDropDown="0" showInputMessage="0" showErrorMessage="0" allowBlank="1" type="list">
      <formula1>INDIRECT($C391)</formula1>
    </dataValidation>
    <dataValidation sqref="D392" showDropDown="0" showInputMessage="0" showErrorMessage="0" allowBlank="1" type="list">
      <formula1>INDIRECT("ST_"&amp;$C392)</formula1>
    </dataValidation>
    <dataValidation sqref="E392" showDropDown="0" showInputMessage="0" showErrorMessage="0" allowBlank="1" type="list">
      <formula1>INDIRECT($C392)</formula1>
    </dataValidation>
    <dataValidation sqref="D393" showDropDown="0" showInputMessage="0" showErrorMessage="0" allowBlank="1" type="list">
      <formula1>INDIRECT("ST_"&amp;$C393)</formula1>
    </dataValidation>
    <dataValidation sqref="E393" showDropDown="0" showInputMessage="0" showErrorMessage="0" allowBlank="1" type="list">
      <formula1>INDIRECT($C393)</formula1>
    </dataValidation>
    <dataValidation sqref="D394" showDropDown="0" showInputMessage="0" showErrorMessage="0" allowBlank="1" type="list">
      <formula1>INDIRECT("ST_"&amp;$C394)</formula1>
    </dataValidation>
    <dataValidation sqref="E394" showDropDown="0" showInputMessage="0" showErrorMessage="0" allowBlank="1" type="list">
      <formula1>INDIRECT($C394)</formula1>
    </dataValidation>
    <dataValidation sqref="D395" showDropDown="0" showInputMessage="0" showErrorMessage="0" allowBlank="1" type="list">
      <formula1>INDIRECT("ST_"&amp;$C395)</formula1>
    </dataValidation>
    <dataValidation sqref="E395" showDropDown="0" showInputMessage="0" showErrorMessage="0" allowBlank="1" type="list">
      <formula1>INDIRECT($C395)</formula1>
    </dataValidation>
    <dataValidation sqref="D396" showDropDown="0" showInputMessage="0" showErrorMessage="0" allowBlank="1" type="list">
      <formula1>INDIRECT("ST_"&amp;$C396)</formula1>
    </dataValidation>
    <dataValidation sqref="E396" showDropDown="0" showInputMessage="0" showErrorMessage="0" allowBlank="1" type="list">
      <formula1>INDIRECT($C396)</formula1>
    </dataValidation>
    <dataValidation sqref="D397" showDropDown="0" showInputMessage="0" showErrorMessage="0" allowBlank="1" type="list">
      <formula1>INDIRECT("ST_"&amp;$C397)</formula1>
    </dataValidation>
    <dataValidation sqref="E397" showDropDown="0" showInputMessage="0" showErrorMessage="0" allowBlank="1" type="list">
      <formula1>INDIRECT($C397)</formula1>
    </dataValidation>
    <dataValidation sqref="D398" showDropDown="0" showInputMessage="0" showErrorMessage="0" allowBlank="1" type="list">
      <formula1>INDIRECT("ST_"&amp;$C398)</formula1>
    </dataValidation>
    <dataValidation sqref="E398" showDropDown="0" showInputMessage="0" showErrorMessage="0" allowBlank="1" type="list">
      <formula1>INDIRECT($C398)</formula1>
    </dataValidation>
    <dataValidation sqref="D399" showDropDown="0" showInputMessage="0" showErrorMessage="0" allowBlank="1" type="list">
      <formula1>INDIRECT("ST_"&amp;$C399)</formula1>
    </dataValidation>
    <dataValidation sqref="E399" showDropDown="0" showInputMessage="0" showErrorMessage="0" allowBlank="1" type="list">
      <formula1>INDIRECT($C399)</formula1>
    </dataValidation>
    <dataValidation sqref="D400" showDropDown="0" showInputMessage="0" showErrorMessage="0" allowBlank="1" type="list">
      <formula1>INDIRECT("ST_"&amp;$C400)</formula1>
    </dataValidation>
    <dataValidation sqref="E400" showDropDown="0" showInputMessage="0" showErrorMessage="0" allowBlank="1" type="list">
      <formula1>INDIRECT($C400)</formula1>
    </dataValidation>
    <dataValidation sqref="D401" showDropDown="0" showInputMessage="0" showErrorMessage="0" allowBlank="1" type="list">
      <formula1>INDIRECT("ST_"&amp;$C401)</formula1>
    </dataValidation>
    <dataValidation sqref="E401" showDropDown="0" showInputMessage="0" showErrorMessage="0" allowBlank="1" type="list">
      <formula1>INDIRECT($C401)</formula1>
    </dataValidation>
    <dataValidation sqref="D402" showDropDown="0" showInputMessage="0" showErrorMessage="0" allowBlank="1" type="list">
      <formula1>INDIRECT("ST_"&amp;$C402)</formula1>
    </dataValidation>
    <dataValidation sqref="E402" showDropDown="0" showInputMessage="0" showErrorMessage="0" allowBlank="1" type="list">
      <formula1>INDIRECT($C402)</formula1>
    </dataValidation>
    <dataValidation sqref="D403" showDropDown="0" showInputMessage="0" showErrorMessage="0" allowBlank="1" type="list">
      <formula1>INDIRECT("ST_"&amp;$C403)</formula1>
    </dataValidation>
    <dataValidation sqref="E403" showDropDown="0" showInputMessage="0" showErrorMessage="0" allowBlank="1" type="list">
      <formula1>INDIRECT($C403)</formula1>
    </dataValidation>
    <dataValidation sqref="D404" showDropDown="0" showInputMessage="0" showErrorMessage="0" allowBlank="1" type="list">
      <formula1>INDIRECT("ST_"&amp;$C404)</formula1>
    </dataValidation>
    <dataValidation sqref="E404" showDropDown="0" showInputMessage="0" showErrorMessage="0" allowBlank="1" type="list">
      <formula1>INDIRECT($C404)</formula1>
    </dataValidation>
    <dataValidation sqref="D405" showDropDown="0" showInputMessage="0" showErrorMessage="0" allowBlank="1" type="list">
      <formula1>INDIRECT("ST_"&amp;$C405)</formula1>
    </dataValidation>
    <dataValidation sqref="E405" showDropDown="0" showInputMessage="0" showErrorMessage="0" allowBlank="1" type="list">
      <formula1>INDIRECT($C405)</formula1>
    </dataValidation>
    <dataValidation sqref="D406" showDropDown="0" showInputMessage="0" showErrorMessage="0" allowBlank="1" type="list">
      <formula1>INDIRECT("ST_"&amp;$C406)</formula1>
    </dataValidation>
    <dataValidation sqref="E406" showDropDown="0" showInputMessage="0" showErrorMessage="0" allowBlank="1" type="list">
      <formula1>INDIRECT($C406)</formula1>
    </dataValidation>
    <dataValidation sqref="D407" showDropDown="0" showInputMessage="0" showErrorMessage="0" allowBlank="1" type="list">
      <formula1>INDIRECT("ST_"&amp;$C407)</formula1>
    </dataValidation>
    <dataValidation sqref="E407" showDropDown="0" showInputMessage="0" showErrorMessage="0" allowBlank="1" type="list">
      <formula1>INDIRECT($C407)</formula1>
    </dataValidation>
    <dataValidation sqref="D408" showDropDown="0" showInputMessage="0" showErrorMessage="0" allowBlank="1" type="list">
      <formula1>INDIRECT("ST_"&amp;$C408)</formula1>
    </dataValidation>
    <dataValidation sqref="E408" showDropDown="0" showInputMessage="0" showErrorMessage="0" allowBlank="1" type="list">
      <formula1>INDIRECT($C408)</formula1>
    </dataValidation>
    <dataValidation sqref="D409" showDropDown="0" showInputMessage="0" showErrorMessage="0" allowBlank="1" type="list">
      <formula1>INDIRECT("ST_"&amp;$C409)</formula1>
    </dataValidation>
    <dataValidation sqref="E409" showDropDown="0" showInputMessage="0" showErrorMessage="0" allowBlank="1" type="list">
      <formula1>INDIRECT($C409)</formula1>
    </dataValidation>
    <dataValidation sqref="D410" showDropDown="0" showInputMessage="0" showErrorMessage="0" allowBlank="1" type="list">
      <formula1>INDIRECT("ST_"&amp;$C410)</formula1>
    </dataValidation>
    <dataValidation sqref="E410" showDropDown="0" showInputMessage="0" showErrorMessage="0" allowBlank="1" type="list">
      <formula1>INDIRECT($C410)</formula1>
    </dataValidation>
    <dataValidation sqref="D411" showDropDown="0" showInputMessage="0" showErrorMessage="0" allowBlank="1" type="list">
      <formula1>INDIRECT("ST_"&amp;$C411)</formula1>
    </dataValidation>
    <dataValidation sqref="E411" showDropDown="0" showInputMessage="0" showErrorMessage="0" allowBlank="1" type="list">
      <formula1>INDIRECT($C411)</formula1>
    </dataValidation>
    <dataValidation sqref="D412" showDropDown="0" showInputMessage="0" showErrorMessage="0" allowBlank="1" type="list">
      <formula1>INDIRECT("ST_"&amp;$C412)</formula1>
    </dataValidation>
    <dataValidation sqref="E412" showDropDown="0" showInputMessage="0" showErrorMessage="0" allowBlank="1" type="list">
      <formula1>INDIRECT($C412)</formula1>
    </dataValidation>
    <dataValidation sqref="D413" showDropDown="0" showInputMessage="0" showErrorMessage="0" allowBlank="1" type="list">
      <formula1>INDIRECT("ST_"&amp;$C413)</formula1>
    </dataValidation>
    <dataValidation sqref="E413" showDropDown="0" showInputMessage="0" showErrorMessage="0" allowBlank="1" type="list">
      <formula1>INDIRECT($C413)</formula1>
    </dataValidation>
    <dataValidation sqref="D414" showDropDown="0" showInputMessage="0" showErrorMessage="0" allowBlank="1" type="list">
      <formula1>INDIRECT("ST_"&amp;$C414)</formula1>
    </dataValidation>
    <dataValidation sqref="E414" showDropDown="0" showInputMessage="0" showErrorMessage="0" allowBlank="1" type="list">
      <formula1>INDIRECT($C414)</formula1>
    </dataValidation>
    <dataValidation sqref="D415" showDropDown="0" showInputMessage="0" showErrorMessage="0" allowBlank="1" type="list">
      <formula1>INDIRECT("ST_"&amp;$C415)</formula1>
    </dataValidation>
    <dataValidation sqref="E415" showDropDown="0" showInputMessage="0" showErrorMessage="0" allowBlank="1" type="list">
      <formula1>INDIRECT($C415)</formula1>
    </dataValidation>
    <dataValidation sqref="D416" showDropDown="0" showInputMessage="0" showErrorMessage="0" allowBlank="1" type="list">
      <formula1>INDIRECT("ST_"&amp;$C416)</formula1>
    </dataValidation>
    <dataValidation sqref="E416" showDropDown="0" showInputMessage="0" showErrorMessage="0" allowBlank="1" type="list">
      <formula1>INDIRECT($C416)</formula1>
    </dataValidation>
    <dataValidation sqref="D417" showDropDown="0" showInputMessage="0" showErrorMessage="0" allowBlank="1" type="list">
      <formula1>INDIRECT("ST_"&amp;$C417)</formula1>
    </dataValidation>
    <dataValidation sqref="E417" showDropDown="0" showInputMessage="0" showErrorMessage="0" allowBlank="1" type="list">
      <formula1>INDIRECT($C417)</formula1>
    </dataValidation>
    <dataValidation sqref="D418" showDropDown="0" showInputMessage="0" showErrorMessage="0" allowBlank="1" type="list">
      <formula1>INDIRECT("ST_"&amp;$C418)</formula1>
    </dataValidation>
    <dataValidation sqref="E418" showDropDown="0" showInputMessage="0" showErrorMessage="0" allowBlank="1" type="list">
      <formula1>INDIRECT($C418)</formula1>
    </dataValidation>
    <dataValidation sqref="D419" showDropDown="0" showInputMessage="0" showErrorMessage="0" allowBlank="1" type="list">
      <formula1>INDIRECT("ST_"&amp;$C419)</formula1>
    </dataValidation>
    <dataValidation sqref="E419" showDropDown="0" showInputMessage="0" showErrorMessage="0" allowBlank="1" type="list">
      <formula1>INDIRECT($C419)</formula1>
    </dataValidation>
    <dataValidation sqref="D420" showDropDown="0" showInputMessage="0" showErrorMessage="0" allowBlank="1" type="list">
      <formula1>INDIRECT("ST_"&amp;$C420)</formula1>
    </dataValidation>
    <dataValidation sqref="E420" showDropDown="0" showInputMessage="0" showErrorMessage="0" allowBlank="1" type="list">
      <formula1>INDIRECT($C420)</formula1>
    </dataValidation>
    <dataValidation sqref="D421" showDropDown="0" showInputMessage="0" showErrorMessage="0" allowBlank="1" type="list">
      <formula1>INDIRECT("ST_"&amp;$C421)</formula1>
    </dataValidation>
    <dataValidation sqref="E421" showDropDown="0" showInputMessage="0" showErrorMessage="0" allowBlank="1" type="list">
      <formula1>INDIRECT($C421)</formula1>
    </dataValidation>
    <dataValidation sqref="D422" showDropDown="0" showInputMessage="0" showErrorMessage="0" allowBlank="1" type="list">
      <formula1>INDIRECT("ST_"&amp;$C422)</formula1>
    </dataValidation>
    <dataValidation sqref="E422" showDropDown="0" showInputMessage="0" showErrorMessage="0" allowBlank="1" type="list">
      <formula1>INDIRECT($C422)</formula1>
    </dataValidation>
    <dataValidation sqref="D423" showDropDown="0" showInputMessage="0" showErrorMessage="0" allowBlank="1" type="list">
      <formula1>INDIRECT("ST_"&amp;$C423)</formula1>
    </dataValidation>
    <dataValidation sqref="E423" showDropDown="0" showInputMessage="0" showErrorMessage="0" allowBlank="1" type="list">
      <formula1>INDIRECT($C423)</formula1>
    </dataValidation>
    <dataValidation sqref="D424" showDropDown="0" showInputMessage="0" showErrorMessage="0" allowBlank="1" type="list">
      <formula1>INDIRECT("ST_"&amp;$C424)</formula1>
    </dataValidation>
    <dataValidation sqref="E424" showDropDown="0" showInputMessage="0" showErrorMessage="0" allowBlank="1" type="list">
      <formula1>INDIRECT($C424)</formula1>
    </dataValidation>
    <dataValidation sqref="D425" showDropDown="0" showInputMessage="0" showErrorMessage="0" allowBlank="1" type="list">
      <formula1>INDIRECT("ST_"&amp;$C425)</formula1>
    </dataValidation>
    <dataValidation sqref="E425" showDropDown="0" showInputMessage="0" showErrorMessage="0" allowBlank="1" type="list">
      <formula1>INDIRECT($C425)</formula1>
    </dataValidation>
    <dataValidation sqref="D426" showDropDown="0" showInputMessage="0" showErrorMessage="0" allowBlank="1" type="list">
      <formula1>INDIRECT("ST_"&amp;$C426)</formula1>
    </dataValidation>
    <dataValidation sqref="E426" showDropDown="0" showInputMessage="0" showErrorMessage="0" allowBlank="1" type="list">
      <formula1>INDIRECT($C426)</formula1>
    </dataValidation>
    <dataValidation sqref="D427" showDropDown="0" showInputMessage="0" showErrorMessage="0" allowBlank="1" type="list">
      <formula1>INDIRECT("ST_"&amp;$C427)</formula1>
    </dataValidation>
    <dataValidation sqref="E427" showDropDown="0" showInputMessage="0" showErrorMessage="0" allowBlank="1" type="list">
      <formula1>INDIRECT($C427)</formula1>
    </dataValidation>
    <dataValidation sqref="D428" showDropDown="0" showInputMessage="0" showErrorMessage="0" allowBlank="1" type="list">
      <formula1>INDIRECT("ST_"&amp;$C428)</formula1>
    </dataValidation>
    <dataValidation sqref="E428" showDropDown="0" showInputMessage="0" showErrorMessage="0" allowBlank="1" type="list">
      <formula1>INDIRECT($C428)</formula1>
    </dataValidation>
    <dataValidation sqref="D429" showDropDown="0" showInputMessage="0" showErrorMessage="0" allowBlank="1" type="list">
      <formula1>INDIRECT("ST_"&amp;$C429)</formula1>
    </dataValidation>
    <dataValidation sqref="E429" showDropDown="0" showInputMessage="0" showErrorMessage="0" allowBlank="1" type="list">
      <formula1>INDIRECT($C429)</formula1>
    </dataValidation>
    <dataValidation sqref="D430" showDropDown="0" showInputMessage="0" showErrorMessage="0" allowBlank="1" type="list">
      <formula1>INDIRECT("ST_"&amp;$C430)</formula1>
    </dataValidation>
    <dataValidation sqref="E430" showDropDown="0" showInputMessage="0" showErrorMessage="0" allowBlank="1" type="list">
      <formula1>INDIRECT($C430)</formula1>
    </dataValidation>
    <dataValidation sqref="D431" showDropDown="0" showInputMessage="0" showErrorMessage="0" allowBlank="1" type="list">
      <formula1>INDIRECT("ST_"&amp;$C431)</formula1>
    </dataValidation>
    <dataValidation sqref="E431" showDropDown="0" showInputMessage="0" showErrorMessage="0" allowBlank="1" type="list">
      <formula1>INDIRECT($C431)</formula1>
    </dataValidation>
    <dataValidation sqref="D432" showDropDown="0" showInputMessage="0" showErrorMessage="0" allowBlank="1" type="list">
      <formula1>INDIRECT("ST_"&amp;$C432)</formula1>
    </dataValidation>
    <dataValidation sqref="E432" showDropDown="0" showInputMessage="0" showErrorMessage="0" allowBlank="1" type="list">
      <formula1>INDIRECT($C432)</formula1>
    </dataValidation>
    <dataValidation sqref="D433" showDropDown="0" showInputMessage="0" showErrorMessage="0" allowBlank="1" type="list">
      <formula1>INDIRECT("ST_"&amp;$C433)</formula1>
    </dataValidation>
    <dataValidation sqref="E433" showDropDown="0" showInputMessage="0" showErrorMessage="0" allowBlank="1" type="list">
      <formula1>INDIRECT($C433)</formula1>
    </dataValidation>
    <dataValidation sqref="D434" showDropDown="0" showInputMessage="0" showErrorMessage="0" allowBlank="1" type="list">
      <formula1>INDIRECT("ST_"&amp;$C434)</formula1>
    </dataValidation>
    <dataValidation sqref="E434" showDropDown="0" showInputMessage="0" showErrorMessage="0" allowBlank="1" type="list">
      <formula1>INDIRECT($C434)</formula1>
    </dataValidation>
    <dataValidation sqref="D435" showDropDown="0" showInputMessage="0" showErrorMessage="0" allowBlank="1" type="list">
      <formula1>INDIRECT("ST_"&amp;$C435)</formula1>
    </dataValidation>
    <dataValidation sqref="E435" showDropDown="0" showInputMessage="0" showErrorMessage="0" allowBlank="1" type="list">
      <formula1>INDIRECT($C435)</formula1>
    </dataValidation>
    <dataValidation sqref="D436" showDropDown="0" showInputMessage="0" showErrorMessage="0" allowBlank="1" type="list">
      <formula1>INDIRECT("ST_"&amp;$C436)</formula1>
    </dataValidation>
    <dataValidation sqref="E436" showDropDown="0" showInputMessage="0" showErrorMessage="0" allowBlank="1" type="list">
      <formula1>INDIRECT($C436)</formula1>
    </dataValidation>
    <dataValidation sqref="D437" showDropDown="0" showInputMessage="0" showErrorMessage="0" allowBlank="1" type="list">
      <formula1>INDIRECT("ST_"&amp;$C437)</formula1>
    </dataValidation>
    <dataValidation sqref="E437" showDropDown="0" showInputMessage="0" showErrorMessage="0" allowBlank="1" type="list">
      <formula1>INDIRECT($C437)</formula1>
    </dataValidation>
    <dataValidation sqref="D438" showDropDown="0" showInputMessage="0" showErrorMessage="0" allowBlank="1" type="list">
      <formula1>INDIRECT("ST_"&amp;$C438)</formula1>
    </dataValidation>
    <dataValidation sqref="E438" showDropDown="0" showInputMessage="0" showErrorMessage="0" allowBlank="1" type="list">
      <formula1>INDIRECT($C438)</formula1>
    </dataValidation>
    <dataValidation sqref="D439" showDropDown="0" showInputMessage="0" showErrorMessage="0" allowBlank="1" type="list">
      <formula1>INDIRECT("ST_"&amp;$C439)</formula1>
    </dataValidation>
    <dataValidation sqref="E439" showDropDown="0" showInputMessage="0" showErrorMessage="0" allowBlank="1" type="list">
      <formula1>INDIRECT($C439)</formula1>
    </dataValidation>
    <dataValidation sqref="D440" showDropDown="0" showInputMessage="0" showErrorMessage="0" allowBlank="1" type="list">
      <formula1>INDIRECT("ST_"&amp;$C440)</formula1>
    </dataValidation>
    <dataValidation sqref="E440" showDropDown="0" showInputMessage="0" showErrorMessage="0" allowBlank="1" type="list">
      <formula1>INDIRECT($C440)</formula1>
    </dataValidation>
    <dataValidation sqref="D441" showDropDown="0" showInputMessage="0" showErrorMessage="0" allowBlank="1" type="list">
      <formula1>INDIRECT("ST_"&amp;$C441)</formula1>
    </dataValidation>
    <dataValidation sqref="E441" showDropDown="0" showInputMessage="0" showErrorMessage="0" allowBlank="1" type="list">
      <formula1>INDIRECT($C441)</formula1>
    </dataValidation>
    <dataValidation sqref="D442" showDropDown="0" showInputMessage="0" showErrorMessage="0" allowBlank="1" type="list">
      <formula1>INDIRECT("ST_"&amp;$C442)</formula1>
    </dataValidation>
    <dataValidation sqref="E442" showDropDown="0" showInputMessage="0" showErrorMessage="0" allowBlank="1" type="list">
      <formula1>INDIRECT($C442)</formula1>
    </dataValidation>
    <dataValidation sqref="D443" showDropDown="0" showInputMessage="0" showErrorMessage="0" allowBlank="1" type="list">
      <formula1>INDIRECT("ST_"&amp;$C443)</formula1>
    </dataValidation>
    <dataValidation sqref="E443" showDropDown="0" showInputMessage="0" showErrorMessage="0" allowBlank="1" type="list">
      <formula1>INDIRECT($C443)</formula1>
    </dataValidation>
    <dataValidation sqref="D444" showDropDown="0" showInputMessage="0" showErrorMessage="0" allowBlank="1" type="list">
      <formula1>INDIRECT("ST_"&amp;$C444)</formula1>
    </dataValidation>
    <dataValidation sqref="E444" showDropDown="0" showInputMessage="0" showErrorMessage="0" allowBlank="1" type="list">
      <formula1>INDIRECT($C444)</formula1>
    </dataValidation>
    <dataValidation sqref="D445" showDropDown="0" showInputMessage="0" showErrorMessage="0" allowBlank="1" type="list">
      <formula1>INDIRECT("ST_"&amp;$C445)</formula1>
    </dataValidation>
    <dataValidation sqref="E445" showDropDown="0" showInputMessage="0" showErrorMessage="0" allowBlank="1" type="list">
      <formula1>INDIRECT($C445)</formula1>
    </dataValidation>
    <dataValidation sqref="D446" showDropDown="0" showInputMessage="0" showErrorMessage="0" allowBlank="1" type="list">
      <formula1>INDIRECT("ST_"&amp;$C446)</formula1>
    </dataValidation>
    <dataValidation sqref="E446" showDropDown="0" showInputMessage="0" showErrorMessage="0" allowBlank="1" type="list">
      <formula1>INDIRECT($C446)</formula1>
    </dataValidation>
    <dataValidation sqref="D447" showDropDown="0" showInputMessage="0" showErrorMessage="0" allowBlank="1" type="list">
      <formula1>INDIRECT("ST_"&amp;$C447)</formula1>
    </dataValidation>
    <dataValidation sqref="E447" showDropDown="0" showInputMessage="0" showErrorMessage="0" allowBlank="1" type="list">
      <formula1>INDIRECT($C447)</formula1>
    </dataValidation>
    <dataValidation sqref="D448" showDropDown="0" showInputMessage="0" showErrorMessage="0" allowBlank="1" type="list">
      <formula1>INDIRECT("ST_"&amp;$C448)</formula1>
    </dataValidation>
    <dataValidation sqref="E448" showDropDown="0" showInputMessage="0" showErrorMessage="0" allowBlank="1" type="list">
      <formula1>INDIRECT($C448)</formula1>
    </dataValidation>
    <dataValidation sqref="D449" showDropDown="0" showInputMessage="0" showErrorMessage="0" allowBlank="1" type="list">
      <formula1>INDIRECT("ST_"&amp;$C449)</formula1>
    </dataValidation>
    <dataValidation sqref="E449" showDropDown="0" showInputMessage="0" showErrorMessage="0" allowBlank="1" type="list">
      <formula1>INDIRECT($C449)</formula1>
    </dataValidation>
    <dataValidation sqref="D450" showDropDown="0" showInputMessage="0" showErrorMessage="0" allowBlank="1" type="list">
      <formula1>INDIRECT("ST_"&amp;$C450)</formula1>
    </dataValidation>
    <dataValidation sqref="E450" showDropDown="0" showInputMessage="0" showErrorMessage="0" allowBlank="1" type="list">
      <formula1>INDIRECT($C450)</formula1>
    </dataValidation>
    <dataValidation sqref="D451" showDropDown="0" showInputMessage="0" showErrorMessage="0" allowBlank="1" type="list">
      <formula1>INDIRECT("ST_"&amp;$C451)</formula1>
    </dataValidation>
    <dataValidation sqref="E451" showDropDown="0" showInputMessage="0" showErrorMessage="0" allowBlank="1" type="list">
      <formula1>INDIRECT($C451)</formula1>
    </dataValidation>
    <dataValidation sqref="D452" showDropDown="0" showInputMessage="0" showErrorMessage="0" allowBlank="1" type="list">
      <formula1>INDIRECT("ST_"&amp;$C452)</formula1>
    </dataValidation>
    <dataValidation sqref="E452" showDropDown="0" showInputMessage="0" showErrorMessage="0" allowBlank="1" type="list">
      <formula1>INDIRECT($C452)</formula1>
    </dataValidation>
    <dataValidation sqref="D453" showDropDown="0" showInputMessage="0" showErrorMessage="0" allowBlank="1" type="list">
      <formula1>INDIRECT("ST_"&amp;$C453)</formula1>
    </dataValidation>
    <dataValidation sqref="E453" showDropDown="0" showInputMessage="0" showErrorMessage="0" allowBlank="1" type="list">
      <formula1>INDIRECT($C453)</formula1>
    </dataValidation>
    <dataValidation sqref="D454" showDropDown="0" showInputMessage="0" showErrorMessage="0" allowBlank="1" type="list">
      <formula1>INDIRECT("ST_"&amp;$C454)</formula1>
    </dataValidation>
    <dataValidation sqref="E454" showDropDown="0" showInputMessage="0" showErrorMessage="0" allowBlank="1" type="list">
      <formula1>INDIRECT($C454)</formula1>
    </dataValidation>
    <dataValidation sqref="D455" showDropDown="0" showInputMessage="0" showErrorMessage="0" allowBlank="1" type="list">
      <formula1>INDIRECT("ST_"&amp;$C455)</formula1>
    </dataValidation>
    <dataValidation sqref="E455" showDropDown="0" showInputMessage="0" showErrorMessage="0" allowBlank="1" type="list">
      <formula1>INDIRECT($C455)</formula1>
    </dataValidation>
    <dataValidation sqref="D456" showDropDown="0" showInputMessage="0" showErrorMessage="0" allowBlank="1" type="list">
      <formula1>INDIRECT("ST_"&amp;$C456)</formula1>
    </dataValidation>
    <dataValidation sqref="E456" showDropDown="0" showInputMessage="0" showErrorMessage="0" allowBlank="1" type="list">
      <formula1>INDIRECT($C456)</formula1>
    </dataValidation>
    <dataValidation sqref="D457" showDropDown="0" showInputMessage="0" showErrorMessage="0" allowBlank="1" type="list">
      <formula1>INDIRECT("ST_"&amp;$C457)</formula1>
    </dataValidation>
    <dataValidation sqref="E457" showDropDown="0" showInputMessage="0" showErrorMessage="0" allowBlank="1" type="list">
      <formula1>INDIRECT($C457)</formula1>
    </dataValidation>
    <dataValidation sqref="D458" showDropDown="0" showInputMessage="0" showErrorMessage="0" allowBlank="1" type="list">
      <formula1>INDIRECT("ST_"&amp;$C458)</formula1>
    </dataValidation>
    <dataValidation sqref="E458" showDropDown="0" showInputMessage="0" showErrorMessage="0" allowBlank="1" type="list">
      <formula1>INDIRECT($C458)</formula1>
    </dataValidation>
    <dataValidation sqref="D459" showDropDown="0" showInputMessage="0" showErrorMessage="0" allowBlank="1" type="list">
      <formula1>INDIRECT("ST_"&amp;$C459)</formula1>
    </dataValidation>
    <dataValidation sqref="E459" showDropDown="0" showInputMessage="0" showErrorMessage="0" allowBlank="1" type="list">
      <formula1>INDIRECT($C459)</formula1>
    </dataValidation>
    <dataValidation sqref="D460" showDropDown="0" showInputMessage="0" showErrorMessage="0" allowBlank="1" type="list">
      <formula1>INDIRECT("ST_"&amp;$C460)</formula1>
    </dataValidation>
    <dataValidation sqref="E460" showDropDown="0" showInputMessage="0" showErrorMessage="0" allowBlank="1" type="list">
      <formula1>INDIRECT($C460)</formula1>
    </dataValidation>
    <dataValidation sqref="D461" showDropDown="0" showInputMessage="0" showErrorMessage="0" allowBlank="1" type="list">
      <formula1>INDIRECT("ST_"&amp;$C461)</formula1>
    </dataValidation>
    <dataValidation sqref="E461" showDropDown="0" showInputMessage="0" showErrorMessage="0" allowBlank="1" type="list">
      <formula1>INDIRECT($C461)</formula1>
    </dataValidation>
    <dataValidation sqref="D462" showDropDown="0" showInputMessage="0" showErrorMessage="0" allowBlank="1" type="list">
      <formula1>INDIRECT("ST_"&amp;$C462)</formula1>
    </dataValidation>
    <dataValidation sqref="E462" showDropDown="0" showInputMessage="0" showErrorMessage="0" allowBlank="1" type="list">
      <formula1>INDIRECT($C462)</formula1>
    </dataValidation>
    <dataValidation sqref="D463" showDropDown="0" showInputMessage="0" showErrorMessage="0" allowBlank="1" type="list">
      <formula1>INDIRECT("ST_"&amp;$C463)</formula1>
    </dataValidation>
    <dataValidation sqref="E463" showDropDown="0" showInputMessage="0" showErrorMessage="0" allowBlank="1" type="list">
      <formula1>INDIRECT($C463)</formula1>
    </dataValidation>
    <dataValidation sqref="D464" showDropDown="0" showInputMessage="0" showErrorMessage="0" allowBlank="1" type="list">
      <formula1>INDIRECT("ST_"&amp;$C464)</formula1>
    </dataValidation>
    <dataValidation sqref="E464" showDropDown="0" showInputMessage="0" showErrorMessage="0" allowBlank="1" type="list">
      <formula1>INDIRECT($C464)</formula1>
    </dataValidation>
    <dataValidation sqref="D465" showDropDown="0" showInputMessage="0" showErrorMessage="0" allowBlank="1" type="list">
      <formula1>INDIRECT("ST_"&amp;$C465)</formula1>
    </dataValidation>
    <dataValidation sqref="E465" showDropDown="0" showInputMessage="0" showErrorMessage="0" allowBlank="1" type="list">
      <formula1>INDIRECT($C465)</formula1>
    </dataValidation>
    <dataValidation sqref="D466" showDropDown="0" showInputMessage="0" showErrorMessage="0" allowBlank="1" type="list">
      <formula1>INDIRECT("ST_"&amp;$C466)</formula1>
    </dataValidation>
    <dataValidation sqref="E466" showDropDown="0" showInputMessage="0" showErrorMessage="0" allowBlank="1" type="list">
      <formula1>INDIRECT($C466)</formula1>
    </dataValidation>
    <dataValidation sqref="D467" showDropDown="0" showInputMessage="0" showErrorMessage="0" allowBlank="1" type="list">
      <formula1>INDIRECT("ST_"&amp;$C467)</formula1>
    </dataValidation>
    <dataValidation sqref="E467" showDropDown="0" showInputMessage="0" showErrorMessage="0" allowBlank="1" type="list">
      <formula1>INDIRECT($C467)</formula1>
    </dataValidation>
    <dataValidation sqref="D468" showDropDown="0" showInputMessage="0" showErrorMessage="0" allowBlank="1" type="list">
      <formula1>INDIRECT("ST_"&amp;$C468)</formula1>
    </dataValidation>
    <dataValidation sqref="E468" showDropDown="0" showInputMessage="0" showErrorMessage="0" allowBlank="1" type="list">
      <formula1>INDIRECT($C468)</formula1>
    </dataValidation>
    <dataValidation sqref="D469" showDropDown="0" showInputMessage="0" showErrorMessage="0" allowBlank="1" type="list">
      <formula1>INDIRECT("ST_"&amp;$C469)</formula1>
    </dataValidation>
    <dataValidation sqref="E469" showDropDown="0" showInputMessage="0" showErrorMessage="0" allowBlank="1" type="list">
      <formula1>INDIRECT($C469)</formula1>
    </dataValidation>
    <dataValidation sqref="D470" showDropDown="0" showInputMessage="0" showErrorMessage="0" allowBlank="1" type="list">
      <formula1>INDIRECT("ST_"&amp;$C470)</formula1>
    </dataValidation>
    <dataValidation sqref="E470" showDropDown="0" showInputMessage="0" showErrorMessage="0" allowBlank="1" type="list">
      <formula1>INDIRECT($C470)</formula1>
    </dataValidation>
    <dataValidation sqref="D471" showDropDown="0" showInputMessage="0" showErrorMessage="0" allowBlank="1" type="list">
      <formula1>INDIRECT("ST_"&amp;$C471)</formula1>
    </dataValidation>
    <dataValidation sqref="E471" showDropDown="0" showInputMessage="0" showErrorMessage="0" allowBlank="1" type="list">
      <formula1>INDIRECT($C471)</formula1>
    </dataValidation>
    <dataValidation sqref="D472" showDropDown="0" showInputMessage="0" showErrorMessage="0" allowBlank="1" type="list">
      <formula1>INDIRECT("ST_"&amp;$C472)</formula1>
    </dataValidation>
    <dataValidation sqref="E472" showDropDown="0" showInputMessage="0" showErrorMessage="0" allowBlank="1" type="list">
      <formula1>INDIRECT($C472)</formula1>
    </dataValidation>
    <dataValidation sqref="D473" showDropDown="0" showInputMessage="0" showErrorMessage="0" allowBlank="1" type="list">
      <formula1>INDIRECT("ST_"&amp;$C473)</formula1>
    </dataValidation>
    <dataValidation sqref="E473" showDropDown="0" showInputMessage="0" showErrorMessage="0" allowBlank="1" type="list">
      <formula1>INDIRECT($C473)</formula1>
    </dataValidation>
    <dataValidation sqref="D474" showDropDown="0" showInputMessage="0" showErrorMessage="0" allowBlank="1" type="list">
      <formula1>INDIRECT("ST_"&amp;$C474)</formula1>
    </dataValidation>
    <dataValidation sqref="E474" showDropDown="0" showInputMessage="0" showErrorMessage="0" allowBlank="1" type="list">
      <formula1>INDIRECT($C474)</formula1>
    </dataValidation>
    <dataValidation sqref="D475" showDropDown="0" showInputMessage="0" showErrorMessage="0" allowBlank="1" type="list">
      <formula1>INDIRECT("ST_"&amp;$C475)</formula1>
    </dataValidation>
    <dataValidation sqref="E475" showDropDown="0" showInputMessage="0" showErrorMessage="0" allowBlank="1" type="list">
      <formula1>INDIRECT($C475)</formula1>
    </dataValidation>
    <dataValidation sqref="D476" showDropDown="0" showInputMessage="0" showErrorMessage="0" allowBlank="1" type="list">
      <formula1>INDIRECT("ST_"&amp;$C476)</formula1>
    </dataValidation>
    <dataValidation sqref="E476" showDropDown="0" showInputMessage="0" showErrorMessage="0" allowBlank="1" type="list">
      <formula1>INDIRECT($C476)</formula1>
    </dataValidation>
    <dataValidation sqref="D477" showDropDown="0" showInputMessage="0" showErrorMessage="0" allowBlank="1" type="list">
      <formula1>INDIRECT("ST_"&amp;$C477)</formula1>
    </dataValidation>
    <dataValidation sqref="E477" showDropDown="0" showInputMessage="0" showErrorMessage="0" allowBlank="1" type="list">
      <formula1>INDIRECT($C477)</formula1>
    </dataValidation>
    <dataValidation sqref="D478" showDropDown="0" showInputMessage="0" showErrorMessage="0" allowBlank="1" type="list">
      <formula1>INDIRECT("ST_"&amp;$C478)</formula1>
    </dataValidation>
    <dataValidation sqref="E478" showDropDown="0" showInputMessage="0" showErrorMessage="0" allowBlank="1" type="list">
      <formula1>INDIRECT($C478)</formula1>
    </dataValidation>
    <dataValidation sqref="D479" showDropDown="0" showInputMessage="0" showErrorMessage="0" allowBlank="1" type="list">
      <formula1>INDIRECT("ST_"&amp;$C479)</formula1>
    </dataValidation>
    <dataValidation sqref="E479" showDropDown="0" showInputMessage="0" showErrorMessage="0" allowBlank="1" type="list">
      <formula1>INDIRECT($C479)</formula1>
    </dataValidation>
    <dataValidation sqref="D480" showDropDown="0" showInputMessage="0" showErrorMessage="0" allowBlank="1" type="list">
      <formula1>INDIRECT("ST_"&amp;$C480)</formula1>
    </dataValidation>
    <dataValidation sqref="E480" showDropDown="0" showInputMessage="0" showErrorMessage="0" allowBlank="1" type="list">
      <formula1>INDIRECT($C480)</formula1>
    </dataValidation>
    <dataValidation sqref="D481" showDropDown="0" showInputMessage="0" showErrorMessage="0" allowBlank="1" type="list">
      <formula1>INDIRECT("ST_"&amp;$C481)</formula1>
    </dataValidation>
    <dataValidation sqref="E481" showDropDown="0" showInputMessage="0" showErrorMessage="0" allowBlank="1" type="list">
      <formula1>INDIRECT($C481)</formula1>
    </dataValidation>
    <dataValidation sqref="D482" showDropDown="0" showInputMessage="0" showErrorMessage="0" allowBlank="1" type="list">
      <formula1>INDIRECT("ST_"&amp;$C482)</formula1>
    </dataValidation>
    <dataValidation sqref="E482" showDropDown="0" showInputMessage="0" showErrorMessage="0" allowBlank="1" type="list">
      <formula1>INDIRECT($C482)</formula1>
    </dataValidation>
    <dataValidation sqref="D483" showDropDown="0" showInputMessage="0" showErrorMessage="0" allowBlank="1" type="list">
      <formula1>INDIRECT("ST_"&amp;$C483)</formula1>
    </dataValidation>
    <dataValidation sqref="E483" showDropDown="0" showInputMessage="0" showErrorMessage="0" allowBlank="1" type="list">
      <formula1>INDIRECT($C483)</formula1>
    </dataValidation>
    <dataValidation sqref="D484" showDropDown="0" showInputMessage="0" showErrorMessage="0" allowBlank="1" type="list">
      <formula1>INDIRECT("ST_"&amp;$C484)</formula1>
    </dataValidation>
    <dataValidation sqref="E484" showDropDown="0" showInputMessage="0" showErrorMessage="0" allowBlank="1" type="list">
      <formula1>INDIRECT($C484)</formula1>
    </dataValidation>
    <dataValidation sqref="D485" showDropDown="0" showInputMessage="0" showErrorMessage="0" allowBlank="1" type="list">
      <formula1>INDIRECT("ST_"&amp;$C485)</formula1>
    </dataValidation>
    <dataValidation sqref="E485" showDropDown="0" showInputMessage="0" showErrorMessage="0" allowBlank="1" type="list">
      <formula1>INDIRECT($C485)</formula1>
    </dataValidation>
    <dataValidation sqref="D486" showDropDown="0" showInputMessage="0" showErrorMessage="0" allowBlank="1" type="list">
      <formula1>INDIRECT("ST_"&amp;$C486)</formula1>
    </dataValidation>
    <dataValidation sqref="E486" showDropDown="0" showInputMessage="0" showErrorMessage="0" allowBlank="1" type="list">
      <formula1>INDIRECT($C486)</formula1>
    </dataValidation>
    <dataValidation sqref="D487" showDropDown="0" showInputMessage="0" showErrorMessage="0" allowBlank="1" type="list">
      <formula1>INDIRECT("ST_"&amp;$C487)</formula1>
    </dataValidation>
    <dataValidation sqref="E487" showDropDown="0" showInputMessage="0" showErrorMessage="0" allowBlank="1" type="list">
      <formula1>INDIRECT($C487)</formula1>
    </dataValidation>
    <dataValidation sqref="D488" showDropDown="0" showInputMessage="0" showErrorMessage="0" allowBlank="1" type="list">
      <formula1>INDIRECT("ST_"&amp;$C488)</formula1>
    </dataValidation>
    <dataValidation sqref="E488" showDropDown="0" showInputMessage="0" showErrorMessage="0" allowBlank="1" type="list">
      <formula1>INDIRECT($C488)</formula1>
    </dataValidation>
    <dataValidation sqref="D489" showDropDown="0" showInputMessage="0" showErrorMessage="0" allowBlank="1" type="list">
      <formula1>INDIRECT("ST_"&amp;$C489)</formula1>
    </dataValidation>
    <dataValidation sqref="E489" showDropDown="0" showInputMessage="0" showErrorMessage="0" allowBlank="1" type="list">
      <formula1>INDIRECT($C489)</formula1>
    </dataValidation>
    <dataValidation sqref="D490" showDropDown="0" showInputMessage="0" showErrorMessage="0" allowBlank="1" type="list">
      <formula1>INDIRECT("ST_"&amp;$C490)</formula1>
    </dataValidation>
    <dataValidation sqref="E490" showDropDown="0" showInputMessage="0" showErrorMessage="0" allowBlank="1" type="list">
      <formula1>INDIRECT($C490)</formula1>
    </dataValidation>
    <dataValidation sqref="D491" showDropDown="0" showInputMessage="0" showErrorMessage="0" allowBlank="1" type="list">
      <formula1>INDIRECT("ST_"&amp;$C491)</formula1>
    </dataValidation>
    <dataValidation sqref="E491" showDropDown="0" showInputMessage="0" showErrorMessage="0" allowBlank="1" type="list">
      <formula1>INDIRECT($C491)</formula1>
    </dataValidation>
    <dataValidation sqref="D492" showDropDown="0" showInputMessage="0" showErrorMessage="0" allowBlank="1" type="list">
      <formula1>INDIRECT("ST_"&amp;$C492)</formula1>
    </dataValidation>
    <dataValidation sqref="E492" showDropDown="0" showInputMessage="0" showErrorMessage="0" allowBlank="1" type="list">
      <formula1>INDIRECT($C492)</formula1>
    </dataValidation>
    <dataValidation sqref="D493" showDropDown="0" showInputMessage="0" showErrorMessage="0" allowBlank="1" type="list">
      <formula1>INDIRECT("ST_"&amp;$C493)</formula1>
    </dataValidation>
    <dataValidation sqref="E493" showDropDown="0" showInputMessage="0" showErrorMessage="0" allowBlank="1" type="list">
      <formula1>INDIRECT($C493)</formula1>
    </dataValidation>
    <dataValidation sqref="D494" showDropDown="0" showInputMessage="0" showErrorMessage="0" allowBlank="1" type="list">
      <formula1>INDIRECT("ST_"&amp;$C494)</formula1>
    </dataValidation>
    <dataValidation sqref="E494" showDropDown="0" showInputMessage="0" showErrorMessage="0" allowBlank="1" type="list">
      <formula1>INDIRECT($C494)</formula1>
    </dataValidation>
    <dataValidation sqref="D495" showDropDown="0" showInputMessage="0" showErrorMessage="0" allowBlank="1" type="list">
      <formula1>INDIRECT("ST_"&amp;$C495)</formula1>
    </dataValidation>
    <dataValidation sqref="E495" showDropDown="0" showInputMessage="0" showErrorMessage="0" allowBlank="1" type="list">
      <formula1>INDIRECT($C495)</formula1>
    </dataValidation>
    <dataValidation sqref="D496" showDropDown="0" showInputMessage="0" showErrorMessage="0" allowBlank="1" type="list">
      <formula1>INDIRECT("ST_"&amp;$C496)</formula1>
    </dataValidation>
    <dataValidation sqref="E496" showDropDown="0" showInputMessage="0" showErrorMessage="0" allowBlank="1" type="list">
      <formula1>INDIRECT($C496)</formula1>
    </dataValidation>
    <dataValidation sqref="D497" showDropDown="0" showInputMessage="0" showErrorMessage="0" allowBlank="1" type="list">
      <formula1>INDIRECT("ST_"&amp;$C497)</formula1>
    </dataValidation>
    <dataValidation sqref="E497" showDropDown="0" showInputMessage="0" showErrorMessage="0" allowBlank="1" type="list">
      <formula1>INDIRECT($C497)</formula1>
    </dataValidation>
    <dataValidation sqref="D498" showDropDown="0" showInputMessage="0" showErrorMessage="0" allowBlank="1" type="list">
      <formula1>INDIRECT("ST_"&amp;$C498)</formula1>
    </dataValidation>
    <dataValidation sqref="E498" showDropDown="0" showInputMessage="0" showErrorMessage="0" allowBlank="1" type="list">
      <formula1>INDIRECT($C498)</formula1>
    </dataValidation>
    <dataValidation sqref="D499" showDropDown="0" showInputMessage="0" showErrorMessage="0" allowBlank="1" type="list">
      <formula1>INDIRECT("ST_"&amp;$C499)</formula1>
    </dataValidation>
    <dataValidation sqref="E499" showDropDown="0" showInputMessage="0" showErrorMessage="0" allowBlank="1" type="list">
      <formula1>INDIRECT($C499)</formula1>
    </dataValidation>
    <dataValidation sqref="D500" showDropDown="0" showInputMessage="0" showErrorMessage="0" allowBlank="1" type="list">
      <formula1>INDIRECT("ST_"&amp;$C500)</formula1>
    </dataValidation>
    <dataValidation sqref="E500" showDropDown="0" showInputMessage="0" showErrorMessage="0" allowBlank="1" type="list">
      <formula1>INDIRECT($C500)</formula1>
    </dataValidation>
    <dataValidation sqref="D501" showDropDown="0" showInputMessage="0" showErrorMessage="0" allowBlank="1" type="list">
      <formula1>INDIRECT("ST_"&amp;$C501)</formula1>
    </dataValidation>
    <dataValidation sqref="E501" showDropDown="0" showInputMessage="0" showErrorMessage="0" allowBlank="1" type="list">
      <formula1>INDIRECT($C501)</formula1>
    </dataValidation>
    <dataValidation sqref="D502" showDropDown="0" showInputMessage="0" showErrorMessage="0" allowBlank="1" type="list">
      <formula1>INDIRECT("ST_"&amp;$C502)</formula1>
    </dataValidation>
    <dataValidation sqref="E502" showDropDown="0" showInputMessage="0" showErrorMessage="0" allowBlank="1" type="list">
      <formula1>INDIRECT($C502)</formula1>
    </dataValidation>
    <dataValidation sqref="D503" showDropDown="0" showInputMessage="0" showErrorMessage="0" allowBlank="1" type="list">
      <formula1>INDIRECT("ST_"&amp;$C503)</formula1>
    </dataValidation>
    <dataValidation sqref="E503" showDropDown="0" showInputMessage="0" showErrorMessage="0" allowBlank="1" type="list">
      <formula1>INDIRECT($C503)</formula1>
    </dataValidation>
    <dataValidation sqref="D504" showDropDown="0" showInputMessage="0" showErrorMessage="0" allowBlank="1" type="list">
      <formula1>INDIRECT("ST_"&amp;$C504)</formula1>
    </dataValidation>
    <dataValidation sqref="E504" showDropDown="0" showInputMessage="0" showErrorMessage="0" allowBlank="1" type="list">
      <formula1>INDIRECT($C504)</formula1>
    </dataValidation>
    <dataValidation sqref="D505" showDropDown="0" showInputMessage="0" showErrorMessage="0" allowBlank="1" type="list">
      <formula1>INDIRECT("ST_"&amp;$C505)</formula1>
    </dataValidation>
    <dataValidation sqref="E505" showDropDown="0" showInputMessage="0" showErrorMessage="0" allowBlank="1" type="list">
      <formula1>INDIRECT($C505)</formula1>
    </dataValidation>
    <dataValidation sqref="D506" showDropDown="0" showInputMessage="0" showErrorMessage="0" allowBlank="1" type="list">
      <formula1>INDIRECT("ST_"&amp;$C506)</formula1>
    </dataValidation>
    <dataValidation sqref="E506" showDropDown="0" showInputMessage="0" showErrorMessage="0" allowBlank="1" type="list">
      <formula1>INDIRECT($C506)</formula1>
    </dataValidation>
    <dataValidation sqref="D507" showDropDown="0" showInputMessage="0" showErrorMessage="0" allowBlank="1" type="list">
      <formula1>INDIRECT("ST_"&amp;$C507)</formula1>
    </dataValidation>
    <dataValidation sqref="E507" showDropDown="0" showInputMessage="0" showErrorMessage="0" allowBlank="1" type="list">
      <formula1>INDIRECT($C507)</formula1>
    </dataValidation>
    <dataValidation sqref="D508" showDropDown="0" showInputMessage="0" showErrorMessage="0" allowBlank="1" type="list">
      <formula1>INDIRECT("ST_"&amp;$C508)</formula1>
    </dataValidation>
    <dataValidation sqref="E508" showDropDown="0" showInputMessage="0" showErrorMessage="0" allowBlank="1" type="list">
      <formula1>INDIRECT($C508)</formula1>
    </dataValidation>
    <dataValidation sqref="D509" showDropDown="0" showInputMessage="0" showErrorMessage="0" allowBlank="1" type="list">
      <formula1>INDIRECT("ST_"&amp;$C509)</formula1>
    </dataValidation>
    <dataValidation sqref="E509" showDropDown="0" showInputMessage="0" showErrorMessage="0" allowBlank="1" type="list">
      <formula1>INDIRECT($C509)</formula1>
    </dataValidation>
    <dataValidation sqref="D510" showDropDown="0" showInputMessage="0" showErrorMessage="0" allowBlank="1" type="list">
      <formula1>INDIRECT("ST_"&amp;$C510)</formula1>
    </dataValidation>
    <dataValidation sqref="E510" showDropDown="0" showInputMessage="0" showErrorMessage="0" allowBlank="1" type="list">
      <formula1>INDIRECT($C510)</formula1>
    </dataValidation>
    <dataValidation sqref="D511" showDropDown="0" showInputMessage="0" showErrorMessage="0" allowBlank="1" type="list">
      <formula1>INDIRECT("ST_"&amp;$C511)</formula1>
    </dataValidation>
    <dataValidation sqref="E511" showDropDown="0" showInputMessage="0" showErrorMessage="0" allowBlank="1" type="list">
      <formula1>INDIRECT($C511)</formula1>
    </dataValidation>
    <dataValidation sqref="D512" showDropDown="0" showInputMessage="0" showErrorMessage="0" allowBlank="1" type="list">
      <formula1>INDIRECT("ST_"&amp;$C512)</formula1>
    </dataValidation>
    <dataValidation sqref="E512" showDropDown="0" showInputMessage="0" showErrorMessage="0" allowBlank="1" type="list">
      <formula1>INDIRECT($C512)</formula1>
    </dataValidation>
    <dataValidation sqref="D513" showDropDown="0" showInputMessage="0" showErrorMessage="0" allowBlank="1" type="list">
      <formula1>INDIRECT("ST_"&amp;$C513)</formula1>
    </dataValidation>
    <dataValidation sqref="E513" showDropDown="0" showInputMessage="0" showErrorMessage="0" allowBlank="1" type="list">
      <formula1>INDIRECT($C513)</formula1>
    </dataValidation>
    <dataValidation sqref="D514" showDropDown="0" showInputMessage="0" showErrorMessage="0" allowBlank="1" type="list">
      <formula1>INDIRECT("ST_"&amp;$C514)</formula1>
    </dataValidation>
    <dataValidation sqref="E514" showDropDown="0" showInputMessage="0" showErrorMessage="0" allowBlank="1" type="list">
      <formula1>INDIRECT($C514)</formula1>
    </dataValidation>
    <dataValidation sqref="D515" showDropDown="0" showInputMessage="0" showErrorMessage="0" allowBlank="1" type="list">
      <formula1>INDIRECT("ST_"&amp;$C515)</formula1>
    </dataValidation>
    <dataValidation sqref="E515" showDropDown="0" showInputMessage="0" showErrorMessage="0" allowBlank="1" type="list">
      <formula1>INDIRECT($C515)</formula1>
    </dataValidation>
    <dataValidation sqref="D516" showDropDown="0" showInputMessage="0" showErrorMessage="0" allowBlank="1" type="list">
      <formula1>INDIRECT("ST_"&amp;$C516)</formula1>
    </dataValidation>
    <dataValidation sqref="E516" showDropDown="0" showInputMessage="0" showErrorMessage="0" allowBlank="1" type="list">
      <formula1>INDIRECT($C516)</formula1>
    </dataValidation>
    <dataValidation sqref="D517" showDropDown="0" showInputMessage="0" showErrorMessage="0" allowBlank="1" type="list">
      <formula1>INDIRECT("ST_"&amp;$C517)</formula1>
    </dataValidation>
    <dataValidation sqref="E517" showDropDown="0" showInputMessage="0" showErrorMessage="0" allowBlank="1" type="list">
      <formula1>INDIRECT($C517)</formula1>
    </dataValidation>
    <dataValidation sqref="D518" showDropDown="0" showInputMessage="0" showErrorMessage="0" allowBlank="1" type="list">
      <formula1>INDIRECT("ST_"&amp;$C518)</formula1>
    </dataValidation>
    <dataValidation sqref="E518" showDropDown="0" showInputMessage="0" showErrorMessage="0" allowBlank="1" type="list">
      <formula1>INDIRECT($C518)</formula1>
    </dataValidation>
    <dataValidation sqref="D519" showDropDown="0" showInputMessage="0" showErrorMessage="0" allowBlank="1" type="list">
      <formula1>INDIRECT("ST_"&amp;$C519)</formula1>
    </dataValidation>
    <dataValidation sqref="E519" showDropDown="0" showInputMessage="0" showErrorMessage="0" allowBlank="1" type="list">
      <formula1>INDIRECT($C519)</formula1>
    </dataValidation>
    <dataValidation sqref="D520" showDropDown="0" showInputMessage="0" showErrorMessage="0" allowBlank="1" type="list">
      <formula1>INDIRECT("ST_"&amp;$C520)</formula1>
    </dataValidation>
    <dataValidation sqref="E520" showDropDown="0" showInputMessage="0" showErrorMessage="0" allowBlank="1" type="list">
      <formula1>INDIRECT($C520)</formula1>
    </dataValidation>
    <dataValidation sqref="D521" showDropDown="0" showInputMessage="0" showErrorMessage="0" allowBlank="1" type="list">
      <formula1>INDIRECT("ST_"&amp;$C521)</formula1>
    </dataValidation>
    <dataValidation sqref="E521" showDropDown="0" showInputMessage="0" showErrorMessage="0" allowBlank="1" type="list">
      <formula1>INDIRECT($C521)</formula1>
    </dataValidation>
    <dataValidation sqref="D522" showDropDown="0" showInputMessage="0" showErrorMessage="0" allowBlank="1" type="list">
      <formula1>INDIRECT("ST_"&amp;$C522)</formula1>
    </dataValidation>
    <dataValidation sqref="E522" showDropDown="0" showInputMessage="0" showErrorMessage="0" allowBlank="1" type="list">
      <formula1>INDIRECT($C522)</formula1>
    </dataValidation>
    <dataValidation sqref="D523" showDropDown="0" showInputMessage="0" showErrorMessage="0" allowBlank="1" type="list">
      <formula1>INDIRECT("ST_"&amp;$C523)</formula1>
    </dataValidation>
    <dataValidation sqref="E523" showDropDown="0" showInputMessage="0" showErrorMessage="0" allowBlank="1" type="list">
      <formula1>INDIRECT($C523)</formula1>
    </dataValidation>
    <dataValidation sqref="D524" showDropDown="0" showInputMessage="0" showErrorMessage="0" allowBlank="1" type="list">
      <formula1>INDIRECT("ST_"&amp;$C524)</formula1>
    </dataValidation>
    <dataValidation sqref="E524" showDropDown="0" showInputMessage="0" showErrorMessage="0" allowBlank="1" type="list">
      <formula1>INDIRECT($C524)</formula1>
    </dataValidation>
    <dataValidation sqref="D525" showDropDown="0" showInputMessage="0" showErrorMessage="0" allowBlank="1" type="list">
      <formula1>INDIRECT("ST_"&amp;$C525)</formula1>
    </dataValidation>
    <dataValidation sqref="E525" showDropDown="0" showInputMessage="0" showErrorMessage="0" allowBlank="1" type="list">
      <formula1>INDIRECT($C525)</formula1>
    </dataValidation>
    <dataValidation sqref="D526" showDropDown="0" showInputMessage="0" showErrorMessage="0" allowBlank="1" type="list">
      <formula1>INDIRECT("ST_"&amp;$C526)</formula1>
    </dataValidation>
    <dataValidation sqref="E526" showDropDown="0" showInputMessage="0" showErrorMessage="0" allowBlank="1" type="list">
      <formula1>INDIRECT($C526)</formula1>
    </dataValidation>
    <dataValidation sqref="D527" showDropDown="0" showInputMessage="0" showErrorMessage="0" allowBlank="1" type="list">
      <formula1>INDIRECT("ST_"&amp;$C527)</formula1>
    </dataValidation>
    <dataValidation sqref="E527" showDropDown="0" showInputMessage="0" showErrorMessage="0" allowBlank="1" type="list">
      <formula1>INDIRECT($C527)</formula1>
    </dataValidation>
    <dataValidation sqref="D528" showDropDown="0" showInputMessage="0" showErrorMessage="0" allowBlank="1" type="list">
      <formula1>INDIRECT("ST_"&amp;$C528)</formula1>
    </dataValidation>
    <dataValidation sqref="E528" showDropDown="0" showInputMessage="0" showErrorMessage="0" allowBlank="1" type="list">
      <formula1>INDIRECT($C528)</formula1>
    </dataValidation>
    <dataValidation sqref="D529" showDropDown="0" showInputMessage="0" showErrorMessage="0" allowBlank="1" type="list">
      <formula1>INDIRECT("ST_"&amp;$C529)</formula1>
    </dataValidation>
    <dataValidation sqref="E529" showDropDown="0" showInputMessage="0" showErrorMessage="0" allowBlank="1" type="list">
      <formula1>INDIRECT($C529)</formula1>
    </dataValidation>
    <dataValidation sqref="D530" showDropDown="0" showInputMessage="0" showErrorMessage="0" allowBlank="1" type="list">
      <formula1>INDIRECT("ST_"&amp;$C530)</formula1>
    </dataValidation>
    <dataValidation sqref="E530" showDropDown="0" showInputMessage="0" showErrorMessage="0" allowBlank="1" type="list">
      <formula1>INDIRECT($C530)</formula1>
    </dataValidation>
    <dataValidation sqref="D531" showDropDown="0" showInputMessage="0" showErrorMessage="0" allowBlank="1" type="list">
      <formula1>INDIRECT("ST_"&amp;$C531)</formula1>
    </dataValidation>
    <dataValidation sqref="E531" showDropDown="0" showInputMessage="0" showErrorMessage="0" allowBlank="1" type="list">
      <formula1>INDIRECT($C531)</formula1>
    </dataValidation>
    <dataValidation sqref="D532" showDropDown="0" showInputMessage="0" showErrorMessage="0" allowBlank="1" type="list">
      <formula1>INDIRECT("ST_"&amp;$C532)</formula1>
    </dataValidation>
    <dataValidation sqref="E532" showDropDown="0" showInputMessage="0" showErrorMessage="0" allowBlank="1" type="list">
      <formula1>INDIRECT($C532)</formula1>
    </dataValidation>
    <dataValidation sqref="D533" showDropDown="0" showInputMessage="0" showErrorMessage="0" allowBlank="1" type="list">
      <formula1>INDIRECT("ST_"&amp;$C533)</formula1>
    </dataValidation>
    <dataValidation sqref="E533" showDropDown="0" showInputMessage="0" showErrorMessage="0" allowBlank="1" type="list">
      <formula1>INDIRECT($C533)</formula1>
    </dataValidation>
    <dataValidation sqref="D534" showDropDown="0" showInputMessage="0" showErrorMessage="0" allowBlank="1" type="list">
      <formula1>INDIRECT("ST_"&amp;$C534)</formula1>
    </dataValidation>
    <dataValidation sqref="E534" showDropDown="0" showInputMessage="0" showErrorMessage="0" allowBlank="1" type="list">
      <formula1>INDIRECT($C534)</formula1>
    </dataValidation>
    <dataValidation sqref="D535" showDropDown="0" showInputMessage="0" showErrorMessage="0" allowBlank="1" type="list">
      <formula1>INDIRECT("ST_"&amp;$C535)</formula1>
    </dataValidation>
    <dataValidation sqref="E535" showDropDown="0" showInputMessage="0" showErrorMessage="0" allowBlank="1" type="list">
      <formula1>INDIRECT($C535)</formula1>
    </dataValidation>
    <dataValidation sqref="D536" showDropDown="0" showInputMessage="0" showErrorMessage="0" allowBlank="1" type="list">
      <formula1>INDIRECT("ST_"&amp;$C536)</formula1>
    </dataValidation>
    <dataValidation sqref="E536" showDropDown="0" showInputMessage="0" showErrorMessage="0" allowBlank="1" type="list">
      <formula1>INDIRECT($C536)</formula1>
    </dataValidation>
    <dataValidation sqref="D537" showDropDown="0" showInputMessage="0" showErrorMessage="0" allowBlank="1" type="list">
      <formula1>INDIRECT("ST_"&amp;$C537)</formula1>
    </dataValidation>
    <dataValidation sqref="E537" showDropDown="0" showInputMessage="0" showErrorMessage="0" allowBlank="1" type="list">
      <formula1>INDIRECT($C537)</formula1>
    </dataValidation>
    <dataValidation sqref="D538" showDropDown="0" showInputMessage="0" showErrorMessage="0" allowBlank="1" type="list">
      <formula1>INDIRECT("ST_"&amp;$C538)</formula1>
    </dataValidation>
    <dataValidation sqref="E538" showDropDown="0" showInputMessage="0" showErrorMessage="0" allowBlank="1" type="list">
      <formula1>INDIRECT($C538)</formula1>
    </dataValidation>
    <dataValidation sqref="D539" showDropDown="0" showInputMessage="0" showErrorMessage="0" allowBlank="1" type="list">
      <formula1>INDIRECT("ST_"&amp;$C539)</formula1>
    </dataValidation>
    <dataValidation sqref="E539" showDropDown="0" showInputMessage="0" showErrorMessage="0" allowBlank="1" type="list">
      <formula1>INDIRECT($C539)</formula1>
    </dataValidation>
    <dataValidation sqref="D540" showDropDown="0" showInputMessage="0" showErrorMessage="0" allowBlank="1" type="list">
      <formula1>INDIRECT("ST_"&amp;$C540)</formula1>
    </dataValidation>
    <dataValidation sqref="E540" showDropDown="0" showInputMessage="0" showErrorMessage="0" allowBlank="1" type="list">
      <formula1>INDIRECT($C540)</formula1>
    </dataValidation>
    <dataValidation sqref="D541" showDropDown="0" showInputMessage="0" showErrorMessage="0" allowBlank="1" type="list">
      <formula1>INDIRECT("ST_"&amp;$C541)</formula1>
    </dataValidation>
    <dataValidation sqref="E541" showDropDown="0" showInputMessage="0" showErrorMessage="0" allowBlank="1" type="list">
      <formula1>INDIRECT($C541)</formula1>
    </dataValidation>
    <dataValidation sqref="D542" showDropDown="0" showInputMessage="0" showErrorMessage="0" allowBlank="1" type="list">
      <formula1>INDIRECT("ST_"&amp;$C542)</formula1>
    </dataValidation>
    <dataValidation sqref="E542" showDropDown="0" showInputMessage="0" showErrorMessage="0" allowBlank="1" type="list">
      <formula1>INDIRECT($C542)</formula1>
    </dataValidation>
    <dataValidation sqref="D543" showDropDown="0" showInputMessage="0" showErrorMessage="0" allowBlank="1" type="list">
      <formula1>INDIRECT("ST_"&amp;$C543)</formula1>
    </dataValidation>
    <dataValidation sqref="E543" showDropDown="0" showInputMessage="0" showErrorMessage="0" allowBlank="1" type="list">
      <formula1>INDIRECT($C543)</formula1>
    </dataValidation>
    <dataValidation sqref="D544" showDropDown="0" showInputMessage="0" showErrorMessage="0" allowBlank="1" type="list">
      <formula1>INDIRECT("ST_"&amp;$C544)</formula1>
    </dataValidation>
    <dataValidation sqref="E544" showDropDown="0" showInputMessage="0" showErrorMessage="0" allowBlank="1" type="list">
      <formula1>INDIRECT($C544)</formula1>
    </dataValidation>
    <dataValidation sqref="D545" showDropDown="0" showInputMessage="0" showErrorMessage="0" allowBlank="1" type="list">
      <formula1>INDIRECT("ST_"&amp;$C545)</formula1>
    </dataValidation>
    <dataValidation sqref="E545" showDropDown="0" showInputMessage="0" showErrorMessage="0" allowBlank="1" type="list">
      <formula1>INDIRECT($C545)</formula1>
    </dataValidation>
    <dataValidation sqref="D546" showDropDown="0" showInputMessage="0" showErrorMessage="0" allowBlank="1" type="list">
      <formula1>INDIRECT("ST_"&amp;$C546)</formula1>
    </dataValidation>
    <dataValidation sqref="E546" showDropDown="0" showInputMessage="0" showErrorMessage="0" allowBlank="1" type="list">
      <formula1>INDIRECT($C546)</formula1>
    </dataValidation>
    <dataValidation sqref="D547" showDropDown="0" showInputMessage="0" showErrorMessage="0" allowBlank="1" type="list">
      <formula1>INDIRECT("ST_"&amp;$C547)</formula1>
    </dataValidation>
    <dataValidation sqref="E547" showDropDown="0" showInputMessage="0" showErrorMessage="0" allowBlank="1" type="list">
      <formula1>INDIRECT($C547)</formula1>
    </dataValidation>
    <dataValidation sqref="D548" showDropDown="0" showInputMessage="0" showErrorMessage="0" allowBlank="1" type="list">
      <formula1>INDIRECT("ST_"&amp;$C548)</formula1>
    </dataValidation>
    <dataValidation sqref="E548" showDropDown="0" showInputMessage="0" showErrorMessage="0" allowBlank="1" type="list">
      <formula1>INDIRECT($C548)</formula1>
    </dataValidation>
    <dataValidation sqref="D549" showDropDown="0" showInputMessage="0" showErrorMessage="0" allowBlank="1" type="list">
      <formula1>INDIRECT("ST_"&amp;$C549)</formula1>
    </dataValidation>
    <dataValidation sqref="E549" showDropDown="0" showInputMessage="0" showErrorMessage="0" allowBlank="1" type="list">
      <formula1>INDIRECT($C549)</formula1>
    </dataValidation>
    <dataValidation sqref="D550" showDropDown="0" showInputMessage="0" showErrorMessage="0" allowBlank="1" type="list">
      <formula1>INDIRECT("ST_"&amp;$C550)</formula1>
    </dataValidation>
    <dataValidation sqref="E550" showDropDown="0" showInputMessage="0" showErrorMessage="0" allowBlank="1" type="list">
      <formula1>INDIRECT($C550)</formula1>
    </dataValidation>
    <dataValidation sqref="D551" showDropDown="0" showInputMessage="0" showErrorMessage="0" allowBlank="1" type="list">
      <formula1>INDIRECT("ST_"&amp;$C551)</formula1>
    </dataValidation>
    <dataValidation sqref="E551" showDropDown="0" showInputMessage="0" showErrorMessage="0" allowBlank="1" type="list">
      <formula1>INDIRECT($C551)</formula1>
    </dataValidation>
    <dataValidation sqref="D552" showDropDown="0" showInputMessage="0" showErrorMessage="0" allowBlank="1" type="list">
      <formula1>INDIRECT("ST_"&amp;$C552)</formula1>
    </dataValidation>
    <dataValidation sqref="E552" showDropDown="0" showInputMessage="0" showErrorMessage="0" allowBlank="1" type="list">
      <formula1>INDIRECT($C552)</formula1>
    </dataValidation>
    <dataValidation sqref="D553" showDropDown="0" showInputMessage="0" showErrorMessage="0" allowBlank="1" type="list">
      <formula1>INDIRECT("ST_"&amp;$C553)</formula1>
    </dataValidation>
    <dataValidation sqref="E553" showDropDown="0" showInputMessage="0" showErrorMessage="0" allowBlank="1" type="list">
      <formula1>INDIRECT($C553)</formula1>
    </dataValidation>
    <dataValidation sqref="D554" showDropDown="0" showInputMessage="0" showErrorMessage="0" allowBlank="1" type="list">
      <formula1>INDIRECT("ST_"&amp;$C554)</formula1>
    </dataValidation>
    <dataValidation sqref="E554" showDropDown="0" showInputMessage="0" showErrorMessage="0" allowBlank="1" type="list">
      <formula1>INDIRECT($C554)</formula1>
    </dataValidation>
    <dataValidation sqref="D555" showDropDown="0" showInputMessage="0" showErrorMessage="0" allowBlank="1" type="list">
      <formula1>INDIRECT("ST_"&amp;$C555)</formula1>
    </dataValidation>
    <dataValidation sqref="E555" showDropDown="0" showInputMessage="0" showErrorMessage="0" allowBlank="1" type="list">
      <formula1>INDIRECT($C555)</formula1>
    </dataValidation>
    <dataValidation sqref="D556" showDropDown="0" showInputMessage="0" showErrorMessage="0" allowBlank="1" type="list">
      <formula1>INDIRECT("ST_"&amp;$C556)</formula1>
    </dataValidation>
    <dataValidation sqref="E556" showDropDown="0" showInputMessage="0" showErrorMessage="0" allowBlank="1" type="list">
      <formula1>INDIRECT($C556)</formula1>
    </dataValidation>
    <dataValidation sqref="D557" showDropDown="0" showInputMessage="0" showErrorMessage="0" allowBlank="1" type="list">
      <formula1>INDIRECT("ST_"&amp;$C557)</formula1>
    </dataValidation>
    <dataValidation sqref="E557" showDropDown="0" showInputMessage="0" showErrorMessage="0" allowBlank="1" type="list">
      <formula1>INDIRECT($C557)</formula1>
    </dataValidation>
    <dataValidation sqref="D558" showDropDown="0" showInputMessage="0" showErrorMessage="0" allowBlank="1" type="list">
      <formula1>INDIRECT("ST_"&amp;$C558)</formula1>
    </dataValidation>
    <dataValidation sqref="E558" showDropDown="0" showInputMessage="0" showErrorMessage="0" allowBlank="1" type="list">
      <formula1>INDIRECT($C558)</formula1>
    </dataValidation>
    <dataValidation sqref="D559" showDropDown="0" showInputMessage="0" showErrorMessage="0" allowBlank="1" type="list">
      <formula1>INDIRECT("ST_"&amp;$C559)</formula1>
    </dataValidation>
    <dataValidation sqref="E559" showDropDown="0" showInputMessage="0" showErrorMessage="0" allowBlank="1" type="list">
      <formula1>INDIRECT($C559)</formula1>
    </dataValidation>
    <dataValidation sqref="D560" showDropDown="0" showInputMessage="0" showErrorMessage="0" allowBlank="1" type="list">
      <formula1>INDIRECT("ST_"&amp;$C560)</formula1>
    </dataValidation>
    <dataValidation sqref="E560" showDropDown="0" showInputMessage="0" showErrorMessage="0" allowBlank="1" type="list">
      <formula1>INDIRECT($C560)</formula1>
    </dataValidation>
    <dataValidation sqref="D561" showDropDown="0" showInputMessage="0" showErrorMessage="0" allowBlank="1" type="list">
      <formula1>INDIRECT("ST_"&amp;$C561)</formula1>
    </dataValidation>
    <dataValidation sqref="E561" showDropDown="0" showInputMessage="0" showErrorMessage="0" allowBlank="1" type="list">
      <formula1>INDIRECT($C561)</formula1>
    </dataValidation>
    <dataValidation sqref="D562" showDropDown="0" showInputMessage="0" showErrorMessage="0" allowBlank="1" type="list">
      <formula1>INDIRECT("ST_"&amp;$C562)</formula1>
    </dataValidation>
    <dataValidation sqref="E562" showDropDown="0" showInputMessage="0" showErrorMessage="0" allowBlank="1" type="list">
      <formula1>INDIRECT($C562)</formula1>
    </dataValidation>
    <dataValidation sqref="D563" showDropDown="0" showInputMessage="0" showErrorMessage="0" allowBlank="1" type="list">
      <formula1>INDIRECT("ST_"&amp;$C563)</formula1>
    </dataValidation>
    <dataValidation sqref="E563" showDropDown="0" showInputMessage="0" showErrorMessage="0" allowBlank="1" type="list">
      <formula1>INDIRECT($C563)</formula1>
    </dataValidation>
    <dataValidation sqref="D564" showDropDown="0" showInputMessage="0" showErrorMessage="0" allowBlank="1" type="list">
      <formula1>INDIRECT("ST_"&amp;$C564)</formula1>
    </dataValidation>
    <dataValidation sqref="E564" showDropDown="0" showInputMessage="0" showErrorMessage="0" allowBlank="1" type="list">
      <formula1>INDIRECT($C564)</formula1>
    </dataValidation>
    <dataValidation sqref="D565" showDropDown="0" showInputMessage="0" showErrorMessage="0" allowBlank="1" type="list">
      <formula1>INDIRECT("ST_"&amp;$C565)</formula1>
    </dataValidation>
    <dataValidation sqref="E565" showDropDown="0" showInputMessage="0" showErrorMessage="0" allowBlank="1" type="list">
      <formula1>INDIRECT($C565)</formula1>
    </dataValidation>
    <dataValidation sqref="D566" showDropDown="0" showInputMessage="0" showErrorMessage="0" allowBlank="1" type="list">
      <formula1>INDIRECT("ST_"&amp;$C566)</formula1>
    </dataValidation>
    <dataValidation sqref="E566" showDropDown="0" showInputMessage="0" showErrorMessage="0" allowBlank="1" type="list">
      <formula1>INDIRECT($C566)</formula1>
    </dataValidation>
    <dataValidation sqref="D567" showDropDown="0" showInputMessage="0" showErrorMessage="0" allowBlank="1" type="list">
      <formula1>INDIRECT("ST_"&amp;$C567)</formula1>
    </dataValidation>
    <dataValidation sqref="E567" showDropDown="0" showInputMessage="0" showErrorMessage="0" allowBlank="1" type="list">
      <formula1>INDIRECT($C567)</formula1>
    </dataValidation>
    <dataValidation sqref="D568" showDropDown="0" showInputMessage="0" showErrorMessage="0" allowBlank="1" type="list">
      <formula1>INDIRECT("ST_"&amp;$C568)</formula1>
    </dataValidation>
    <dataValidation sqref="E568" showDropDown="0" showInputMessage="0" showErrorMessage="0" allowBlank="1" type="list">
      <formula1>INDIRECT($C568)</formula1>
    </dataValidation>
    <dataValidation sqref="D569" showDropDown="0" showInputMessage="0" showErrorMessage="0" allowBlank="1" type="list">
      <formula1>INDIRECT("ST_"&amp;$C569)</formula1>
    </dataValidation>
    <dataValidation sqref="E569" showDropDown="0" showInputMessage="0" showErrorMessage="0" allowBlank="1" type="list">
      <formula1>INDIRECT($C569)</formula1>
    </dataValidation>
    <dataValidation sqref="D570" showDropDown="0" showInputMessage="0" showErrorMessage="0" allowBlank="1" type="list">
      <formula1>INDIRECT("ST_"&amp;$C570)</formula1>
    </dataValidation>
    <dataValidation sqref="E570" showDropDown="0" showInputMessage="0" showErrorMessage="0" allowBlank="1" type="list">
      <formula1>INDIRECT($C570)</formula1>
    </dataValidation>
    <dataValidation sqref="D571" showDropDown="0" showInputMessage="0" showErrorMessage="0" allowBlank="1" type="list">
      <formula1>INDIRECT("ST_"&amp;$C571)</formula1>
    </dataValidation>
    <dataValidation sqref="E571" showDropDown="0" showInputMessage="0" showErrorMessage="0" allowBlank="1" type="list">
      <formula1>INDIRECT($C571)</formula1>
    </dataValidation>
    <dataValidation sqref="D572" showDropDown="0" showInputMessage="0" showErrorMessage="0" allowBlank="1" type="list">
      <formula1>INDIRECT("ST_"&amp;$C572)</formula1>
    </dataValidation>
    <dataValidation sqref="E572" showDropDown="0" showInputMessage="0" showErrorMessage="0" allowBlank="1" type="list">
      <formula1>INDIRECT($C572)</formula1>
    </dataValidation>
    <dataValidation sqref="D573" showDropDown="0" showInputMessage="0" showErrorMessage="0" allowBlank="1" type="list">
      <formula1>INDIRECT("ST_"&amp;$C573)</formula1>
    </dataValidation>
    <dataValidation sqref="E573" showDropDown="0" showInputMessage="0" showErrorMessage="0" allowBlank="1" type="list">
      <formula1>INDIRECT($C573)</formula1>
    </dataValidation>
    <dataValidation sqref="D574" showDropDown="0" showInputMessage="0" showErrorMessage="0" allowBlank="1" type="list">
      <formula1>INDIRECT("ST_"&amp;$C574)</formula1>
    </dataValidation>
    <dataValidation sqref="E574" showDropDown="0" showInputMessage="0" showErrorMessage="0" allowBlank="1" type="list">
      <formula1>INDIRECT($C574)</formula1>
    </dataValidation>
    <dataValidation sqref="D575" showDropDown="0" showInputMessage="0" showErrorMessage="0" allowBlank="1" type="list">
      <formula1>INDIRECT("ST_"&amp;$C575)</formula1>
    </dataValidation>
    <dataValidation sqref="E575" showDropDown="0" showInputMessage="0" showErrorMessage="0" allowBlank="1" type="list">
      <formula1>INDIRECT($C575)</formula1>
    </dataValidation>
    <dataValidation sqref="D576" showDropDown="0" showInputMessage="0" showErrorMessage="0" allowBlank="1" type="list">
      <formula1>INDIRECT("ST_"&amp;$C576)</formula1>
    </dataValidation>
    <dataValidation sqref="E576" showDropDown="0" showInputMessage="0" showErrorMessage="0" allowBlank="1" type="list">
      <formula1>INDIRECT($C576)</formula1>
    </dataValidation>
    <dataValidation sqref="D577" showDropDown="0" showInputMessage="0" showErrorMessage="0" allowBlank="1" type="list">
      <formula1>INDIRECT("ST_"&amp;$C577)</formula1>
    </dataValidation>
    <dataValidation sqref="E577" showDropDown="0" showInputMessage="0" showErrorMessage="0" allowBlank="1" type="list">
      <formula1>INDIRECT($C577)</formula1>
    </dataValidation>
    <dataValidation sqref="D578" showDropDown="0" showInputMessage="0" showErrorMessage="0" allowBlank="1" type="list">
      <formula1>INDIRECT("ST_"&amp;$C578)</formula1>
    </dataValidation>
    <dataValidation sqref="E578" showDropDown="0" showInputMessage="0" showErrorMessage="0" allowBlank="1" type="list">
      <formula1>INDIRECT($C578)</formula1>
    </dataValidation>
    <dataValidation sqref="D579" showDropDown="0" showInputMessage="0" showErrorMessage="0" allowBlank="1" type="list">
      <formula1>INDIRECT("ST_"&amp;$C579)</formula1>
    </dataValidation>
    <dataValidation sqref="E579" showDropDown="0" showInputMessage="0" showErrorMessage="0" allowBlank="1" type="list">
      <formula1>INDIRECT($C579)</formula1>
    </dataValidation>
    <dataValidation sqref="D580" showDropDown="0" showInputMessage="0" showErrorMessage="0" allowBlank="1" type="list">
      <formula1>INDIRECT("ST_"&amp;$C580)</formula1>
    </dataValidation>
    <dataValidation sqref="E580" showDropDown="0" showInputMessage="0" showErrorMessage="0" allowBlank="1" type="list">
      <formula1>INDIRECT($C580)</formula1>
    </dataValidation>
    <dataValidation sqref="D581" showDropDown="0" showInputMessage="0" showErrorMessage="0" allowBlank="1" type="list">
      <formula1>INDIRECT("ST_"&amp;$C581)</formula1>
    </dataValidation>
    <dataValidation sqref="E581" showDropDown="0" showInputMessage="0" showErrorMessage="0" allowBlank="1" type="list">
      <formula1>INDIRECT($C581)</formula1>
    </dataValidation>
    <dataValidation sqref="D582" showDropDown="0" showInputMessage="0" showErrorMessage="0" allowBlank="1" type="list">
      <formula1>INDIRECT("ST_"&amp;$C582)</formula1>
    </dataValidation>
    <dataValidation sqref="E582" showDropDown="0" showInputMessage="0" showErrorMessage="0" allowBlank="1" type="list">
      <formula1>INDIRECT($C582)</formula1>
    </dataValidation>
    <dataValidation sqref="D583" showDropDown="0" showInputMessage="0" showErrorMessage="0" allowBlank="1" type="list">
      <formula1>INDIRECT("ST_"&amp;$C583)</formula1>
    </dataValidation>
    <dataValidation sqref="E583" showDropDown="0" showInputMessage="0" showErrorMessage="0" allowBlank="1" type="list">
      <formula1>INDIRECT($C583)</formula1>
    </dataValidation>
    <dataValidation sqref="D584" showDropDown="0" showInputMessage="0" showErrorMessage="0" allowBlank="1" type="list">
      <formula1>INDIRECT("ST_"&amp;$C584)</formula1>
    </dataValidation>
    <dataValidation sqref="E584" showDropDown="0" showInputMessage="0" showErrorMessage="0" allowBlank="1" type="list">
      <formula1>INDIRECT($C584)</formula1>
    </dataValidation>
    <dataValidation sqref="D585" showDropDown="0" showInputMessage="0" showErrorMessage="0" allowBlank="1" type="list">
      <formula1>INDIRECT("ST_"&amp;$C585)</formula1>
    </dataValidation>
    <dataValidation sqref="E585" showDropDown="0" showInputMessage="0" showErrorMessage="0" allowBlank="1" type="list">
      <formula1>INDIRECT($C585)</formula1>
    </dataValidation>
    <dataValidation sqref="D586" showDropDown="0" showInputMessage="0" showErrorMessage="0" allowBlank="1" type="list">
      <formula1>INDIRECT("ST_"&amp;$C586)</formula1>
    </dataValidation>
    <dataValidation sqref="E586" showDropDown="0" showInputMessage="0" showErrorMessage="0" allowBlank="1" type="list">
      <formula1>INDIRECT($C586)</formula1>
    </dataValidation>
    <dataValidation sqref="D587" showDropDown="0" showInputMessage="0" showErrorMessage="0" allowBlank="1" type="list">
      <formula1>INDIRECT("ST_"&amp;$C587)</formula1>
    </dataValidation>
    <dataValidation sqref="E587" showDropDown="0" showInputMessage="0" showErrorMessage="0" allowBlank="1" type="list">
      <formula1>INDIRECT($C587)</formula1>
    </dataValidation>
    <dataValidation sqref="D588" showDropDown="0" showInputMessage="0" showErrorMessage="0" allowBlank="1" type="list">
      <formula1>INDIRECT("ST_"&amp;$C588)</formula1>
    </dataValidation>
    <dataValidation sqref="E588" showDropDown="0" showInputMessage="0" showErrorMessage="0" allowBlank="1" type="list">
      <formula1>INDIRECT($C588)</formula1>
    </dataValidation>
    <dataValidation sqref="D589" showDropDown="0" showInputMessage="0" showErrorMessage="0" allowBlank="1" type="list">
      <formula1>INDIRECT("ST_"&amp;$C589)</formula1>
    </dataValidation>
    <dataValidation sqref="E589" showDropDown="0" showInputMessage="0" showErrorMessage="0" allowBlank="1" type="list">
      <formula1>INDIRECT($C589)</formula1>
    </dataValidation>
    <dataValidation sqref="D590" showDropDown="0" showInputMessage="0" showErrorMessage="0" allowBlank="1" type="list">
      <formula1>INDIRECT("ST_"&amp;$C590)</formula1>
    </dataValidation>
    <dataValidation sqref="E590" showDropDown="0" showInputMessage="0" showErrorMessage="0" allowBlank="1" type="list">
      <formula1>INDIRECT($C590)</formula1>
    </dataValidation>
    <dataValidation sqref="D591" showDropDown="0" showInputMessage="0" showErrorMessage="0" allowBlank="1" type="list">
      <formula1>INDIRECT("ST_"&amp;$C591)</formula1>
    </dataValidation>
    <dataValidation sqref="E591" showDropDown="0" showInputMessage="0" showErrorMessage="0" allowBlank="1" type="list">
      <formula1>INDIRECT($C591)</formula1>
    </dataValidation>
    <dataValidation sqref="D592" showDropDown="0" showInputMessage="0" showErrorMessage="0" allowBlank="1" type="list">
      <formula1>INDIRECT("ST_"&amp;$C592)</formula1>
    </dataValidation>
    <dataValidation sqref="E592" showDropDown="0" showInputMessage="0" showErrorMessage="0" allowBlank="1" type="list">
      <formula1>INDIRECT($C592)</formula1>
    </dataValidation>
    <dataValidation sqref="D593" showDropDown="0" showInputMessage="0" showErrorMessage="0" allowBlank="1" type="list">
      <formula1>INDIRECT("ST_"&amp;$C593)</formula1>
    </dataValidation>
    <dataValidation sqref="E593" showDropDown="0" showInputMessage="0" showErrorMessage="0" allowBlank="1" type="list">
      <formula1>INDIRECT($C593)</formula1>
    </dataValidation>
    <dataValidation sqref="D594" showDropDown="0" showInputMessage="0" showErrorMessage="0" allowBlank="1" type="list">
      <formula1>INDIRECT("ST_"&amp;$C594)</formula1>
    </dataValidation>
    <dataValidation sqref="E594" showDropDown="0" showInputMessage="0" showErrorMessage="0" allowBlank="1" type="list">
      <formula1>INDIRECT($C594)</formula1>
    </dataValidation>
    <dataValidation sqref="D595" showDropDown="0" showInputMessage="0" showErrorMessage="0" allowBlank="1" type="list">
      <formula1>INDIRECT("ST_"&amp;$C595)</formula1>
    </dataValidation>
    <dataValidation sqref="E595" showDropDown="0" showInputMessage="0" showErrorMessage="0" allowBlank="1" type="list">
      <formula1>INDIRECT($C595)</formula1>
    </dataValidation>
    <dataValidation sqref="D596" showDropDown="0" showInputMessage="0" showErrorMessage="0" allowBlank="1" type="list">
      <formula1>INDIRECT("ST_"&amp;$C596)</formula1>
    </dataValidation>
    <dataValidation sqref="E596" showDropDown="0" showInputMessage="0" showErrorMessage="0" allowBlank="1" type="list">
      <formula1>INDIRECT($C596)</formula1>
    </dataValidation>
    <dataValidation sqref="D597" showDropDown="0" showInputMessage="0" showErrorMessage="0" allowBlank="1" type="list">
      <formula1>INDIRECT("ST_"&amp;$C597)</formula1>
    </dataValidation>
    <dataValidation sqref="E597" showDropDown="0" showInputMessage="0" showErrorMessage="0" allowBlank="1" type="list">
      <formula1>INDIRECT($C597)</formula1>
    </dataValidation>
    <dataValidation sqref="D598" showDropDown="0" showInputMessage="0" showErrorMessage="0" allowBlank="1" type="list">
      <formula1>INDIRECT("ST_"&amp;$C598)</formula1>
    </dataValidation>
    <dataValidation sqref="E598" showDropDown="0" showInputMessage="0" showErrorMessage="0" allowBlank="1" type="list">
      <formula1>INDIRECT($C598)</formula1>
    </dataValidation>
    <dataValidation sqref="D599" showDropDown="0" showInputMessage="0" showErrorMessage="0" allowBlank="1" type="list">
      <formula1>INDIRECT("ST_"&amp;$C599)</formula1>
    </dataValidation>
    <dataValidation sqref="E599" showDropDown="0" showInputMessage="0" showErrorMessage="0" allowBlank="1" type="list">
      <formula1>INDIRECT($C599)</formula1>
    </dataValidation>
    <dataValidation sqref="D600" showDropDown="0" showInputMessage="0" showErrorMessage="0" allowBlank="1" type="list">
      <formula1>INDIRECT("ST_"&amp;$C600)</formula1>
    </dataValidation>
    <dataValidation sqref="E600" showDropDown="0" showInputMessage="0" showErrorMessage="0" allowBlank="1" type="list">
      <formula1>INDIRECT($C600)</formula1>
    </dataValidation>
    <dataValidation sqref="D601" showDropDown="0" showInputMessage="0" showErrorMessage="0" allowBlank="1" type="list">
      <formula1>INDIRECT("ST_"&amp;$C601)</formula1>
    </dataValidation>
    <dataValidation sqref="E601" showDropDown="0" showInputMessage="0" showErrorMessage="0" allowBlank="1" type="list">
      <formula1>INDIRECT($C601)</formula1>
    </dataValidation>
    <dataValidation sqref="D602" showDropDown="0" showInputMessage="0" showErrorMessage="0" allowBlank="1" type="list">
      <formula1>INDIRECT("ST_"&amp;$C602)</formula1>
    </dataValidation>
    <dataValidation sqref="E602" showDropDown="0" showInputMessage="0" showErrorMessage="0" allowBlank="1" type="list">
      <formula1>INDIRECT($C602)</formula1>
    </dataValidation>
    <dataValidation sqref="D603" showDropDown="0" showInputMessage="0" showErrorMessage="0" allowBlank="1" type="list">
      <formula1>INDIRECT("ST_"&amp;$C603)</formula1>
    </dataValidation>
    <dataValidation sqref="E603" showDropDown="0" showInputMessage="0" showErrorMessage="0" allowBlank="1" type="list">
      <formula1>INDIRECT($C603)</formula1>
    </dataValidation>
    <dataValidation sqref="D604" showDropDown="0" showInputMessage="0" showErrorMessage="0" allowBlank="1" type="list">
      <formula1>INDIRECT("ST_"&amp;$C604)</formula1>
    </dataValidation>
    <dataValidation sqref="E604" showDropDown="0" showInputMessage="0" showErrorMessage="0" allowBlank="1" type="list">
      <formula1>INDIRECT($C604)</formula1>
    </dataValidation>
    <dataValidation sqref="D605" showDropDown="0" showInputMessage="0" showErrorMessage="0" allowBlank="1" type="list">
      <formula1>INDIRECT("ST_"&amp;$C605)</formula1>
    </dataValidation>
    <dataValidation sqref="E605" showDropDown="0" showInputMessage="0" showErrorMessage="0" allowBlank="1" type="list">
      <formula1>INDIRECT($C605)</formula1>
    </dataValidation>
    <dataValidation sqref="D606" showDropDown="0" showInputMessage="0" showErrorMessage="0" allowBlank="1" type="list">
      <formula1>INDIRECT("ST_"&amp;$C606)</formula1>
    </dataValidation>
    <dataValidation sqref="E606" showDropDown="0" showInputMessage="0" showErrorMessage="0" allowBlank="1" type="list">
      <formula1>INDIRECT($C606)</formula1>
    </dataValidation>
    <dataValidation sqref="D607" showDropDown="0" showInputMessage="0" showErrorMessage="0" allowBlank="1" type="list">
      <formula1>INDIRECT("ST_"&amp;$C607)</formula1>
    </dataValidation>
    <dataValidation sqref="E607" showDropDown="0" showInputMessage="0" showErrorMessage="0" allowBlank="1" type="list">
      <formula1>INDIRECT($C607)</formula1>
    </dataValidation>
    <dataValidation sqref="D608" showDropDown="0" showInputMessage="0" showErrorMessage="0" allowBlank="1" type="list">
      <formula1>INDIRECT("ST_"&amp;$C608)</formula1>
    </dataValidation>
    <dataValidation sqref="E608" showDropDown="0" showInputMessage="0" showErrorMessage="0" allowBlank="1" type="list">
      <formula1>INDIRECT($C608)</formula1>
    </dataValidation>
    <dataValidation sqref="D609" showDropDown="0" showInputMessage="0" showErrorMessage="0" allowBlank="1" type="list">
      <formula1>INDIRECT("ST_"&amp;$C609)</formula1>
    </dataValidation>
    <dataValidation sqref="E609" showDropDown="0" showInputMessage="0" showErrorMessage="0" allowBlank="1" type="list">
      <formula1>INDIRECT($C609)</formula1>
    </dataValidation>
    <dataValidation sqref="D610" showDropDown="0" showInputMessage="0" showErrorMessage="0" allowBlank="1" type="list">
      <formula1>INDIRECT("ST_"&amp;$C610)</formula1>
    </dataValidation>
    <dataValidation sqref="E610" showDropDown="0" showInputMessage="0" showErrorMessage="0" allowBlank="1" type="list">
      <formula1>INDIRECT($C610)</formula1>
    </dataValidation>
    <dataValidation sqref="D611" showDropDown="0" showInputMessage="0" showErrorMessage="0" allowBlank="1" type="list">
      <formula1>INDIRECT("ST_"&amp;$C611)</formula1>
    </dataValidation>
    <dataValidation sqref="E611" showDropDown="0" showInputMessage="0" showErrorMessage="0" allowBlank="1" type="list">
      <formula1>INDIRECT($C611)</formula1>
    </dataValidation>
    <dataValidation sqref="D612" showDropDown="0" showInputMessage="0" showErrorMessage="0" allowBlank="1" type="list">
      <formula1>INDIRECT("ST_"&amp;$C612)</formula1>
    </dataValidation>
    <dataValidation sqref="E612" showDropDown="0" showInputMessage="0" showErrorMessage="0" allowBlank="1" type="list">
      <formula1>INDIRECT($C612)</formula1>
    </dataValidation>
    <dataValidation sqref="D613" showDropDown="0" showInputMessage="0" showErrorMessage="0" allowBlank="1" type="list">
      <formula1>INDIRECT("ST_"&amp;$C613)</formula1>
    </dataValidation>
    <dataValidation sqref="E613" showDropDown="0" showInputMessage="0" showErrorMessage="0" allowBlank="1" type="list">
      <formula1>INDIRECT($C613)</formula1>
    </dataValidation>
    <dataValidation sqref="D614" showDropDown="0" showInputMessage="0" showErrorMessage="0" allowBlank="1" type="list">
      <formula1>INDIRECT("ST_"&amp;$C614)</formula1>
    </dataValidation>
    <dataValidation sqref="E614" showDropDown="0" showInputMessage="0" showErrorMessage="0" allowBlank="1" type="list">
      <formula1>INDIRECT($C614)</formula1>
    </dataValidation>
    <dataValidation sqref="D615" showDropDown="0" showInputMessage="0" showErrorMessage="0" allowBlank="1" type="list">
      <formula1>INDIRECT("ST_"&amp;$C615)</formula1>
    </dataValidation>
    <dataValidation sqref="E615" showDropDown="0" showInputMessage="0" showErrorMessage="0" allowBlank="1" type="list">
      <formula1>INDIRECT($C615)</formula1>
    </dataValidation>
    <dataValidation sqref="D616" showDropDown="0" showInputMessage="0" showErrorMessage="0" allowBlank="1" type="list">
      <formula1>INDIRECT("ST_"&amp;$C616)</formula1>
    </dataValidation>
    <dataValidation sqref="E616" showDropDown="0" showInputMessage="0" showErrorMessage="0" allowBlank="1" type="list">
      <formula1>INDIRECT($C616)</formula1>
    </dataValidation>
    <dataValidation sqref="D617" showDropDown="0" showInputMessage="0" showErrorMessage="0" allowBlank="1" type="list">
      <formula1>INDIRECT("ST_"&amp;$C617)</formula1>
    </dataValidation>
    <dataValidation sqref="E617" showDropDown="0" showInputMessage="0" showErrorMessage="0" allowBlank="1" type="list">
      <formula1>INDIRECT($C617)</formula1>
    </dataValidation>
    <dataValidation sqref="D618" showDropDown="0" showInputMessage="0" showErrorMessage="0" allowBlank="1" type="list">
      <formula1>INDIRECT("ST_"&amp;$C618)</formula1>
    </dataValidation>
    <dataValidation sqref="E618" showDropDown="0" showInputMessage="0" showErrorMessage="0" allowBlank="1" type="list">
      <formula1>INDIRECT($C618)</formula1>
    </dataValidation>
    <dataValidation sqref="D619" showDropDown="0" showInputMessage="0" showErrorMessage="0" allowBlank="1" type="list">
      <formula1>INDIRECT("ST_"&amp;$C619)</formula1>
    </dataValidation>
    <dataValidation sqref="E619" showDropDown="0" showInputMessage="0" showErrorMessage="0" allowBlank="1" type="list">
      <formula1>INDIRECT($C619)</formula1>
    </dataValidation>
    <dataValidation sqref="D620" showDropDown="0" showInputMessage="0" showErrorMessage="0" allowBlank="1" type="list">
      <formula1>INDIRECT("ST_"&amp;$C620)</formula1>
    </dataValidation>
    <dataValidation sqref="E620" showDropDown="0" showInputMessage="0" showErrorMessage="0" allowBlank="1" type="list">
      <formula1>INDIRECT($C620)</formula1>
    </dataValidation>
    <dataValidation sqref="D621" showDropDown="0" showInputMessage="0" showErrorMessage="0" allowBlank="1" type="list">
      <formula1>INDIRECT("ST_"&amp;$C621)</formula1>
    </dataValidation>
    <dataValidation sqref="E621" showDropDown="0" showInputMessage="0" showErrorMessage="0" allowBlank="1" type="list">
      <formula1>INDIRECT($C621)</formula1>
    </dataValidation>
    <dataValidation sqref="D622" showDropDown="0" showInputMessage="0" showErrorMessage="0" allowBlank="1" type="list">
      <formula1>INDIRECT("ST_"&amp;$C622)</formula1>
    </dataValidation>
    <dataValidation sqref="E622" showDropDown="0" showInputMessage="0" showErrorMessage="0" allowBlank="1" type="list">
      <formula1>INDIRECT($C622)</formula1>
    </dataValidation>
    <dataValidation sqref="D623" showDropDown="0" showInputMessage="0" showErrorMessage="0" allowBlank="1" type="list">
      <formula1>INDIRECT("ST_"&amp;$C623)</formula1>
    </dataValidation>
    <dataValidation sqref="E623" showDropDown="0" showInputMessage="0" showErrorMessage="0" allowBlank="1" type="list">
      <formula1>INDIRECT($C623)</formula1>
    </dataValidation>
    <dataValidation sqref="D624" showDropDown="0" showInputMessage="0" showErrorMessage="0" allowBlank="1" type="list">
      <formula1>INDIRECT("ST_"&amp;$C624)</formula1>
    </dataValidation>
    <dataValidation sqref="E624" showDropDown="0" showInputMessage="0" showErrorMessage="0" allowBlank="1" type="list">
      <formula1>INDIRECT($C624)</formula1>
    </dataValidation>
    <dataValidation sqref="D625" showDropDown="0" showInputMessage="0" showErrorMessage="0" allowBlank="1" type="list">
      <formula1>INDIRECT("ST_"&amp;$C625)</formula1>
    </dataValidation>
    <dataValidation sqref="E625" showDropDown="0" showInputMessage="0" showErrorMessage="0" allowBlank="1" type="list">
      <formula1>INDIRECT($C625)</formula1>
    </dataValidation>
    <dataValidation sqref="D626" showDropDown="0" showInputMessage="0" showErrorMessage="0" allowBlank="1" type="list">
      <formula1>INDIRECT("ST_"&amp;$C626)</formula1>
    </dataValidation>
    <dataValidation sqref="E626" showDropDown="0" showInputMessage="0" showErrorMessage="0" allowBlank="1" type="list">
      <formula1>INDIRECT($C626)</formula1>
    </dataValidation>
    <dataValidation sqref="D627" showDropDown="0" showInputMessage="0" showErrorMessage="0" allowBlank="1" type="list">
      <formula1>INDIRECT("ST_"&amp;$C627)</formula1>
    </dataValidation>
    <dataValidation sqref="E627" showDropDown="0" showInputMessage="0" showErrorMessage="0" allowBlank="1" type="list">
      <formula1>INDIRECT($C627)</formula1>
    </dataValidation>
    <dataValidation sqref="D628" showDropDown="0" showInputMessage="0" showErrorMessage="0" allowBlank="1" type="list">
      <formula1>INDIRECT("ST_"&amp;$C628)</formula1>
    </dataValidation>
    <dataValidation sqref="E628" showDropDown="0" showInputMessage="0" showErrorMessage="0" allowBlank="1" type="list">
      <formula1>INDIRECT($C628)</formula1>
    </dataValidation>
    <dataValidation sqref="D629" showDropDown="0" showInputMessage="0" showErrorMessage="0" allowBlank="1" type="list">
      <formula1>INDIRECT("ST_"&amp;$C629)</formula1>
    </dataValidation>
    <dataValidation sqref="E629" showDropDown="0" showInputMessage="0" showErrorMessage="0" allowBlank="1" type="list">
      <formula1>INDIRECT($C629)</formula1>
    </dataValidation>
    <dataValidation sqref="D630" showDropDown="0" showInputMessage="0" showErrorMessage="0" allowBlank="1" type="list">
      <formula1>INDIRECT("ST_"&amp;$C630)</formula1>
    </dataValidation>
    <dataValidation sqref="E630" showDropDown="0" showInputMessage="0" showErrorMessage="0" allowBlank="1" type="list">
      <formula1>INDIRECT($C630)</formula1>
    </dataValidation>
    <dataValidation sqref="D631" showDropDown="0" showInputMessage="0" showErrorMessage="0" allowBlank="1" type="list">
      <formula1>INDIRECT("ST_"&amp;$C631)</formula1>
    </dataValidation>
    <dataValidation sqref="E631" showDropDown="0" showInputMessage="0" showErrorMessage="0" allowBlank="1" type="list">
      <formula1>INDIRECT($C631)</formula1>
    </dataValidation>
    <dataValidation sqref="D632" showDropDown="0" showInputMessage="0" showErrorMessage="0" allowBlank="1" type="list">
      <formula1>INDIRECT("ST_"&amp;$C632)</formula1>
    </dataValidation>
    <dataValidation sqref="E632" showDropDown="0" showInputMessage="0" showErrorMessage="0" allowBlank="1" type="list">
      <formula1>INDIRECT($C632)</formula1>
    </dataValidation>
    <dataValidation sqref="D633" showDropDown="0" showInputMessage="0" showErrorMessage="0" allowBlank="1" type="list">
      <formula1>INDIRECT("ST_"&amp;$C633)</formula1>
    </dataValidation>
    <dataValidation sqref="E633" showDropDown="0" showInputMessage="0" showErrorMessage="0" allowBlank="1" type="list">
      <formula1>INDIRECT($C633)</formula1>
    </dataValidation>
    <dataValidation sqref="D634" showDropDown="0" showInputMessage="0" showErrorMessage="0" allowBlank="1" type="list">
      <formula1>INDIRECT("ST_"&amp;$C634)</formula1>
    </dataValidation>
    <dataValidation sqref="E634" showDropDown="0" showInputMessage="0" showErrorMessage="0" allowBlank="1" type="list">
      <formula1>INDIRECT($C634)</formula1>
    </dataValidation>
    <dataValidation sqref="D635" showDropDown="0" showInputMessage="0" showErrorMessage="0" allowBlank="1" type="list">
      <formula1>INDIRECT("ST_"&amp;$C635)</formula1>
    </dataValidation>
    <dataValidation sqref="E635" showDropDown="0" showInputMessage="0" showErrorMessage="0" allowBlank="1" type="list">
      <formula1>INDIRECT($C635)</formula1>
    </dataValidation>
    <dataValidation sqref="D636" showDropDown="0" showInputMessage="0" showErrorMessage="0" allowBlank="1" type="list">
      <formula1>INDIRECT("ST_"&amp;$C636)</formula1>
    </dataValidation>
    <dataValidation sqref="E636" showDropDown="0" showInputMessage="0" showErrorMessage="0" allowBlank="1" type="list">
      <formula1>INDIRECT($C636)</formula1>
    </dataValidation>
    <dataValidation sqref="D637" showDropDown="0" showInputMessage="0" showErrorMessage="0" allowBlank="1" type="list">
      <formula1>INDIRECT("ST_"&amp;$C637)</formula1>
    </dataValidation>
    <dataValidation sqref="E637" showDropDown="0" showInputMessage="0" showErrorMessage="0" allowBlank="1" type="list">
      <formula1>INDIRECT($C637)</formula1>
    </dataValidation>
    <dataValidation sqref="D638" showDropDown="0" showInputMessage="0" showErrorMessage="0" allowBlank="1" type="list">
      <formula1>INDIRECT("ST_"&amp;$C638)</formula1>
    </dataValidation>
    <dataValidation sqref="E638" showDropDown="0" showInputMessage="0" showErrorMessage="0" allowBlank="1" type="list">
      <formula1>INDIRECT($C638)</formula1>
    </dataValidation>
    <dataValidation sqref="D639" showDropDown="0" showInputMessage="0" showErrorMessage="0" allowBlank="1" type="list">
      <formula1>INDIRECT("ST_"&amp;$C639)</formula1>
    </dataValidation>
    <dataValidation sqref="E639" showDropDown="0" showInputMessage="0" showErrorMessage="0" allowBlank="1" type="list">
      <formula1>INDIRECT($C639)</formula1>
    </dataValidation>
    <dataValidation sqref="D640" showDropDown="0" showInputMessage="0" showErrorMessage="0" allowBlank="1" type="list">
      <formula1>INDIRECT("ST_"&amp;$C640)</formula1>
    </dataValidation>
    <dataValidation sqref="E640" showDropDown="0" showInputMessage="0" showErrorMessage="0" allowBlank="1" type="list">
      <formula1>INDIRECT($C640)</formula1>
    </dataValidation>
    <dataValidation sqref="D641" showDropDown="0" showInputMessage="0" showErrorMessage="0" allowBlank="1" type="list">
      <formula1>INDIRECT("ST_"&amp;$C641)</formula1>
    </dataValidation>
    <dataValidation sqref="E641" showDropDown="0" showInputMessage="0" showErrorMessage="0" allowBlank="1" type="list">
      <formula1>INDIRECT($C641)</formula1>
    </dataValidation>
    <dataValidation sqref="D642" showDropDown="0" showInputMessage="0" showErrorMessage="0" allowBlank="1" type="list">
      <formula1>INDIRECT("ST_"&amp;$C642)</formula1>
    </dataValidation>
    <dataValidation sqref="E642" showDropDown="0" showInputMessage="0" showErrorMessage="0" allowBlank="1" type="list">
      <formula1>INDIRECT($C642)</formula1>
    </dataValidation>
    <dataValidation sqref="D643" showDropDown="0" showInputMessage="0" showErrorMessage="0" allowBlank="1" type="list">
      <formula1>INDIRECT("ST_"&amp;$C643)</formula1>
    </dataValidation>
    <dataValidation sqref="E643" showDropDown="0" showInputMessage="0" showErrorMessage="0" allowBlank="1" type="list">
      <formula1>INDIRECT($C643)</formula1>
    </dataValidation>
    <dataValidation sqref="D644" showDropDown="0" showInputMessage="0" showErrorMessage="0" allowBlank="1" type="list">
      <formula1>INDIRECT("ST_"&amp;$C644)</formula1>
    </dataValidation>
    <dataValidation sqref="E644" showDropDown="0" showInputMessage="0" showErrorMessage="0" allowBlank="1" type="list">
      <formula1>INDIRECT($C644)</formula1>
    </dataValidation>
    <dataValidation sqref="D645" showDropDown="0" showInputMessage="0" showErrorMessage="0" allowBlank="1" type="list">
      <formula1>INDIRECT("ST_"&amp;$C645)</formula1>
    </dataValidation>
    <dataValidation sqref="E645" showDropDown="0" showInputMessage="0" showErrorMessage="0" allowBlank="1" type="list">
      <formula1>INDIRECT($C645)</formula1>
    </dataValidation>
    <dataValidation sqref="D646" showDropDown="0" showInputMessage="0" showErrorMessage="0" allowBlank="1" type="list">
      <formula1>INDIRECT("ST_"&amp;$C646)</formula1>
    </dataValidation>
    <dataValidation sqref="E646" showDropDown="0" showInputMessage="0" showErrorMessage="0" allowBlank="1" type="list">
      <formula1>INDIRECT($C646)</formula1>
    </dataValidation>
    <dataValidation sqref="D647" showDropDown="0" showInputMessage="0" showErrorMessage="0" allowBlank="1" type="list">
      <formula1>INDIRECT("ST_"&amp;$C647)</formula1>
    </dataValidation>
    <dataValidation sqref="E647" showDropDown="0" showInputMessage="0" showErrorMessage="0" allowBlank="1" type="list">
      <formula1>INDIRECT($C647)</formula1>
    </dataValidation>
    <dataValidation sqref="D648" showDropDown="0" showInputMessage="0" showErrorMessage="0" allowBlank="1" type="list">
      <formula1>INDIRECT("ST_"&amp;$C648)</formula1>
    </dataValidation>
    <dataValidation sqref="E648" showDropDown="0" showInputMessage="0" showErrorMessage="0" allowBlank="1" type="list">
      <formula1>INDIRECT($C648)</formula1>
    </dataValidation>
    <dataValidation sqref="D649" showDropDown="0" showInputMessage="0" showErrorMessage="0" allowBlank="1" type="list">
      <formula1>INDIRECT("ST_"&amp;$C649)</formula1>
    </dataValidation>
    <dataValidation sqref="E649" showDropDown="0" showInputMessage="0" showErrorMessage="0" allowBlank="1" type="list">
      <formula1>INDIRECT($C649)</formula1>
    </dataValidation>
    <dataValidation sqref="D650" showDropDown="0" showInputMessage="0" showErrorMessage="0" allowBlank="1" type="list">
      <formula1>INDIRECT("ST_"&amp;$C650)</formula1>
    </dataValidation>
    <dataValidation sqref="E650" showDropDown="0" showInputMessage="0" showErrorMessage="0" allowBlank="1" type="list">
      <formula1>INDIRECT($C650)</formula1>
    </dataValidation>
    <dataValidation sqref="D651" showDropDown="0" showInputMessage="0" showErrorMessage="0" allowBlank="1" type="list">
      <formula1>INDIRECT("ST_"&amp;$C651)</formula1>
    </dataValidation>
    <dataValidation sqref="E651" showDropDown="0" showInputMessage="0" showErrorMessage="0" allowBlank="1" type="list">
      <formula1>INDIRECT($C651)</formula1>
    </dataValidation>
    <dataValidation sqref="D652" showDropDown="0" showInputMessage="0" showErrorMessage="0" allowBlank="1" type="list">
      <formula1>INDIRECT("ST_"&amp;$C652)</formula1>
    </dataValidation>
    <dataValidation sqref="E652" showDropDown="0" showInputMessage="0" showErrorMessage="0" allowBlank="1" type="list">
      <formula1>INDIRECT($C652)</formula1>
    </dataValidation>
    <dataValidation sqref="D653" showDropDown="0" showInputMessage="0" showErrorMessage="0" allowBlank="1" type="list">
      <formula1>INDIRECT("ST_"&amp;$C653)</formula1>
    </dataValidation>
    <dataValidation sqref="E653" showDropDown="0" showInputMessage="0" showErrorMessage="0" allowBlank="1" type="list">
      <formula1>INDIRECT($C653)</formula1>
    </dataValidation>
    <dataValidation sqref="D654" showDropDown="0" showInputMessage="0" showErrorMessage="0" allowBlank="1" type="list">
      <formula1>INDIRECT("ST_"&amp;$C654)</formula1>
    </dataValidation>
    <dataValidation sqref="E654" showDropDown="0" showInputMessage="0" showErrorMessage="0" allowBlank="1" type="list">
      <formula1>INDIRECT($C654)</formula1>
    </dataValidation>
    <dataValidation sqref="D655" showDropDown="0" showInputMessage="0" showErrorMessage="0" allowBlank="1" type="list">
      <formula1>INDIRECT("ST_"&amp;$C655)</formula1>
    </dataValidation>
    <dataValidation sqref="E655" showDropDown="0" showInputMessage="0" showErrorMessage="0" allowBlank="1" type="list">
      <formula1>INDIRECT($C655)</formula1>
    </dataValidation>
    <dataValidation sqref="D656" showDropDown="0" showInputMessage="0" showErrorMessage="0" allowBlank="1" type="list">
      <formula1>INDIRECT("ST_"&amp;$C656)</formula1>
    </dataValidation>
    <dataValidation sqref="E656" showDropDown="0" showInputMessage="0" showErrorMessage="0" allowBlank="1" type="list">
      <formula1>INDIRECT($C656)</formula1>
    </dataValidation>
    <dataValidation sqref="D657" showDropDown="0" showInputMessage="0" showErrorMessage="0" allowBlank="1" type="list">
      <formula1>INDIRECT("ST_"&amp;$C657)</formula1>
    </dataValidation>
    <dataValidation sqref="E657" showDropDown="0" showInputMessage="0" showErrorMessage="0" allowBlank="1" type="list">
      <formula1>INDIRECT($C657)</formula1>
    </dataValidation>
    <dataValidation sqref="D658" showDropDown="0" showInputMessage="0" showErrorMessage="0" allowBlank="1" type="list">
      <formula1>INDIRECT("ST_"&amp;$C658)</formula1>
    </dataValidation>
    <dataValidation sqref="E658" showDropDown="0" showInputMessage="0" showErrorMessage="0" allowBlank="1" type="list">
      <formula1>INDIRECT($C658)</formula1>
    </dataValidation>
    <dataValidation sqref="D659" showDropDown="0" showInputMessage="0" showErrorMessage="0" allowBlank="1" type="list">
      <formula1>INDIRECT("ST_"&amp;$C659)</formula1>
    </dataValidation>
    <dataValidation sqref="E659" showDropDown="0" showInputMessage="0" showErrorMessage="0" allowBlank="1" type="list">
      <formula1>INDIRECT($C659)</formula1>
    </dataValidation>
    <dataValidation sqref="D660" showDropDown="0" showInputMessage="0" showErrorMessage="0" allowBlank="1" type="list">
      <formula1>INDIRECT("ST_"&amp;$C660)</formula1>
    </dataValidation>
    <dataValidation sqref="E660" showDropDown="0" showInputMessage="0" showErrorMessage="0" allowBlank="1" type="list">
      <formula1>INDIRECT($C660)</formula1>
    </dataValidation>
    <dataValidation sqref="D661" showDropDown="0" showInputMessage="0" showErrorMessage="0" allowBlank="1" type="list">
      <formula1>INDIRECT("ST_"&amp;$C661)</formula1>
    </dataValidation>
    <dataValidation sqref="E661" showDropDown="0" showInputMessage="0" showErrorMessage="0" allowBlank="1" type="list">
      <formula1>INDIRECT($C661)</formula1>
    </dataValidation>
    <dataValidation sqref="D662" showDropDown="0" showInputMessage="0" showErrorMessage="0" allowBlank="1" type="list">
      <formula1>INDIRECT("ST_"&amp;$C662)</formula1>
    </dataValidation>
    <dataValidation sqref="E662" showDropDown="0" showInputMessage="0" showErrorMessage="0" allowBlank="1" type="list">
      <formula1>INDIRECT($C662)</formula1>
    </dataValidation>
    <dataValidation sqref="D663" showDropDown="0" showInputMessage="0" showErrorMessage="0" allowBlank="1" type="list">
      <formula1>INDIRECT("ST_"&amp;$C663)</formula1>
    </dataValidation>
    <dataValidation sqref="E663" showDropDown="0" showInputMessage="0" showErrorMessage="0" allowBlank="1" type="list">
      <formula1>INDIRECT($C663)</formula1>
    </dataValidation>
    <dataValidation sqref="D664" showDropDown="0" showInputMessage="0" showErrorMessage="0" allowBlank="1" type="list">
      <formula1>INDIRECT("ST_"&amp;$C664)</formula1>
    </dataValidation>
    <dataValidation sqref="E664" showDropDown="0" showInputMessage="0" showErrorMessage="0" allowBlank="1" type="list">
      <formula1>INDIRECT($C664)</formula1>
    </dataValidation>
    <dataValidation sqref="D665" showDropDown="0" showInputMessage="0" showErrorMessage="0" allowBlank="1" type="list">
      <formula1>INDIRECT("ST_"&amp;$C665)</formula1>
    </dataValidation>
    <dataValidation sqref="E665" showDropDown="0" showInputMessage="0" showErrorMessage="0" allowBlank="1" type="list">
      <formula1>INDIRECT($C665)</formula1>
    </dataValidation>
    <dataValidation sqref="D666" showDropDown="0" showInputMessage="0" showErrorMessage="0" allowBlank="1" type="list">
      <formula1>INDIRECT("ST_"&amp;$C666)</formula1>
    </dataValidation>
    <dataValidation sqref="E666" showDropDown="0" showInputMessage="0" showErrorMessage="0" allowBlank="1" type="list">
      <formula1>INDIRECT($C666)</formula1>
    </dataValidation>
    <dataValidation sqref="D667" showDropDown="0" showInputMessage="0" showErrorMessage="0" allowBlank="1" type="list">
      <formula1>INDIRECT("ST_"&amp;$C667)</formula1>
    </dataValidation>
    <dataValidation sqref="E667" showDropDown="0" showInputMessage="0" showErrorMessage="0" allowBlank="1" type="list">
      <formula1>INDIRECT($C667)</formula1>
    </dataValidation>
    <dataValidation sqref="D668" showDropDown="0" showInputMessage="0" showErrorMessage="0" allowBlank="1" type="list">
      <formula1>INDIRECT("ST_"&amp;$C668)</formula1>
    </dataValidation>
    <dataValidation sqref="E668" showDropDown="0" showInputMessage="0" showErrorMessage="0" allowBlank="1" type="list">
      <formula1>INDIRECT($C668)</formula1>
    </dataValidation>
    <dataValidation sqref="D669" showDropDown="0" showInputMessage="0" showErrorMessage="0" allowBlank="1" type="list">
      <formula1>INDIRECT("ST_"&amp;$C669)</formula1>
    </dataValidation>
    <dataValidation sqref="E669" showDropDown="0" showInputMessage="0" showErrorMessage="0" allowBlank="1" type="list">
      <formula1>INDIRECT($C669)</formula1>
    </dataValidation>
    <dataValidation sqref="D670" showDropDown="0" showInputMessage="0" showErrorMessage="0" allowBlank="1" type="list">
      <formula1>INDIRECT("ST_"&amp;$C670)</formula1>
    </dataValidation>
    <dataValidation sqref="E670" showDropDown="0" showInputMessage="0" showErrorMessage="0" allowBlank="1" type="list">
      <formula1>INDIRECT($C670)</formula1>
    </dataValidation>
    <dataValidation sqref="D671" showDropDown="0" showInputMessage="0" showErrorMessage="0" allowBlank="1" type="list">
      <formula1>INDIRECT("ST_"&amp;$C671)</formula1>
    </dataValidation>
    <dataValidation sqref="E671" showDropDown="0" showInputMessage="0" showErrorMessage="0" allowBlank="1" type="list">
      <formula1>INDIRECT($C671)</formula1>
    </dataValidation>
    <dataValidation sqref="D672" showDropDown="0" showInputMessage="0" showErrorMessage="0" allowBlank="1" type="list">
      <formula1>INDIRECT("ST_"&amp;$C672)</formula1>
    </dataValidation>
    <dataValidation sqref="E672" showDropDown="0" showInputMessage="0" showErrorMessage="0" allowBlank="1" type="list">
      <formula1>INDIRECT($C672)</formula1>
    </dataValidation>
    <dataValidation sqref="D673" showDropDown="0" showInputMessage="0" showErrorMessage="0" allowBlank="1" type="list">
      <formula1>INDIRECT("ST_"&amp;$C673)</formula1>
    </dataValidation>
    <dataValidation sqref="E673" showDropDown="0" showInputMessage="0" showErrorMessage="0" allowBlank="1" type="list">
      <formula1>INDIRECT($C673)</formula1>
    </dataValidation>
    <dataValidation sqref="D674" showDropDown="0" showInputMessage="0" showErrorMessage="0" allowBlank="1" type="list">
      <formula1>INDIRECT("ST_"&amp;$C674)</formula1>
    </dataValidation>
    <dataValidation sqref="E674" showDropDown="0" showInputMessage="0" showErrorMessage="0" allowBlank="1" type="list">
      <formula1>INDIRECT($C674)</formula1>
    </dataValidation>
    <dataValidation sqref="D675" showDropDown="0" showInputMessage="0" showErrorMessage="0" allowBlank="1" type="list">
      <formula1>INDIRECT("ST_"&amp;$C675)</formula1>
    </dataValidation>
    <dataValidation sqref="E675" showDropDown="0" showInputMessage="0" showErrorMessage="0" allowBlank="1" type="list">
      <formula1>INDIRECT($C675)</formula1>
    </dataValidation>
    <dataValidation sqref="D676" showDropDown="0" showInputMessage="0" showErrorMessage="0" allowBlank="1" type="list">
      <formula1>INDIRECT("ST_"&amp;$C676)</formula1>
    </dataValidation>
    <dataValidation sqref="E676" showDropDown="0" showInputMessage="0" showErrorMessage="0" allowBlank="1" type="list">
      <formula1>INDIRECT($C676)</formula1>
    </dataValidation>
    <dataValidation sqref="D677" showDropDown="0" showInputMessage="0" showErrorMessage="0" allowBlank="1" type="list">
      <formula1>INDIRECT("ST_"&amp;$C677)</formula1>
    </dataValidation>
    <dataValidation sqref="E677" showDropDown="0" showInputMessage="0" showErrorMessage="0" allowBlank="1" type="list">
      <formula1>INDIRECT($C677)</formula1>
    </dataValidation>
    <dataValidation sqref="D678" showDropDown="0" showInputMessage="0" showErrorMessage="0" allowBlank="1" type="list">
      <formula1>INDIRECT("ST_"&amp;$C678)</formula1>
    </dataValidation>
    <dataValidation sqref="E678" showDropDown="0" showInputMessage="0" showErrorMessage="0" allowBlank="1" type="list">
      <formula1>INDIRECT($C678)</formula1>
    </dataValidation>
    <dataValidation sqref="D679" showDropDown="0" showInputMessage="0" showErrorMessage="0" allowBlank="1" type="list">
      <formula1>INDIRECT("ST_"&amp;$C679)</formula1>
    </dataValidation>
    <dataValidation sqref="E679" showDropDown="0" showInputMessage="0" showErrorMessage="0" allowBlank="1" type="list">
      <formula1>INDIRECT($C679)</formula1>
    </dataValidation>
    <dataValidation sqref="D680" showDropDown="0" showInputMessage="0" showErrorMessage="0" allowBlank="1" type="list">
      <formula1>INDIRECT("ST_"&amp;$C680)</formula1>
    </dataValidation>
    <dataValidation sqref="E680" showDropDown="0" showInputMessage="0" showErrorMessage="0" allowBlank="1" type="list">
      <formula1>INDIRECT($C680)</formula1>
    </dataValidation>
    <dataValidation sqref="D681" showDropDown="0" showInputMessage="0" showErrorMessage="0" allowBlank="1" type="list">
      <formula1>INDIRECT("ST_"&amp;$C681)</formula1>
    </dataValidation>
    <dataValidation sqref="E681" showDropDown="0" showInputMessage="0" showErrorMessage="0" allowBlank="1" type="list">
      <formula1>INDIRECT($C681)</formula1>
    </dataValidation>
    <dataValidation sqref="D682" showDropDown="0" showInputMessage="0" showErrorMessage="0" allowBlank="1" type="list">
      <formula1>INDIRECT("ST_"&amp;$C682)</formula1>
    </dataValidation>
    <dataValidation sqref="E682" showDropDown="0" showInputMessage="0" showErrorMessage="0" allowBlank="1" type="list">
      <formula1>INDIRECT($C682)</formula1>
    </dataValidation>
    <dataValidation sqref="D683" showDropDown="0" showInputMessage="0" showErrorMessage="0" allowBlank="1" type="list">
      <formula1>INDIRECT("ST_"&amp;$C683)</formula1>
    </dataValidation>
    <dataValidation sqref="E683" showDropDown="0" showInputMessage="0" showErrorMessage="0" allowBlank="1" type="list">
      <formula1>INDIRECT($C683)</formula1>
    </dataValidation>
    <dataValidation sqref="D684" showDropDown="0" showInputMessage="0" showErrorMessage="0" allowBlank="1" type="list">
      <formula1>INDIRECT("ST_"&amp;$C684)</formula1>
    </dataValidation>
    <dataValidation sqref="E684" showDropDown="0" showInputMessage="0" showErrorMessage="0" allowBlank="1" type="list">
      <formula1>INDIRECT($C684)</formula1>
    </dataValidation>
    <dataValidation sqref="D685" showDropDown="0" showInputMessage="0" showErrorMessage="0" allowBlank="1" type="list">
      <formula1>INDIRECT("ST_"&amp;$C685)</formula1>
    </dataValidation>
    <dataValidation sqref="E685" showDropDown="0" showInputMessage="0" showErrorMessage="0" allowBlank="1" type="list">
      <formula1>INDIRECT($C685)</formula1>
    </dataValidation>
    <dataValidation sqref="D686" showDropDown="0" showInputMessage="0" showErrorMessage="0" allowBlank="1" type="list">
      <formula1>INDIRECT("ST_"&amp;$C686)</formula1>
    </dataValidation>
    <dataValidation sqref="E686" showDropDown="0" showInputMessage="0" showErrorMessage="0" allowBlank="1" type="list">
      <formula1>INDIRECT($C686)</formula1>
    </dataValidation>
    <dataValidation sqref="D687" showDropDown="0" showInputMessage="0" showErrorMessage="0" allowBlank="1" type="list">
      <formula1>INDIRECT("ST_"&amp;$C687)</formula1>
    </dataValidation>
    <dataValidation sqref="E687" showDropDown="0" showInputMessage="0" showErrorMessage="0" allowBlank="1" type="list">
      <formula1>INDIRECT($C687)</formula1>
    </dataValidation>
    <dataValidation sqref="D688" showDropDown="0" showInputMessage="0" showErrorMessage="0" allowBlank="1" type="list">
      <formula1>INDIRECT("ST_"&amp;$C688)</formula1>
    </dataValidation>
    <dataValidation sqref="E688" showDropDown="0" showInputMessage="0" showErrorMessage="0" allowBlank="1" type="list">
      <formula1>INDIRECT($C688)</formula1>
    </dataValidation>
    <dataValidation sqref="D689" showDropDown="0" showInputMessage="0" showErrorMessage="0" allowBlank="1" type="list">
      <formula1>INDIRECT("ST_"&amp;$C689)</formula1>
    </dataValidation>
    <dataValidation sqref="E689" showDropDown="0" showInputMessage="0" showErrorMessage="0" allowBlank="1" type="list">
      <formula1>INDIRECT($C689)</formula1>
    </dataValidation>
    <dataValidation sqref="D690" showDropDown="0" showInputMessage="0" showErrorMessage="0" allowBlank="1" type="list">
      <formula1>INDIRECT("ST_"&amp;$C690)</formula1>
    </dataValidation>
    <dataValidation sqref="E690" showDropDown="0" showInputMessage="0" showErrorMessage="0" allowBlank="1" type="list">
      <formula1>INDIRECT($C690)</formula1>
    </dataValidation>
    <dataValidation sqref="D691" showDropDown="0" showInputMessage="0" showErrorMessage="0" allowBlank="1" type="list">
      <formula1>INDIRECT("ST_"&amp;$C691)</formula1>
    </dataValidation>
    <dataValidation sqref="E691" showDropDown="0" showInputMessage="0" showErrorMessage="0" allowBlank="1" type="list">
      <formula1>INDIRECT($C691)</formula1>
    </dataValidation>
    <dataValidation sqref="D692" showDropDown="0" showInputMessage="0" showErrorMessage="0" allowBlank="1" type="list">
      <formula1>INDIRECT("ST_"&amp;$C692)</formula1>
    </dataValidation>
    <dataValidation sqref="E692" showDropDown="0" showInputMessage="0" showErrorMessage="0" allowBlank="1" type="list">
      <formula1>INDIRECT($C692)</formula1>
    </dataValidation>
    <dataValidation sqref="D693" showDropDown="0" showInputMessage="0" showErrorMessage="0" allowBlank="1" type="list">
      <formula1>INDIRECT("ST_"&amp;$C693)</formula1>
    </dataValidation>
    <dataValidation sqref="E693" showDropDown="0" showInputMessage="0" showErrorMessage="0" allowBlank="1" type="list">
      <formula1>INDIRECT($C693)</formula1>
    </dataValidation>
    <dataValidation sqref="D694" showDropDown="0" showInputMessage="0" showErrorMessage="0" allowBlank="1" type="list">
      <formula1>INDIRECT("ST_"&amp;$C694)</formula1>
    </dataValidation>
    <dataValidation sqref="E694" showDropDown="0" showInputMessage="0" showErrorMessage="0" allowBlank="1" type="list">
      <formula1>INDIRECT($C694)</formula1>
    </dataValidation>
    <dataValidation sqref="D695" showDropDown="0" showInputMessage="0" showErrorMessage="0" allowBlank="1" type="list">
      <formula1>INDIRECT("ST_"&amp;$C695)</formula1>
    </dataValidation>
    <dataValidation sqref="E695" showDropDown="0" showInputMessage="0" showErrorMessage="0" allowBlank="1" type="list">
      <formula1>INDIRECT($C695)</formula1>
    </dataValidation>
    <dataValidation sqref="D696" showDropDown="0" showInputMessage="0" showErrorMessage="0" allowBlank="1" type="list">
      <formula1>INDIRECT("ST_"&amp;$C696)</formula1>
    </dataValidation>
    <dataValidation sqref="E696" showDropDown="0" showInputMessage="0" showErrorMessage="0" allowBlank="1" type="list">
      <formula1>INDIRECT($C696)</formula1>
    </dataValidation>
    <dataValidation sqref="D697" showDropDown="0" showInputMessage="0" showErrorMessage="0" allowBlank="1" type="list">
      <formula1>INDIRECT("ST_"&amp;$C697)</formula1>
    </dataValidation>
    <dataValidation sqref="E697" showDropDown="0" showInputMessage="0" showErrorMessage="0" allowBlank="1" type="list">
      <formula1>INDIRECT($C697)</formula1>
    </dataValidation>
    <dataValidation sqref="D698" showDropDown="0" showInputMessage="0" showErrorMessage="0" allowBlank="1" type="list">
      <formula1>INDIRECT("ST_"&amp;$C698)</formula1>
    </dataValidation>
    <dataValidation sqref="E698" showDropDown="0" showInputMessage="0" showErrorMessage="0" allowBlank="1" type="list">
      <formula1>INDIRECT($C698)</formula1>
    </dataValidation>
    <dataValidation sqref="D699" showDropDown="0" showInputMessage="0" showErrorMessage="0" allowBlank="1" type="list">
      <formula1>INDIRECT("ST_"&amp;$C699)</formula1>
    </dataValidation>
    <dataValidation sqref="E699" showDropDown="0" showInputMessage="0" showErrorMessage="0" allowBlank="1" type="list">
      <formula1>INDIRECT($C699)</formula1>
    </dataValidation>
    <dataValidation sqref="D700" showDropDown="0" showInputMessage="0" showErrorMessage="0" allowBlank="1" type="list">
      <formula1>INDIRECT("ST_"&amp;$C700)</formula1>
    </dataValidation>
    <dataValidation sqref="E700" showDropDown="0" showInputMessage="0" showErrorMessage="0" allowBlank="1" type="list">
      <formula1>INDIRECT($C700)</formula1>
    </dataValidation>
    <dataValidation sqref="D701" showDropDown="0" showInputMessage="0" showErrorMessage="0" allowBlank="1" type="list">
      <formula1>INDIRECT("ST_"&amp;$C701)</formula1>
    </dataValidation>
    <dataValidation sqref="E701" showDropDown="0" showInputMessage="0" showErrorMessage="0" allowBlank="1" type="list">
      <formula1>INDIRECT($C701)</formula1>
    </dataValidation>
    <dataValidation sqref="D702" showDropDown="0" showInputMessage="0" showErrorMessage="0" allowBlank="1" type="list">
      <formula1>INDIRECT("ST_"&amp;$C702)</formula1>
    </dataValidation>
    <dataValidation sqref="E702" showDropDown="0" showInputMessage="0" showErrorMessage="0" allowBlank="1" type="list">
      <formula1>INDIRECT($C702)</formula1>
    </dataValidation>
    <dataValidation sqref="D703" showDropDown="0" showInputMessage="0" showErrorMessage="0" allowBlank="1" type="list">
      <formula1>INDIRECT("ST_"&amp;$C703)</formula1>
    </dataValidation>
    <dataValidation sqref="E703" showDropDown="0" showInputMessage="0" showErrorMessage="0" allowBlank="1" type="list">
      <formula1>INDIRECT($C703)</formula1>
    </dataValidation>
    <dataValidation sqref="D704" showDropDown="0" showInputMessage="0" showErrorMessage="0" allowBlank="1" type="list">
      <formula1>INDIRECT("ST_"&amp;$C704)</formula1>
    </dataValidation>
    <dataValidation sqref="E704" showDropDown="0" showInputMessage="0" showErrorMessage="0" allowBlank="1" type="list">
      <formula1>INDIRECT($C704)</formula1>
    </dataValidation>
    <dataValidation sqref="D705" showDropDown="0" showInputMessage="0" showErrorMessage="0" allowBlank="1" type="list">
      <formula1>INDIRECT("ST_"&amp;$C705)</formula1>
    </dataValidation>
    <dataValidation sqref="E705" showDropDown="0" showInputMessage="0" showErrorMessage="0" allowBlank="1" type="list">
      <formula1>INDIRECT($C705)</formula1>
    </dataValidation>
    <dataValidation sqref="D706" showDropDown="0" showInputMessage="0" showErrorMessage="0" allowBlank="1" type="list">
      <formula1>INDIRECT("ST_"&amp;$C706)</formula1>
    </dataValidation>
    <dataValidation sqref="E706" showDropDown="0" showInputMessage="0" showErrorMessage="0" allowBlank="1" type="list">
      <formula1>INDIRECT($C706)</formula1>
    </dataValidation>
    <dataValidation sqref="D707" showDropDown="0" showInputMessage="0" showErrorMessage="0" allowBlank="1" type="list">
      <formula1>INDIRECT("ST_"&amp;$C707)</formula1>
    </dataValidation>
    <dataValidation sqref="E707" showDropDown="0" showInputMessage="0" showErrorMessage="0" allowBlank="1" type="list">
      <formula1>INDIRECT($C707)</formula1>
    </dataValidation>
    <dataValidation sqref="D708" showDropDown="0" showInputMessage="0" showErrorMessage="0" allowBlank="1" type="list">
      <formula1>INDIRECT("ST_"&amp;$C708)</formula1>
    </dataValidation>
    <dataValidation sqref="E708" showDropDown="0" showInputMessage="0" showErrorMessage="0" allowBlank="1" type="list">
      <formula1>INDIRECT($C708)</formula1>
    </dataValidation>
    <dataValidation sqref="D709" showDropDown="0" showInputMessage="0" showErrorMessage="0" allowBlank="1" type="list">
      <formula1>INDIRECT("ST_"&amp;$C709)</formula1>
    </dataValidation>
    <dataValidation sqref="E709" showDropDown="0" showInputMessage="0" showErrorMessage="0" allowBlank="1" type="list">
      <formula1>INDIRECT($C709)</formula1>
    </dataValidation>
    <dataValidation sqref="D710" showDropDown="0" showInputMessage="0" showErrorMessage="0" allowBlank="1" type="list">
      <formula1>INDIRECT("ST_"&amp;$C710)</formula1>
    </dataValidation>
    <dataValidation sqref="E710" showDropDown="0" showInputMessage="0" showErrorMessage="0" allowBlank="1" type="list">
      <formula1>INDIRECT($C710)</formula1>
    </dataValidation>
    <dataValidation sqref="D711" showDropDown="0" showInputMessage="0" showErrorMessage="0" allowBlank="1" type="list">
      <formula1>INDIRECT("ST_"&amp;$C711)</formula1>
    </dataValidation>
    <dataValidation sqref="E711" showDropDown="0" showInputMessage="0" showErrorMessage="0" allowBlank="1" type="list">
      <formula1>INDIRECT($C711)</formula1>
    </dataValidation>
    <dataValidation sqref="D712" showDropDown="0" showInputMessage="0" showErrorMessage="0" allowBlank="1" type="list">
      <formula1>INDIRECT("ST_"&amp;$C712)</formula1>
    </dataValidation>
    <dataValidation sqref="E712" showDropDown="0" showInputMessage="0" showErrorMessage="0" allowBlank="1" type="list">
      <formula1>INDIRECT($C712)</formula1>
    </dataValidation>
    <dataValidation sqref="D713" showDropDown="0" showInputMessage="0" showErrorMessage="0" allowBlank="1" type="list">
      <formula1>INDIRECT("ST_"&amp;$C713)</formula1>
    </dataValidation>
    <dataValidation sqref="E713" showDropDown="0" showInputMessage="0" showErrorMessage="0" allowBlank="1" type="list">
      <formula1>INDIRECT($C713)</formula1>
    </dataValidation>
    <dataValidation sqref="D714" showDropDown="0" showInputMessage="0" showErrorMessage="0" allowBlank="1" type="list">
      <formula1>INDIRECT("ST_"&amp;$C714)</formula1>
    </dataValidation>
    <dataValidation sqref="E714" showDropDown="0" showInputMessage="0" showErrorMessage="0" allowBlank="1" type="list">
      <formula1>INDIRECT($C714)</formula1>
    </dataValidation>
    <dataValidation sqref="D715" showDropDown="0" showInputMessage="0" showErrorMessage="0" allowBlank="1" type="list">
      <formula1>INDIRECT("ST_"&amp;$C715)</formula1>
    </dataValidation>
    <dataValidation sqref="E715" showDropDown="0" showInputMessage="0" showErrorMessage="0" allowBlank="1" type="list">
      <formula1>INDIRECT($C715)</formula1>
    </dataValidation>
    <dataValidation sqref="D716" showDropDown="0" showInputMessage="0" showErrorMessage="0" allowBlank="1" type="list">
      <formula1>INDIRECT("ST_"&amp;$C716)</formula1>
    </dataValidation>
    <dataValidation sqref="E716" showDropDown="0" showInputMessage="0" showErrorMessage="0" allowBlank="1" type="list">
      <formula1>INDIRECT($C716)</formula1>
    </dataValidation>
    <dataValidation sqref="D717" showDropDown="0" showInputMessage="0" showErrorMessage="0" allowBlank="1" type="list">
      <formula1>INDIRECT("ST_"&amp;$C717)</formula1>
    </dataValidation>
    <dataValidation sqref="E717" showDropDown="0" showInputMessage="0" showErrorMessage="0" allowBlank="1" type="list">
      <formula1>INDIRECT($C717)</formula1>
    </dataValidation>
    <dataValidation sqref="D718" showDropDown="0" showInputMessage="0" showErrorMessage="0" allowBlank="1" type="list">
      <formula1>INDIRECT("ST_"&amp;$C718)</formula1>
    </dataValidation>
    <dataValidation sqref="E718" showDropDown="0" showInputMessage="0" showErrorMessage="0" allowBlank="1" type="list">
      <formula1>INDIRECT($C718)</formula1>
    </dataValidation>
    <dataValidation sqref="D719" showDropDown="0" showInputMessage="0" showErrorMessage="0" allowBlank="1" type="list">
      <formula1>INDIRECT("ST_"&amp;$C719)</formula1>
    </dataValidation>
    <dataValidation sqref="E719" showDropDown="0" showInputMessage="0" showErrorMessage="0" allowBlank="1" type="list">
      <formula1>INDIRECT($C719)</formula1>
    </dataValidation>
    <dataValidation sqref="D720" showDropDown="0" showInputMessage="0" showErrorMessage="0" allowBlank="1" type="list">
      <formula1>INDIRECT("ST_"&amp;$C720)</formula1>
    </dataValidation>
    <dataValidation sqref="E720" showDropDown="0" showInputMessage="0" showErrorMessage="0" allowBlank="1" type="list">
      <formula1>INDIRECT($C720)</formula1>
    </dataValidation>
    <dataValidation sqref="D721" showDropDown="0" showInputMessage="0" showErrorMessage="0" allowBlank="1" type="list">
      <formula1>INDIRECT("ST_"&amp;$C721)</formula1>
    </dataValidation>
    <dataValidation sqref="E721" showDropDown="0" showInputMessage="0" showErrorMessage="0" allowBlank="1" type="list">
      <formula1>INDIRECT($C721)</formula1>
    </dataValidation>
    <dataValidation sqref="D722" showDropDown="0" showInputMessage="0" showErrorMessage="0" allowBlank="1" type="list">
      <formula1>INDIRECT("ST_"&amp;$C722)</formula1>
    </dataValidation>
    <dataValidation sqref="E722" showDropDown="0" showInputMessage="0" showErrorMessage="0" allowBlank="1" type="list">
      <formula1>INDIRECT($C722)</formula1>
    </dataValidation>
    <dataValidation sqref="D723" showDropDown="0" showInputMessage="0" showErrorMessage="0" allowBlank="1" type="list">
      <formula1>INDIRECT("ST_"&amp;$C723)</formula1>
    </dataValidation>
    <dataValidation sqref="E723" showDropDown="0" showInputMessage="0" showErrorMessage="0" allowBlank="1" type="list">
      <formula1>INDIRECT($C723)</formula1>
    </dataValidation>
    <dataValidation sqref="D724" showDropDown="0" showInputMessage="0" showErrorMessage="0" allowBlank="1" type="list">
      <formula1>INDIRECT("ST_"&amp;$C724)</formula1>
    </dataValidation>
    <dataValidation sqref="E724" showDropDown="0" showInputMessage="0" showErrorMessage="0" allowBlank="1" type="list">
      <formula1>INDIRECT($C724)</formula1>
    </dataValidation>
    <dataValidation sqref="D725" showDropDown="0" showInputMessage="0" showErrorMessage="0" allowBlank="1" type="list">
      <formula1>INDIRECT("ST_"&amp;$C725)</formula1>
    </dataValidation>
    <dataValidation sqref="E725" showDropDown="0" showInputMessage="0" showErrorMessage="0" allowBlank="1" type="list">
      <formula1>INDIRECT($C725)</formula1>
    </dataValidation>
    <dataValidation sqref="D726" showDropDown="0" showInputMessage="0" showErrorMessage="0" allowBlank="1" type="list">
      <formula1>INDIRECT("ST_"&amp;$C726)</formula1>
    </dataValidation>
    <dataValidation sqref="E726" showDropDown="0" showInputMessage="0" showErrorMessage="0" allowBlank="1" type="list">
      <formula1>INDIRECT($C726)</formula1>
    </dataValidation>
    <dataValidation sqref="D727" showDropDown="0" showInputMessage="0" showErrorMessage="0" allowBlank="1" type="list">
      <formula1>INDIRECT("ST_"&amp;$C727)</formula1>
    </dataValidation>
    <dataValidation sqref="E727" showDropDown="0" showInputMessage="0" showErrorMessage="0" allowBlank="1" type="list">
      <formula1>INDIRECT($C727)</formula1>
    </dataValidation>
    <dataValidation sqref="D728" showDropDown="0" showInputMessage="0" showErrorMessage="0" allowBlank="1" type="list">
      <formula1>INDIRECT("ST_"&amp;$C728)</formula1>
    </dataValidation>
    <dataValidation sqref="E728" showDropDown="0" showInputMessage="0" showErrorMessage="0" allowBlank="1" type="list">
      <formula1>INDIRECT($C728)</formula1>
    </dataValidation>
    <dataValidation sqref="D729" showDropDown="0" showInputMessage="0" showErrorMessage="0" allowBlank="1" type="list">
      <formula1>INDIRECT("ST_"&amp;$C729)</formula1>
    </dataValidation>
    <dataValidation sqref="E729" showDropDown="0" showInputMessage="0" showErrorMessage="0" allowBlank="1" type="list">
      <formula1>INDIRECT($C729)</formula1>
    </dataValidation>
    <dataValidation sqref="D730" showDropDown="0" showInputMessage="0" showErrorMessage="0" allowBlank="1" type="list">
      <formula1>INDIRECT("ST_"&amp;$C730)</formula1>
    </dataValidation>
    <dataValidation sqref="E730" showDropDown="0" showInputMessage="0" showErrorMessage="0" allowBlank="1" type="list">
      <formula1>INDIRECT($C730)</formula1>
    </dataValidation>
    <dataValidation sqref="D731" showDropDown="0" showInputMessage="0" showErrorMessage="0" allowBlank="1" type="list">
      <formula1>INDIRECT("ST_"&amp;$C731)</formula1>
    </dataValidation>
    <dataValidation sqref="E731" showDropDown="0" showInputMessage="0" showErrorMessage="0" allowBlank="1" type="list">
      <formula1>INDIRECT($C731)</formula1>
    </dataValidation>
    <dataValidation sqref="D732" showDropDown="0" showInputMessage="0" showErrorMessage="0" allowBlank="1" type="list">
      <formula1>INDIRECT("ST_"&amp;$C732)</formula1>
    </dataValidation>
    <dataValidation sqref="E732" showDropDown="0" showInputMessage="0" showErrorMessage="0" allowBlank="1" type="list">
      <formula1>INDIRECT($C732)</formula1>
    </dataValidation>
    <dataValidation sqref="D733" showDropDown="0" showInputMessage="0" showErrorMessage="0" allowBlank="1" type="list">
      <formula1>INDIRECT("ST_"&amp;$C733)</formula1>
    </dataValidation>
    <dataValidation sqref="E733" showDropDown="0" showInputMessage="0" showErrorMessage="0" allowBlank="1" type="list">
      <formula1>INDIRECT($C733)</formula1>
    </dataValidation>
    <dataValidation sqref="D734" showDropDown="0" showInputMessage="0" showErrorMessage="0" allowBlank="1" type="list">
      <formula1>INDIRECT("ST_"&amp;$C734)</formula1>
    </dataValidation>
    <dataValidation sqref="E734" showDropDown="0" showInputMessage="0" showErrorMessage="0" allowBlank="1" type="list">
      <formula1>INDIRECT($C734)</formula1>
    </dataValidation>
    <dataValidation sqref="D735" showDropDown="0" showInputMessage="0" showErrorMessage="0" allowBlank="1" type="list">
      <formula1>INDIRECT("ST_"&amp;$C735)</formula1>
    </dataValidation>
    <dataValidation sqref="E735" showDropDown="0" showInputMessage="0" showErrorMessage="0" allowBlank="1" type="list">
      <formula1>INDIRECT($C735)</formula1>
    </dataValidation>
    <dataValidation sqref="D736" showDropDown="0" showInputMessage="0" showErrorMessage="0" allowBlank="1" type="list">
      <formula1>INDIRECT("ST_"&amp;$C736)</formula1>
    </dataValidation>
    <dataValidation sqref="E736" showDropDown="0" showInputMessage="0" showErrorMessage="0" allowBlank="1" type="list">
      <formula1>INDIRECT($C736)</formula1>
    </dataValidation>
    <dataValidation sqref="D737" showDropDown="0" showInputMessage="0" showErrorMessage="0" allowBlank="1" type="list">
      <formula1>INDIRECT("ST_"&amp;$C737)</formula1>
    </dataValidation>
    <dataValidation sqref="E737" showDropDown="0" showInputMessage="0" showErrorMessage="0" allowBlank="1" type="list">
      <formula1>INDIRECT($C737)</formula1>
    </dataValidation>
    <dataValidation sqref="D738" showDropDown="0" showInputMessage="0" showErrorMessage="0" allowBlank="1" type="list">
      <formula1>INDIRECT("ST_"&amp;$C738)</formula1>
    </dataValidation>
    <dataValidation sqref="E738" showDropDown="0" showInputMessage="0" showErrorMessage="0" allowBlank="1" type="list">
      <formula1>INDIRECT($C738)</formula1>
    </dataValidation>
    <dataValidation sqref="D739" showDropDown="0" showInputMessage="0" showErrorMessage="0" allowBlank="1" type="list">
      <formula1>INDIRECT("ST_"&amp;$C739)</formula1>
    </dataValidation>
    <dataValidation sqref="E739" showDropDown="0" showInputMessage="0" showErrorMessage="0" allowBlank="1" type="list">
      <formula1>INDIRECT($C739)</formula1>
    </dataValidation>
    <dataValidation sqref="D740" showDropDown="0" showInputMessage="0" showErrorMessage="0" allowBlank="1" type="list">
      <formula1>INDIRECT("ST_"&amp;$C740)</formula1>
    </dataValidation>
    <dataValidation sqref="E740" showDropDown="0" showInputMessage="0" showErrorMessage="0" allowBlank="1" type="list">
      <formula1>INDIRECT($C740)</formula1>
    </dataValidation>
    <dataValidation sqref="D741" showDropDown="0" showInputMessage="0" showErrorMessage="0" allowBlank="1" type="list">
      <formula1>INDIRECT("ST_"&amp;$C741)</formula1>
    </dataValidation>
    <dataValidation sqref="E741" showDropDown="0" showInputMessage="0" showErrorMessage="0" allowBlank="1" type="list">
      <formula1>INDIRECT($C741)</formula1>
    </dataValidation>
    <dataValidation sqref="D742" showDropDown="0" showInputMessage="0" showErrorMessage="0" allowBlank="1" type="list">
      <formula1>INDIRECT("ST_"&amp;$C742)</formula1>
    </dataValidation>
    <dataValidation sqref="E742" showDropDown="0" showInputMessage="0" showErrorMessage="0" allowBlank="1" type="list">
      <formula1>INDIRECT($C742)</formula1>
    </dataValidation>
    <dataValidation sqref="D743" showDropDown="0" showInputMessage="0" showErrorMessage="0" allowBlank="1" type="list">
      <formula1>INDIRECT("ST_"&amp;$C743)</formula1>
    </dataValidation>
    <dataValidation sqref="E743" showDropDown="0" showInputMessage="0" showErrorMessage="0" allowBlank="1" type="list">
      <formula1>INDIRECT($C743)</formula1>
    </dataValidation>
    <dataValidation sqref="D744" showDropDown="0" showInputMessage="0" showErrorMessage="0" allowBlank="1" type="list">
      <formula1>INDIRECT("ST_"&amp;$C744)</formula1>
    </dataValidation>
    <dataValidation sqref="E744" showDropDown="0" showInputMessage="0" showErrorMessage="0" allowBlank="1" type="list">
      <formula1>INDIRECT($C744)</formula1>
    </dataValidation>
    <dataValidation sqref="D745" showDropDown="0" showInputMessage="0" showErrorMessage="0" allowBlank="1" type="list">
      <formula1>INDIRECT("ST_"&amp;$C745)</formula1>
    </dataValidation>
    <dataValidation sqref="E745" showDropDown="0" showInputMessage="0" showErrorMessage="0" allowBlank="1" type="list">
      <formula1>INDIRECT($C745)</formula1>
    </dataValidation>
    <dataValidation sqref="D746" showDropDown="0" showInputMessage="0" showErrorMessage="0" allowBlank="1" type="list">
      <formula1>INDIRECT("ST_"&amp;$C746)</formula1>
    </dataValidation>
    <dataValidation sqref="E746" showDropDown="0" showInputMessage="0" showErrorMessage="0" allowBlank="1" type="list">
      <formula1>INDIRECT($C746)</formula1>
    </dataValidation>
    <dataValidation sqref="D747" showDropDown="0" showInputMessage="0" showErrorMessage="0" allowBlank="1" type="list">
      <formula1>INDIRECT("ST_"&amp;$C747)</formula1>
    </dataValidation>
    <dataValidation sqref="E747" showDropDown="0" showInputMessage="0" showErrorMessage="0" allowBlank="1" type="list">
      <formula1>INDIRECT($C747)</formula1>
    </dataValidation>
    <dataValidation sqref="D748" showDropDown="0" showInputMessage="0" showErrorMessage="0" allowBlank="1" type="list">
      <formula1>INDIRECT("ST_"&amp;$C748)</formula1>
    </dataValidation>
    <dataValidation sqref="E748" showDropDown="0" showInputMessage="0" showErrorMessage="0" allowBlank="1" type="list">
      <formula1>INDIRECT($C748)</formula1>
    </dataValidation>
    <dataValidation sqref="D749" showDropDown="0" showInputMessage="0" showErrorMessage="0" allowBlank="1" type="list">
      <formula1>INDIRECT("ST_"&amp;$C749)</formula1>
    </dataValidation>
    <dataValidation sqref="E749" showDropDown="0" showInputMessage="0" showErrorMessage="0" allowBlank="1" type="list">
      <formula1>INDIRECT($C749)</formula1>
    </dataValidation>
    <dataValidation sqref="D750" showDropDown="0" showInputMessage="0" showErrorMessage="0" allowBlank="1" type="list">
      <formula1>INDIRECT("ST_"&amp;$C750)</formula1>
    </dataValidation>
    <dataValidation sqref="E750" showDropDown="0" showInputMessage="0" showErrorMessage="0" allowBlank="1" type="list">
      <formula1>INDIRECT($C750)</formula1>
    </dataValidation>
    <dataValidation sqref="D751" showDropDown="0" showInputMessage="0" showErrorMessage="0" allowBlank="1" type="list">
      <formula1>INDIRECT("ST_"&amp;$C751)</formula1>
    </dataValidation>
    <dataValidation sqref="E751" showDropDown="0" showInputMessage="0" showErrorMessage="0" allowBlank="1" type="list">
      <formula1>INDIRECT($C751)</formula1>
    </dataValidation>
    <dataValidation sqref="D752" showDropDown="0" showInputMessage="0" showErrorMessage="0" allowBlank="1" type="list">
      <formula1>INDIRECT("ST_"&amp;$C752)</formula1>
    </dataValidation>
    <dataValidation sqref="E752" showDropDown="0" showInputMessage="0" showErrorMessage="0" allowBlank="1" type="list">
      <formula1>INDIRECT($C752)</formula1>
    </dataValidation>
    <dataValidation sqref="D753" showDropDown="0" showInputMessage="0" showErrorMessage="0" allowBlank="1" type="list">
      <formula1>INDIRECT("ST_"&amp;$C753)</formula1>
    </dataValidation>
    <dataValidation sqref="E753" showDropDown="0" showInputMessage="0" showErrorMessage="0" allowBlank="1" type="list">
      <formula1>INDIRECT($C753)</formula1>
    </dataValidation>
    <dataValidation sqref="D754" showDropDown="0" showInputMessage="0" showErrorMessage="0" allowBlank="1" type="list">
      <formula1>INDIRECT("ST_"&amp;$C754)</formula1>
    </dataValidation>
    <dataValidation sqref="E754" showDropDown="0" showInputMessage="0" showErrorMessage="0" allowBlank="1" type="list">
      <formula1>INDIRECT($C754)</formula1>
    </dataValidation>
    <dataValidation sqref="D755" showDropDown="0" showInputMessage="0" showErrorMessage="0" allowBlank="1" type="list">
      <formula1>INDIRECT("ST_"&amp;$C755)</formula1>
    </dataValidation>
    <dataValidation sqref="E755" showDropDown="0" showInputMessage="0" showErrorMessage="0" allowBlank="1" type="list">
      <formula1>INDIRECT($C755)</formula1>
    </dataValidation>
    <dataValidation sqref="D756" showDropDown="0" showInputMessage="0" showErrorMessage="0" allowBlank="1" type="list">
      <formula1>INDIRECT("ST_"&amp;$C756)</formula1>
    </dataValidation>
    <dataValidation sqref="E756" showDropDown="0" showInputMessage="0" showErrorMessage="0" allowBlank="1" type="list">
      <formula1>INDIRECT($C756)</formula1>
    </dataValidation>
    <dataValidation sqref="D757" showDropDown="0" showInputMessage="0" showErrorMessage="0" allowBlank="1" type="list">
      <formula1>INDIRECT("ST_"&amp;$C757)</formula1>
    </dataValidation>
    <dataValidation sqref="E757" showDropDown="0" showInputMessage="0" showErrorMessage="0" allowBlank="1" type="list">
      <formula1>INDIRECT($C757)</formula1>
    </dataValidation>
    <dataValidation sqref="D758" showDropDown="0" showInputMessage="0" showErrorMessage="0" allowBlank="1" type="list">
      <formula1>INDIRECT("ST_"&amp;$C758)</formula1>
    </dataValidation>
    <dataValidation sqref="E758" showDropDown="0" showInputMessage="0" showErrorMessage="0" allowBlank="1" type="list">
      <formula1>INDIRECT($C758)</formula1>
    </dataValidation>
    <dataValidation sqref="D759" showDropDown="0" showInputMessage="0" showErrorMessage="0" allowBlank="1" type="list">
      <formula1>INDIRECT("ST_"&amp;$C759)</formula1>
    </dataValidation>
    <dataValidation sqref="E759" showDropDown="0" showInputMessage="0" showErrorMessage="0" allowBlank="1" type="list">
      <formula1>INDIRECT($C759)</formula1>
    </dataValidation>
    <dataValidation sqref="D760" showDropDown="0" showInputMessage="0" showErrorMessage="0" allowBlank="1" type="list">
      <formula1>INDIRECT("ST_"&amp;$C760)</formula1>
    </dataValidation>
    <dataValidation sqref="E760" showDropDown="0" showInputMessage="0" showErrorMessage="0" allowBlank="1" type="list">
      <formula1>INDIRECT($C760)</formula1>
    </dataValidation>
    <dataValidation sqref="D761" showDropDown="0" showInputMessage="0" showErrorMessage="0" allowBlank="1" type="list">
      <formula1>INDIRECT("ST_"&amp;$C761)</formula1>
    </dataValidation>
    <dataValidation sqref="E761" showDropDown="0" showInputMessage="0" showErrorMessage="0" allowBlank="1" type="list">
      <formula1>INDIRECT($C761)</formula1>
    </dataValidation>
    <dataValidation sqref="D762" showDropDown="0" showInputMessage="0" showErrorMessage="0" allowBlank="1" type="list">
      <formula1>INDIRECT("ST_"&amp;$C762)</formula1>
    </dataValidation>
    <dataValidation sqref="E762" showDropDown="0" showInputMessage="0" showErrorMessage="0" allowBlank="1" type="list">
      <formula1>INDIRECT($C762)</formula1>
    </dataValidation>
    <dataValidation sqref="D763" showDropDown="0" showInputMessage="0" showErrorMessage="0" allowBlank="1" type="list">
      <formula1>INDIRECT("ST_"&amp;$C763)</formula1>
    </dataValidation>
    <dataValidation sqref="E763" showDropDown="0" showInputMessage="0" showErrorMessage="0" allowBlank="1" type="list">
      <formula1>INDIRECT($C763)</formula1>
    </dataValidation>
    <dataValidation sqref="D764" showDropDown="0" showInputMessage="0" showErrorMessage="0" allowBlank="1" type="list">
      <formula1>INDIRECT("ST_"&amp;$C764)</formula1>
    </dataValidation>
    <dataValidation sqref="E764" showDropDown="0" showInputMessage="0" showErrorMessage="0" allowBlank="1" type="list">
      <formula1>INDIRECT($C764)</formula1>
    </dataValidation>
    <dataValidation sqref="D765" showDropDown="0" showInputMessage="0" showErrorMessage="0" allowBlank="1" type="list">
      <formula1>INDIRECT("ST_"&amp;$C765)</formula1>
    </dataValidation>
    <dataValidation sqref="E765" showDropDown="0" showInputMessage="0" showErrorMessage="0" allowBlank="1" type="list">
      <formula1>INDIRECT($C765)</formula1>
    </dataValidation>
    <dataValidation sqref="D766" showDropDown="0" showInputMessage="0" showErrorMessage="0" allowBlank="1" type="list">
      <formula1>INDIRECT("ST_"&amp;$C766)</formula1>
    </dataValidation>
    <dataValidation sqref="E766" showDropDown="0" showInputMessage="0" showErrorMessage="0" allowBlank="1" type="list">
      <formula1>INDIRECT($C766)</formula1>
    </dataValidation>
    <dataValidation sqref="D767" showDropDown="0" showInputMessage="0" showErrorMessage="0" allowBlank="1" type="list">
      <formula1>INDIRECT("ST_"&amp;$C767)</formula1>
    </dataValidation>
    <dataValidation sqref="E767" showDropDown="0" showInputMessage="0" showErrorMessage="0" allowBlank="1" type="list">
      <formula1>INDIRECT($C767)</formula1>
    </dataValidation>
    <dataValidation sqref="D768" showDropDown="0" showInputMessage="0" showErrorMessage="0" allowBlank="1" type="list">
      <formula1>INDIRECT("ST_"&amp;$C768)</formula1>
    </dataValidation>
    <dataValidation sqref="E768" showDropDown="0" showInputMessage="0" showErrorMessage="0" allowBlank="1" type="list">
      <formula1>INDIRECT($C768)</formula1>
    </dataValidation>
    <dataValidation sqref="D769" showDropDown="0" showInputMessage="0" showErrorMessage="0" allowBlank="1" type="list">
      <formula1>INDIRECT("ST_"&amp;$C769)</formula1>
    </dataValidation>
    <dataValidation sqref="E769" showDropDown="0" showInputMessage="0" showErrorMessage="0" allowBlank="1" type="list">
      <formula1>INDIRECT($C769)</formula1>
    </dataValidation>
    <dataValidation sqref="D770" showDropDown="0" showInputMessage="0" showErrorMessage="0" allowBlank="1" type="list">
      <formula1>INDIRECT("ST_"&amp;$C770)</formula1>
    </dataValidation>
    <dataValidation sqref="E770" showDropDown="0" showInputMessage="0" showErrorMessage="0" allowBlank="1" type="list">
      <formula1>INDIRECT($C770)</formula1>
    </dataValidation>
    <dataValidation sqref="D771" showDropDown="0" showInputMessage="0" showErrorMessage="0" allowBlank="1" type="list">
      <formula1>INDIRECT("ST_"&amp;$C771)</formula1>
    </dataValidation>
    <dataValidation sqref="E771" showDropDown="0" showInputMessage="0" showErrorMessage="0" allowBlank="1" type="list">
      <formula1>INDIRECT($C771)</formula1>
    </dataValidation>
    <dataValidation sqref="D772" showDropDown="0" showInputMessage="0" showErrorMessage="0" allowBlank="1" type="list">
      <formula1>INDIRECT("ST_"&amp;$C772)</formula1>
    </dataValidation>
    <dataValidation sqref="E772" showDropDown="0" showInputMessage="0" showErrorMessage="0" allowBlank="1" type="list">
      <formula1>INDIRECT($C772)</formula1>
    </dataValidation>
    <dataValidation sqref="D773" showDropDown="0" showInputMessage="0" showErrorMessage="0" allowBlank="1" type="list">
      <formula1>INDIRECT("ST_"&amp;$C773)</formula1>
    </dataValidation>
    <dataValidation sqref="E773" showDropDown="0" showInputMessage="0" showErrorMessage="0" allowBlank="1" type="list">
      <formula1>INDIRECT($C773)</formula1>
    </dataValidation>
    <dataValidation sqref="D774" showDropDown="0" showInputMessage="0" showErrorMessage="0" allowBlank="1" type="list">
      <formula1>INDIRECT("ST_"&amp;$C774)</formula1>
    </dataValidation>
    <dataValidation sqref="E774" showDropDown="0" showInputMessage="0" showErrorMessage="0" allowBlank="1" type="list">
      <formula1>INDIRECT($C774)</formula1>
    </dataValidation>
    <dataValidation sqref="D775" showDropDown="0" showInputMessage="0" showErrorMessage="0" allowBlank="1" type="list">
      <formula1>INDIRECT("ST_"&amp;$C775)</formula1>
    </dataValidation>
    <dataValidation sqref="E775" showDropDown="0" showInputMessage="0" showErrorMessage="0" allowBlank="1" type="list">
      <formula1>INDIRECT($C775)</formula1>
    </dataValidation>
    <dataValidation sqref="D776" showDropDown="0" showInputMessage="0" showErrorMessage="0" allowBlank="1" type="list">
      <formula1>INDIRECT("ST_"&amp;$C776)</formula1>
    </dataValidation>
    <dataValidation sqref="E776" showDropDown="0" showInputMessage="0" showErrorMessage="0" allowBlank="1" type="list">
      <formula1>INDIRECT($C776)</formula1>
    </dataValidation>
    <dataValidation sqref="D777" showDropDown="0" showInputMessage="0" showErrorMessage="0" allowBlank="1" type="list">
      <formula1>INDIRECT("ST_"&amp;$C777)</formula1>
    </dataValidation>
    <dataValidation sqref="E777" showDropDown="0" showInputMessage="0" showErrorMessage="0" allowBlank="1" type="list">
      <formula1>INDIRECT($C777)</formula1>
    </dataValidation>
    <dataValidation sqref="D778" showDropDown="0" showInputMessage="0" showErrorMessage="0" allowBlank="1" type="list">
      <formula1>INDIRECT("ST_"&amp;$C778)</formula1>
    </dataValidation>
    <dataValidation sqref="E778" showDropDown="0" showInputMessage="0" showErrorMessage="0" allowBlank="1" type="list">
      <formula1>INDIRECT($C778)</formula1>
    </dataValidation>
    <dataValidation sqref="D779" showDropDown="0" showInputMessage="0" showErrorMessage="0" allowBlank="1" type="list">
      <formula1>INDIRECT("ST_"&amp;$C779)</formula1>
    </dataValidation>
    <dataValidation sqref="E779" showDropDown="0" showInputMessage="0" showErrorMessage="0" allowBlank="1" type="list">
      <formula1>INDIRECT($C779)</formula1>
    </dataValidation>
    <dataValidation sqref="D780" showDropDown="0" showInputMessage="0" showErrorMessage="0" allowBlank="1" type="list">
      <formula1>INDIRECT("ST_"&amp;$C780)</formula1>
    </dataValidation>
    <dataValidation sqref="E780" showDropDown="0" showInputMessage="0" showErrorMessage="0" allowBlank="1" type="list">
      <formula1>INDIRECT($C780)</formula1>
    </dataValidation>
    <dataValidation sqref="D781" showDropDown="0" showInputMessage="0" showErrorMessage="0" allowBlank="1" type="list">
      <formula1>INDIRECT("ST_"&amp;$C781)</formula1>
    </dataValidation>
    <dataValidation sqref="E781" showDropDown="0" showInputMessage="0" showErrorMessage="0" allowBlank="1" type="list">
      <formula1>INDIRECT($C781)</formula1>
    </dataValidation>
    <dataValidation sqref="D782" showDropDown="0" showInputMessage="0" showErrorMessage="0" allowBlank="1" type="list">
      <formula1>INDIRECT("ST_"&amp;$C782)</formula1>
    </dataValidation>
    <dataValidation sqref="E782" showDropDown="0" showInputMessage="0" showErrorMessage="0" allowBlank="1" type="list">
      <formula1>INDIRECT($C782)</formula1>
    </dataValidation>
    <dataValidation sqref="D783" showDropDown="0" showInputMessage="0" showErrorMessage="0" allowBlank="1" type="list">
      <formula1>INDIRECT("ST_"&amp;$C783)</formula1>
    </dataValidation>
    <dataValidation sqref="E783" showDropDown="0" showInputMessage="0" showErrorMessage="0" allowBlank="1" type="list">
      <formula1>INDIRECT($C783)</formula1>
    </dataValidation>
    <dataValidation sqref="D784" showDropDown="0" showInputMessage="0" showErrorMessage="0" allowBlank="1" type="list">
      <formula1>INDIRECT("ST_"&amp;$C784)</formula1>
    </dataValidation>
    <dataValidation sqref="E784" showDropDown="0" showInputMessage="0" showErrorMessage="0" allowBlank="1" type="list">
      <formula1>INDIRECT($C784)</formula1>
    </dataValidation>
    <dataValidation sqref="D785" showDropDown="0" showInputMessage="0" showErrorMessage="0" allowBlank="1" type="list">
      <formula1>INDIRECT("ST_"&amp;$C785)</formula1>
    </dataValidation>
    <dataValidation sqref="E785" showDropDown="0" showInputMessage="0" showErrorMessage="0" allowBlank="1" type="list">
      <formula1>INDIRECT($C785)</formula1>
    </dataValidation>
    <dataValidation sqref="D786" showDropDown="0" showInputMessage="0" showErrorMessage="0" allowBlank="1" type="list">
      <formula1>INDIRECT("ST_"&amp;$C786)</formula1>
    </dataValidation>
    <dataValidation sqref="E786" showDropDown="0" showInputMessage="0" showErrorMessage="0" allowBlank="1" type="list">
      <formula1>INDIRECT($C786)</formula1>
    </dataValidation>
    <dataValidation sqref="D787" showDropDown="0" showInputMessage="0" showErrorMessage="0" allowBlank="1" type="list">
      <formula1>INDIRECT("ST_"&amp;$C787)</formula1>
    </dataValidation>
    <dataValidation sqref="E787" showDropDown="0" showInputMessage="0" showErrorMessage="0" allowBlank="1" type="list">
      <formula1>INDIRECT($C787)</formula1>
    </dataValidation>
    <dataValidation sqref="D788" showDropDown="0" showInputMessage="0" showErrorMessage="0" allowBlank="1" type="list">
      <formula1>INDIRECT("ST_"&amp;$C788)</formula1>
    </dataValidation>
    <dataValidation sqref="E788" showDropDown="0" showInputMessage="0" showErrorMessage="0" allowBlank="1" type="list">
      <formula1>INDIRECT($C788)</formula1>
    </dataValidation>
    <dataValidation sqref="D789" showDropDown="0" showInputMessage="0" showErrorMessage="0" allowBlank="1" type="list">
      <formula1>INDIRECT("ST_"&amp;$C789)</formula1>
    </dataValidation>
    <dataValidation sqref="E789" showDropDown="0" showInputMessage="0" showErrorMessage="0" allowBlank="1" type="list">
      <formula1>INDIRECT($C789)</formula1>
    </dataValidation>
    <dataValidation sqref="D790" showDropDown="0" showInputMessage="0" showErrorMessage="0" allowBlank="1" type="list">
      <formula1>INDIRECT("ST_"&amp;$C790)</formula1>
    </dataValidation>
    <dataValidation sqref="E790" showDropDown="0" showInputMessage="0" showErrorMessage="0" allowBlank="1" type="list">
      <formula1>INDIRECT($C790)</formula1>
    </dataValidation>
    <dataValidation sqref="D791" showDropDown="0" showInputMessage="0" showErrorMessage="0" allowBlank="1" type="list">
      <formula1>INDIRECT("ST_"&amp;$C791)</formula1>
    </dataValidation>
    <dataValidation sqref="E791" showDropDown="0" showInputMessage="0" showErrorMessage="0" allowBlank="1" type="list">
      <formula1>INDIRECT($C791)</formula1>
    </dataValidation>
    <dataValidation sqref="D792" showDropDown="0" showInputMessage="0" showErrorMessage="0" allowBlank="1" type="list">
      <formula1>INDIRECT("ST_"&amp;$C792)</formula1>
    </dataValidation>
    <dataValidation sqref="E792" showDropDown="0" showInputMessage="0" showErrorMessage="0" allowBlank="1" type="list">
      <formula1>INDIRECT($C792)</formula1>
    </dataValidation>
    <dataValidation sqref="D793" showDropDown="0" showInputMessage="0" showErrorMessage="0" allowBlank="1" type="list">
      <formula1>INDIRECT("ST_"&amp;$C793)</formula1>
    </dataValidation>
    <dataValidation sqref="E793" showDropDown="0" showInputMessage="0" showErrorMessage="0" allowBlank="1" type="list">
      <formula1>INDIRECT($C793)</formula1>
    </dataValidation>
    <dataValidation sqref="D794" showDropDown="0" showInputMessage="0" showErrorMessage="0" allowBlank="1" type="list">
      <formula1>INDIRECT("ST_"&amp;$C794)</formula1>
    </dataValidation>
    <dataValidation sqref="E794" showDropDown="0" showInputMessage="0" showErrorMessage="0" allowBlank="1" type="list">
      <formula1>INDIRECT($C794)</formula1>
    </dataValidation>
    <dataValidation sqref="D795" showDropDown="0" showInputMessage="0" showErrorMessage="0" allowBlank="1" type="list">
      <formula1>INDIRECT("ST_"&amp;$C795)</formula1>
    </dataValidation>
    <dataValidation sqref="E795" showDropDown="0" showInputMessage="0" showErrorMessage="0" allowBlank="1" type="list">
      <formula1>INDIRECT($C795)</formula1>
    </dataValidation>
    <dataValidation sqref="D796" showDropDown="0" showInputMessage="0" showErrorMessage="0" allowBlank="1" type="list">
      <formula1>INDIRECT("ST_"&amp;$C796)</formula1>
    </dataValidation>
    <dataValidation sqref="E796" showDropDown="0" showInputMessage="0" showErrorMessage="0" allowBlank="1" type="list">
      <formula1>INDIRECT($C796)</formula1>
    </dataValidation>
    <dataValidation sqref="D797" showDropDown="0" showInputMessage="0" showErrorMessage="0" allowBlank="1" type="list">
      <formula1>INDIRECT("ST_"&amp;$C797)</formula1>
    </dataValidation>
    <dataValidation sqref="E797" showDropDown="0" showInputMessage="0" showErrorMessage="0" allowBlank="1" type="list">
      <formula1>INDIRECT($C797)</formula1>
    </dataValidation>
    <dataValidation sqref="D798" showDropDown="0" showInputMessage="0" showErrorMessage="0" allowBlank="1" type="list">
      <formula1>INDIRECT("ST_"&amp;$C798)</formula1>
    </dataValidation>
    <dataValidation sqref="E798" showDropDown="0" showInputMessage="0" showErrorMessage="0" allowBlank="1" type="list">
      <formula1>INDIRECT($C798)</formula1>
    </dataValidation>
    <dataValidation sqref="D799" showDropDown="0" showInputMessage="0" showErrorMessage="0" allowBlank="1" type="list">
      <formula1>INDIRECT("ST_"&amp;$C799)</formula1>
    </dataValidation>
    <dataValidation sqref="E799" showDropDown="0" showInputMessage="0" showErrorMessage="0" allowBlank="1" type="list">
      <formula1>INDIRECT($C799)</formula1>
    </dataValidation>
    <dataValidation sqref="D800" showDropDown="0" showInputMessage="0" showErrorMessage="0" allowBlank="1" type="list">
      <formula1>INDIRECT("ST_"&amp;$C800)</formula1>
    </dataValidation>
    <dataValidation sqref="E800" showDropDown="0" showInputMessage="0" showErrorMessage="0" allowBlank="1" type="list">
      <formula1>INDIRECT($C800)</formula1>
    </dataValidation>
    <dataValidation sqref="D801" showDropDown="0" showInputMessage="0" showErrorMessage="0" allowBlank="1" type="list">
      <formula1>INDIRECT("ST_"&amp;$C801)</formula1>
    </dataValidation>
    <dataValidation sqref="E801" showDropDown="0" showInputMessage="0" showErrorMessage="0" allowBlank="1" type="list">
      <formula1>INDIRECT($C801)</formula1>
    </dataValidation>
    <dataValidation sqref="D802" showDropDown="0" showInputMessage="0" showErrorMessage="0" allowBlank="1" type="list">
      <formula1>INDIRECT("ST_"&amp;$C802)</formula1>
    </dataValidation>
    <dataValidation sqref="E802" showDropDown="0" showInputMessage="0" showErrorMessage="0" allowBlank="1" type="list">
      <formula1>INDIRECT($C802)</formula1>
    </dataValidation>
    <dataValidation sqref="D803" showDropDown="0" showInputMessage="0" showErrorMessage="0" allowBlank="1" type="list">
      <formula1>INDIRECT("ST_"&amp;$C803)</formula1>
    </dataValidation>
    <dataValidation sqref="E803" showDropDown="0" showInputMessage="0" showErrorMessage="0" allowBlank="1" type="list">
      <formula1>INDIRECT($C803)</formula1>
    </dataValidation>
    <dataValidation sqref="D804" showDropDown="0" showInputMessage="0" showErrorMessage="0" allowBlank="1" type="list">
      <formula1>INDIRECT("ST_"&amp;$C804)</formula1>
    </dataValidation>
    <dataValidation sqref="E804" showDropDown="0" showInputMessage="0" showErrorMessage="0" allowBlank="1" type="list">
      <formula1>INDIRECT($C804)</formula1>
    </dataValidation>
    <dataValidation sqref="D805" showDropDown="0" showInputMessage="0" showErrorMessage="0" allowBlank="1" type="list">
      <formula1>INDIRECT("ST_"&amp;$C805)</formula1>
    </dataValidation>
    <dataValidation sqref="E805" showDropDown="0" showInputMessage="0" showErrorMessage="0" allowBlank="1" type="list">
      <formula1>INDIRECT($C805)</formula1>
    </dataValidation>
    <dataValidation sqref="D806" showDropDown="0" showInputMessage="0" showErrorMessage="0" allowBlank="1" type="list">
      <formula1>INDIRECT("ST_"&amp;$C806)</formula1>
    </dataValidation>
    <dataValidation sqref="E806" showDropDown="0" showInputMessage="0" showErrorMessage="0" allowBlank="1" type="list">
      <formula1>INDIRECT($C806)</formula1>
    </dataValidation>
    <dataValidation sqref="D807" showDropDown="0" showInputMessage="0" showErrorMessage="0" allowBlank="1" type="list">
      <formula1>INDIRECT("ST_"&amp;$C807)</formula1>
    </dataValidation>
    <dataValidation sqref="E807" showDropDown="0" showInputMessage="0" showErrorMessage="0" allowBlank="1" type="list">
      <formula1>INDIRECT($C807)</formula1>
    </dataValidation>
    <dataValidation sqref="D808" showDropDown="0" showInputMessage="0" showErrorMessage="0" allowBlank="1" type="list">
      <formula1>INDIRECT("ST_"&amp;$C808)</formula1>
    </dataValidation>
    <dataValidation sqref="E808" showDropDown="0" showInputMessage="0" showErrorMessage="0" allowBlank="1" type="list">
      <formula1>INDIRECT($C808)</formula1>
    </dataValidation>
    <dataValidation sqref="D809" showDropDown="0" showInputMessage="0" showErrorMessage="0" allowBlank="1" type="list">
      <formula1>INDIRECT("ST_"&amp;$C809)</formula1>
    </dataValidation>
    <dataValidation sqref="E809" showDropDown="0" showInputMessage="0" showErrorMessage="0" allowBlank="1" type="list">
      <formula1>INDIRECT($C809)</formula1>
    </dataValidation>
    <dataValidation sqref="D810" showDropDown="0" showInputMessage="0" showErrorMessage="0" allowBlank="1" type="list">
      <formula1>INDIRECT("ST_"&amp;$C810)</formula1>
    </dataValidation>
    <dataValidation sqref="E810" showDropDown="0" showInputMessage="0" showErrorMessage="0" allowBlank="1" type="list">
      <formula1>INDIRECT($C810)</formula1>
    </dataValidation>
    <dataValidation sqref="D811" showDropDown="0" showInputMessage="0" showErrorMessage="0" allowBlank="1" type="list">
      <formula1>INDIRECT("ST_"&amp;$C811)</formula1>
    </dataValidation>
    <dataValidation sqref="E811" showDropDown="0" showInputMessage="0" showErrorMessage="0" allowBlank="1" type="list">
      <formula1>INDIRECT($C811)</formula1>
    </dataValidation>
    <dataValidation sqref="D812" showDropDown="0" showInputMessage="0" showErrorMessage="0" allowBlank="1" type="list">
      <formula1>INDIRECT("ST_"&amp;$C812)</formula1>
    </dataValidation>
    <dataValidation sqref="E812" showDropDown="0" showInputMessage="0" showErrorMessage="0" allowBlank="1" type="list">
      <formula1>INDIRECT($C812)</formula1>
    </dataValidation>
    <dataValidation sqref="D813" showDropDown="0" showInputMessage="0" showErrorMessage="0" allowBlank="1" type="list">
      <formula1>INDIRECT("ST_"&amp;$C813)</formula1>
    </dataValidation>
    <dataValidation sqref="E813" showDropDown="0" showInputMessage="0" showErrorMessage="0" allowBlank="1" type="list">
      <formula1>INDIRECT($C813)</formula1>
    </dataValidation>
    <dataValidation sqref="D814" showDropDown="0" showInputMessage="0" showErrorMessage="0" allowBlank="1" type="list">
      <formula1>INDIRECT("ST_"&amp;$C814)</formula1>
    </dataValidation>
    <dataValidation sqref="E814" showDropDown="0" showInputMessage="0" showErrorMessage="0" allowBlank="1" type="list">
      <formula1>INDIRECT($C814)</formula1>
    </dataValidation>
    <dataValidation sqref="D815" showDropDown="0" showInputMessage="0" showErrorMessage="0" allowBlank="1" type="list">
      <formula1>INDIRECT("ST_"&amp;$C815)</formula1>
    </dataValidation>
    <dataValidation sqref="E815" showDropDown="0" showInputMessage="0" showErrorMessage="0" allowBlank="1" type="list">
      <formula1>INDIRECT($C815)</formula1>
    </dataValidation>
    <dataValidation sqref="D816" showDropDown="0" showInputMessage="0" showErrorMessage="0" allowBlank="1" type="list">
      <formula1>INDIRECT("ST_"&amp;$C816)</formula1>
    </dataValidation>
    <dataValidation sqref="E816" showDropDown="0" showInputMessage="0" showErrorMessage="0" allowBlank="1" type="list">
      <formula1>INDIRECT($C816)</formula1>
    </dataValidation>
    <dataValidation sqref="D817" showDropDown="0" showInputMessage="0" showErrorMessage="0" allowBlank="1" type="list">
      <formula1>INDIRECT("ST_"&amp;$C817)</formula1>
    </dataValidation>
    <dataValidation sqref="E817" showDropDown="0" showInputMessage="0" showErrorMessage="0" allowBlank="1" type="list">
      <formula1>INDIRECT($C817)</formula1>
    </dataValidation>
    <dataValidation sqref="D818" showDropDown="0" showInputMessage="0" showErrorMessage="0" allowBlank="1" type="list">
      <formula1>INDIRECT("ST_"&amp;$C818)</formula1>
    </dataValidation>
    <dataValidation sqref="E818" showDropDown="0" showInputMessage="0" showErrorMessage="0" allowBlank="1" type="list">
      <formula1>INDIRECT($C818)</formula1>
    </dataValidation>
    <dataValidation sqref="D819" showDropDown="0" showInputMessage="0" showErrorMessage="0" allowBlank="1" type="list">
      <formula1>INDIRECT("ST_"&amp;$C819)</formula1>
    </dataValidation>
    <dataValidation sqref="E819" showDropDown="0" showInputMessage="0" showErrorMessage="0" allowBlank="1" type="list">
      <formula1>INDIRECT($C819)</formula1>
    </dataValidation>
    <dataValidation sqref="D820" showDropDown="0" showInputMessage="0" showErrorMessage="0" allowBlank="1" type="list">
      <formula1>INDIRECT("ST_"&amp;$C820)</formula1>
    </dataValidation>
    <dataValidation sqref="E820" showDropDown="0" showInputMessage="0" showErrorMessage="0" allowBlank="1" type="list">
      <formula1>INDIRECT($C820)</formula1>
    </dataValidation>
    <dataValidation sqref="D821" showDropDown="0" showInputMessage="0" showErrorMessage="0" allowBlank="1" type="list">
      <formula1>INDIRECT("ST_"&amp;$C821)</formula1>
    </dataValidation>
    <dataValidation sqref="E821" showDropDown="0" showInputMessage="0" showErrorMessage="0" allowBlank="1" type="list">
      <formula1>INDIRECT($C821)</formula1>
    </dataValidation>
    <dataValidation sqref="D822" showDropDown="0" showInputMessage="0" showErrorMessage="0" allowBlank="1" type="list">
      <formula1>INDIRECT("ST_"&amp;$C822)</formula1>
    </dataValidation>
    <dataValidation sqref="E822" showDropDown="0" showInputMessage="0" showErrorMessage="0" allowBlank="1" type="list">
      <formula1>INDIRECT($C822)</formula1>
    </dataValidation>
    <dataValidation sqref="D823" showDropDown="0" showInputMessage="0" showErrorMessage="0" allowBlank="1" type="list">
      <formula1>INDIRECT("ST_"&amp;$C823)</formula1>
    </dataValidation>
    <dataValidation sqref="E823" showDropDown="0" showInputMessage="0" showErrorMessage="0" allowBlank="1" type="list">
      <formula1>INDIRECT($C823)</formula1>
    </dataValidation>
    <dataValidation sqref="D824" showDropDown="0" showInputMessage="0" showErrorMessage="0" allowBlank="1" type="list">
      <formula1>INDIRECT("ST_"&amp;$C824)</formula1>
    </dataValidation>
    <dataValidation sqref="E824" showDropDown="0" showInputMessage="0" showErrorMessage="0" allowBlank="1" type="list">
      <formula1>INDIRECT($C824)</formula1>
    </dataValidation>
    <dataValidation sqref="D825" showDropDown="0" showInputMessage="0" showErrorMessage="0" allowBlank="1" type="list">
      <formula1>INDIRECT("ST_"&amp;$C825)</formula1>
    </dataValidation>
    <dataValidation sqref="E825" showDropDown="0" showInputMessage="0" showErrorMessage="0" allowBlank="1" type="list">
      <formula1>INDIRECT($C825)</formula1>
    </dataValidation>
    <dataValidation sqref="D826" showDropDown="0" showInputMessage="0" showErrorMessage="0" allowBlank="1" type="list">
      <formula1>INDIRECT("ST_"&amp;$C826)</formula1>
    </dataValidation>
    <dataValidation sqref="E826" showDropDown="0" showInputMessage="0" showErrorMessage="0" allowBlank="1" type="list">
      <formula1>INDIRECT($C826)</formula1>
    </dataValidation>
    <dataValidation sqref="D827" showDropDown="0" showInputMessage="0" showErrorMessage="0" allowBlank="1" type="list">
      <formula1>INDIRECT("ST_"&amp;$C827)</formula1>
    </dataValidation>
    <dataValidation sqref="E827" showDropDown="0" showInputMessage="0" showErrorMessage="0" allowBlank="1" type="list">
      <formula1>INDIRECT($C827)</formula1>
    </dataValidation>
    <dataValidation sqref="D828" showDropDown="0" showInputMessage="0" showErrorMessage="0" allowBlank="1" type="list">
      <formula1>INDIRECT("ST_"&amp;$C828)</formula1>
    </dataValidation>
    <dataValidation sqref="E828" showDropDown="0" showInputMessage="0" showErrorMessage="0" allowBlank="1" type="list">
      <formula1>INDIRECT($C828)</formula1>
    </dataValidation>
    <dataValidation sqref="D829" showDropDown="0" showInputMessage="0" showErrorMessage="0" allowBlank="1" type="list">
      <formula1>INDIRECT("ST_"&amp;$C829)</formula1>
    </dataValidation>
    <dataValidation sqref="E829" showDropDown="0" showInputMessage="0" showErrorMessage="0" allowBlank="1" type="list">
      <formula1>INDIRECT($C829)</formula1>
    </dataValidation>
    <dataValidation sqref="D830" showDropDown="0" showInputMessage="0" showErrorMessage="0" allowBlank="1" type="list">
      <formula1>INDIRECT("ST_"&amp;$C830)</formula1>
    </dataValidation>
    <dataValidation sqref="E830" showDropDown="0" showInputMessage="0" showErrorMessage="0" allowBlank="1" type="list">
      <formula1>INDIRECT($C830)</formula1>
    </dataValidation>
    <dataValidation sqref="D831" showDropDown="0" showInputMessage="0" showErrorMessage="0" allowBlank="1" type="list">
      <formula1>INDIRECT("ST_"&amp;$C831)</formula1>
    </dataValidation>
    <dataValidation sqref="E831" showDropDown="0" showInputMessage="0" showErrorMessage="0" allowBlank="1" type="list">
      <formula1>INDIRECT($C831)</formula1>
    </dataValidation>
    <dataValidation sqref="D832" showDropDown="0" showInputMessage="0" showErrorMessage="0" allowBlank="1" type="list">
      <formula1>INDIRECT("ST_"&amp;$C832)</formula1>
    </dataValidation>
    <dataValidation sqref="E832" showDropDown="0" showInputMessage="0" showErrorMessage="0" allowBlank="1" type="list">
      <formula1>INDIRECT($C832)</formula1>
    </dataValidation>
    <dataValidation sqref="D833" showDropDown="0" showInputMessage="0" showErrorMessage="0" allowBlank="1" type="list">
      <formula1>INDIRECT("ST_"&amp;$C833)</formula1>
    </dataValidation>
    <dataValidation sqref="E833" showDropDown="0" showInputMessage="0" showErrorMessage="0" allowBlank="1" type="list">
      <formula1>INDIRECT($C833)</formula1>
    </dataValidation>
    <dataValidation sqref="D834" showDropDown="0" showInputMessage="0" showErrorMessage="0" allowBlank="1" type="list">
      <formula1>INDIRECT("ST_"&amp;$C834)</formula1>
    </dataValidation>
    <dataValidation sqref="E834" showDropDown="0" showInputMessage="0" showErrorMessage="0" allowBlank="1" type="list">
      <formula1>INDIRECT($C834)</formula1>
    </dataValidation>
    <dataValidation sqref="D835" showDropDown="0" showInputMessage="0" showErrorMessage="0" allowBlank="1" type="list">
      <formula1>INDIRECT("ST_"&amp;$C835)</formula1>
    </dataValidation>
    <dataValidation sqref="E835" showDropDown="0" showInputMessage="0" showErrorMessage="0" allowBlank="1" type="list">
      <formula1>INDIRECT($C835)</formula1>
    </dataValidation>
    <dataValidation sqref="D836" showDropDown="0" showInputMessage="0" showErrorMessage="0" allowBlank="1" type="list">
      <formula1>INDIRECT("ST_"&amp;$C836)</formula1>
    </dataValidation>
    <dataValidation sqref="E836" showDropDown="0" showInputMessage="0" showErrorMessage="0" allowBlank="1" type="list">
      <formula1>INDIRECT($C836)</formula1>
    </dataValidation>
    <dataValidation sqref="D837" showDropDown="0" showInputMessage="0" showErrorMessage="0" allowBlank="1" type="list">
      <formula1>INDIRECT("ST_"&amp;$C837)</formula1>
    </dataValidation>
    <dataValidation sqref="E837" showDropDown="0" showInputMessage="0" showErrorMessage="0" allowBlank="1" type="list">
      <formula1>INDIRECT($C837)</formula1>
    </dataValidation>
    <dataValidation sqref="D838" showDropDown="0" showInputMessage="0" showErrorMessage="0" allowBlank="1" type="list">
      <formula1>INDIRECT("ST_"&amp;$C838)</formula1>
    </dataValidation>
    <dataValidation sqref="E838" showDropDown="0" showInputMessage="0" showErrorMessage="0" allowBlank="1" type="list">
      <formula1>INDIRECT($C838)</formula1>
    </dataValidation>
    <dataValidation sqref="D839" showDropDown="0" showInputMessage="0" showErrorMessage="0" allowBlank="1" type="list">
      <formula1>INDIRECT("ST_"&amp;$C839)</formula1>
    </dataValidation>
    <dataValidation sqref="E839" showDropDown="0" showInputMessage="0" showErrorMessage="0" allowBlank="1" type="list">
      <formula1>INDIRECT($C839)</formula1>
    </dataValidation>
    <dataValidation sqref="D840" showDropDown="0" showInputMessage="0" showErrorMessage="0" allowBlank="1" type="list">
      <formula1>INDIRECT("ST_"&amp;$C840)</formula1>
    </dataValidation>
    <dataValidation sqref="E840" showDropDown="0" showInputMessage="0" showErrorMessage="0" allowBlank="1" type="list">
      <formula1>INDIRECT($C840)</formula1>
    </dataValidation>
    <dataValidation sqref="D841" showDropDown="0" showInputMessage="0" showErrorMessage="0" allowBlank="1" type="list">
      <formula1>INDIRECT("ST_"&amp;$C841)</formula1>
    </dataValidation>
    <dataValidation sqref="E841" showDropDown="0" showInputMessage="0" showErrorMessage="0" allowBlank="1" type="list">
      <formula1>INDIRECT($C841)</formula1>
    </dataValidation>
    <dataValidation sqref="D842" showDropDown="0" showInputMessage="0" showErrorMessage="0" allowBlank="1" type="list">
      <formula1>INDIRECT("ST_"&amp;$C842)</formula1>
    </dataValidation>
    <dataValidation sqref="E842" showDropDown="0" showInputMessage="0" showErrorMessage="0" allowBlank="1" type="list">
      <formula1>INDIRECT($C842)</formula1>
    </dataValidation>
    <dataValidation sqref="D843" showDropDown="0" showInputMessage="0" showErrorMessage="0" allowBlank="1" type="list">
      <formula1>INDIRECT("ST_"&amp;$C843)</formula1>
    </dataValidation>
    <dataValidation sqref="E843" showDropDown="0" showInputMessage="0" showErrorMessage="0" allowBlank="1" type="list">
      <formula1>INDIRECT($C843)</formula1>
    </dataValidation>
    <dataValidation sqref="D844" showDropDown="0" showInputMessage="0" showErrorMessage="0" allowBlank="1" type="list">
      <formula1>INDIRECT("ST_"&amp;$C844)</formula1>
    </dataValidation>
    <dataValidation sqref="E844" showDropDown="0" showInputMessage="0" showErrorMessage="0" allowBlank="1" type="list">
      <formula1>INDIRECT($C844)</formula1>
    </dataValidation>
    <dataValidation sqref="D845" showDropDown="0" showInputMessage="0" showErrorMessage="0" allowBlank="1" type="list">
      <formula1>INDIRECT("ST_"&amp;$C845)</formula1>
    </dataValidation>
    <dataValidation sqref="E845" showDropDown="0" showInputMessage="0" showErrorMessage="0" allowBlank="1" type="list">
      <formula1>INDIRECT($C845)</formula1>
    </dataValidation>
    <dataValidation sqref="D846" showDropDown="0" showInputMessage="0" showErrorMessage="0" allowBlank="1" type="list">
      <formula1>INDIRECT("ST_"&amp;$C846)</formula1>
    </dataValidation>
    <dataValidation sqref="E846" showDropDown="0" showInputMessage="0" showErrorMessage="0" allowBlank="1" type="list">
      <formula1>INDIRECT($C846)</formula1>
    </dataValidation>
    <dataValidation sqref="D847" showDropDown="0" showInputMessage="0" showErrorMessage="0" allowBlank="1" type="list">
      <formula1>INDIRECT("ST_"&amp;$C847)</formula1>
    </dataValidation>
    <dataValidation sqref="E847" showDropDown="0" showInputMessage="0" showErrorMessage="0" allowBlank="1" type="list">
      <formula1>INDIRECT($C847)</formula1>
    </dataValidation>
    <dataValidation sqref="D848" showDropDown="0" showInputMessage="0" showErrorMessage="0" allowBlank="1" type="list">
      <formula1>INDIRECT("ST_"&amp;$C848)</formula1>
    </dataValidation>
    <dataValidation sqref="E848" showDropDown="0" showInputMessage="0" showErrorMessage="0" allowBlank="1" type="list">
      <formula1>INDIRECT($C848)</formula1>
    </dataValidation>
    <dataValidation sqref="D849" showDropDown="0" showInputMessage="0" showErrorMessage="0" allowBlank="1" type="list">
      <formula1>INDIRECT("ST_"&amp;$C849)</formula1>
    </dataValidation>
    <dataValidation sqref="E849" showDropDown="0" showInputMessage="0" showErrorMessage="0" allowBlank="1" type="list">
      <formula1>INDIRECT($C849)</formula1>
    </dataValidation>
    <dataValidation sqref="D850" showDropDown="0" showInputMessage="0" showErrorMessage="0" allowBlank="1" type="list">
      <formula1>INDIRECT("ST_"&amp;$C850)</formula1>
    </dataValidation>
    <dataValidation sqref="E850" showDropDown="0" showInputMessage="0" showErrorMessage="0" allowBlank="1" type="list">
      <formula1>INDIRECT($C850)</formula1>
    </dataValidation>
    <dataValidation sqref="D851" showDropDown="0" showInputMessage="0" showErrorMessage="0" allowBlank="1" type="list">
      <formula1>INDIRECT("ST_"&amp;$C851)</formula1>
    </dataValidation>
    <dataValidation sqref="E851" showDropDown="0" showInputMessage="0" showErrorMessage="0" allowBlank="1" type="list">
      <formula1>INDIRECT($C851)</formula1>
    </dataValidation>
    <dataValidation sqref="D852" showDropDown="0" showInputMessage="0" showErrorMessage="0" allowBlank="1" type="list">
      <formula1>INDIRECT("ST_"&amp;$C852)</formula1>
    </dataValidation>
    <dataValidation sqref="E852" showDropDown="0" showInputMessage="0" showErrorMessage="0" allowBlank="1" type="list">
      <formula1>INDIRECT($C852)</formula1>
    </dataValidation>
    <dataValidation sqref="D853" showDropDown="0" showInputMessage="0" showErrorMessage="0" allowBlank="1" type="list">
      <formula1>INDIRECT("ST_"&amp;$C853)</formula1>
    </dataValidation>
    <dataValidation sqref="E853" showDropDown="0" showInputMessage="0" showErrorMessage="0" allowBlank="1" type="list">
      <formula1>INDIRECT($C853)</formula1>
    </dataValidation>
    <dataValidation sqref="D854" showDropDown="0" showInputMessage="0" showErrorMessage="0" allowBlank="1" type="list">
      <formula1>INDIRECT("ST_"&amp;$C854)</formula1>
    </dataValidation>
    <dataValidation sqref="E854" showDropDown="0" showInputMessage="0" showErrorMessage="0" allowBlank="1" type="list">
      <formula1>INDIRECT($C854)</formula1>
    </dataValidation>
    <dataValidation sqref="D855" showDropDown="0" showInputMessage="0" showErrorMessage="0" allowBlank="1" type="list">
      <formula1>INDIRECT("ST_"&amp;$C855)</formula1>
    </dataValidation>
    <dataValidation sqref="E855" showDropDown="0" showInputMessage="0" showErrorMessage="0" allowBlank="1" type="list">
      <formula1>INDIRECT($C855)</formula1>
    </dataValidation>
    <dataValidation sqref="D856" showDropDown="0" showInputMessage="0" showErrorMessage="0" allowBlank="1" type="list">
      <formula1>INDIRECT("ST_"&amp;$C856)</formula1>
    </dataValidation>
    <dataValidation sqref="E856" showDropDown="0" showInputMessage="0" showErrorMessage="0" allowBlank="1" type="list">
      <formula1>INDIRECT($C856)</formula1>
    </dataValidation>
    <dataValidation sqref="D857" showDropDown="0" showInputMessage="0" showErrorMessage="0" allowBlank="1" type="list">
      <formula1>INDIRECT("ST_"&amp;$C857)</formula1>
    </dataValidation>
    <dataValidation sqref="E857" showDropDown="0" showInputMessage="0" showErrorMessage="0" allowBlank="1" type="list">
      <formula1>INDIRECT($C857)</formula1>
    </dataValidation>
    <dataValidation sqref="D858" showDropDown="0" showInputMessage="0" showErrorMessage="0" allowBlank="1" type="list">
      <formula1>INDIRECT("ST_"&amp;$C858)</formula1>
    </dataValidation>
    <dataValidation sqref="E858" showDropDown="0" showInputMessage="0" showErrorMessage="0" allowBlank="1" type="list">
      <formula1>INDIRECT($C858)</formula1>
    </dataValidation>
    <dataValidation sqref="D859" showDropDown="0" showInputMessage="0" showErrorMessage="0" allowBlank="1" type="list">
      <formula1>INDIRECT("ST_"&amp;$C859)</formula1>
    </dataValidation>
    <dataValidation sqref="E859" showDropDown="0" showInputMessage="0" showErrorMessage="0" allowBlank="1" type="list">
      <formula1>INDIRECT($C859)</formula1>
    </dataValidation>
    <dataValidation sqref="D860" showDropDown="0" showInputMessage="0" showErrorMessage="0" allowBlank="1" type="list">
      <formula1>INDIRECT("ST_"&amp;$C860)</formula1>
    </dataValidation>
    <dataValidation sqref="E860" showDropDown="0" showInputMessage="0" showErrorMessage="0" allowBlank="1" type="list">
      <formula1>INDIRECT($C860)</formula1>
    </dataValidation>
    <dataValidation sqref="D861" showDropDown="0" showInputMessage="0" showErrorMessage="0" allowBlank="1" type="list">
      <formula1>INDIRECT("ST_"&amp;$C861)</formula1>
    </dataValidation>
    <dataValidation sqref="E861" showDropDown="0" showInputMessage="0" showErrorMessage="0" allowBlank="1" type="list">
      <formula1>INDIRECT($C861)</formula1>
    </dataValidation>
    <dataValidation sqref="D862" showDropDown="0" showInputMessage="0" showErrorMessage="0" allowBlank="1" type="list">
      <formula1>INDIRECT("ST_"&amp;$C862)</formula1>
    </dataValidation>
    <dataValidation sqref="E862" showDropDown="0" showInputMessage="0" showErrorMessage="0" allowBlank="1" type="list">
      <formula1>INDIRECT($C862)</formula1>
    </dataValidation>
    <dataValidation sqref="D863" showDropDown="0" showInputMessage="0" showErrorMessage="0" allowBlank="1" type="list">
      <formula1>INDIRECT("ST_"&amp;$C863)</formula1>
    </dataValidation>
    <dataValidation sqref="E863" showDropDown="0" showInputMessage="0" showErrorMessage="0" allowBlank="1" type="list">
      <formula1>INDIRECT($C863)</formula1>
    </dataValidation>
    <dataValidation sqref="D864" showDropDown="0" showInputMessage="0" showErrorMessage="0" allowBlank="1" type="list">
      <formula1>INDIRECT("ST_"&amp;$C864)</formula1>
    </dataValidation>
    <dataValidation sqref="E864" showDropDown="0" showInputMessage="0" showErrorMessage="0" allowBlank="1" type="list">
      <formula1>INDIRECT($C864)</formula1>
    </dataValidation>
    <dataValidation sqref="D865" showDropDown="0" showInputMessage="0" showErrorMessage="0" allowBlank="1" type="list">
      <formula1>INDIRECT("ST_"&amp;$C865)</formula1>
    </dataValidation>
    <dataValidation sqref="E865" showDropDown="0" showInputMessage="0" showErrorMessage="0" allowBlank="1" type="list">
      <formula1>INDIRECT($C865)</formula1>
    </dataValidation>
    <dataValidation sqref="D866" showDropDown="0" showInputMessage="0" showErrorMessage="0" allowBlank="1" type="list">
      <formula1>INDIRECT("ST_"&amp;$C866)</formula1>
    </dataValidation>
    <dataValidation sqref="E866" showDropDown="0" showInputMessage="0" showErrorMessage="0" allowBlank="1" type="list">
      <formula1>INDIRECT($C866)</formula1>
    </dataValidation>
    <dataValidation sqref="D867" showDropDown="0" showInputMessage="0" showErrorMessage="0" allowBlank="1" type="list">
      <formula1>INDIRECT("ST_"&amp;$C867)</formula1>
    </dataValidation>
    <dataValidation sqref="E867" showDropDown="0" showInputMessage="0" showErrorMessage="0" allowBlank="1" type="list">
      <formula1>INDIRECT($C867)</formula1>
    </dataValidation>
    <dataValidation sqref="D868" showDropDown="0" showInputMessage="0" showErrorMessage="0" allowBlank="1" type="list">
      <formula1>INDIRECT("ST_"&amp;$C868)</formula1>
    </dataValidation>
    <dataValidation sqref="E868" showDropDown="0" showInputMessage="0" showErrorMessage="0" allowBlank="1" type="list">
      <formula1>INDIRECT($C868)</formula1>
    </dataValidation>
    <dataValidation sqref="D869" showDropDown="0" showInputMessage="0" showErrorMessage="0" allowBlank="1" type="list">
      <formula1>INDIRECT("ST_"&amp;$C869)</formula1>
    </dataValidation>
    <dataValidation sqref="E869" showDropDown="0" showInputMessage="0" showErrorMessage="0" allowBlank="1" type="list">
      <formula1>INDIRECT($C869)</formula1>
    </dataValidation>
    <dataValidation sqref="D870" showDropDown="0" showInputMessage="0" showErrorMessage="0" allowBlank="1" type="list">
      <formula1>INDIRECT("ST_"&amp;$C870)</formula1>
    </dataValidation>
    <dataValidation sqref="E870" showDropDown="0" showInputMessage="0" showErrorMessage="0" allowBlank="1" type="list">
      <formula1>INDIRECT($C870)</formula1>
    </dataValidation>
    <dataValidation sqref="D871" showDropDown="0" showInputMessage="0" showErrorMessage="0" allowBlank="1" type="list">
      <formula1>INDIRECT("ST_"&amp;$C871)</formula1>
    </dataValidation>
    <dataValidation sqref="E871" showDropDown="0" showInputMessage="0" showErrorMessage="0" allowBlank="1" type="list">
      <formula1>INDIRECT($C871)</formula1>
    </dataValidation>
    <dataValidation sqref="D872" showDropDown="0" showInputMessage="0" showErrorMessage="0" allowBlank="1" type="list">
      <formula1>INDIRECT("ST_"&amp;$C872)</formula1>
    </dataValidation>
    <dataValidation sqref="E872" showDropDown="0" showInputMessage="0" showErrorMessage="0" allowBlank="1" type="list">
      <formula1>INDIRECT($C872)</formula1>
    </dataValidation>
    <dataValidation sqref="D873" showDropDown="0" showInputMessage="0" showErrorMessage="0" allowBlank="1" type="list">
      <formula1>INDIRECT("ST_"&amp;$C873)</formula1>
    </dataValidation>
    <dataValidation sqref="E873" showDropDown="0" showInputMessage="0" showErrorMessage="0" allowBlank="1" type="list">
      <formula1>INDIRECT($C873)</formula1>
    </dataValidation>
    <dataValidation sqref="D874" showDropDown="0" showInputMessage="0" showErrorMessage="0" allowBlank="1" type="list">
      <formula1>INDIRECT("ST_"&amp;$C874)</formula1>
    </dataValidation>
    <dataValidation sqref="E874" showDropDown="0" showInputMessage="0" showErrorMessage="0" allowBlank="1" type="list">
      <formula1>INDIRECT($C874)</formula1>
    </dataValidation>
    <dataValidation sqref="D875" showDropDown="0" showInputMessage="0" showErrorMessage="0" allowBlank="1" type="list">
      <formula1>INDIRECT("ST_"&amp;$C875)</formula1>
    </dataValidation>
    <dataValidation sqref="E875" showDropDown="0" showInputMessage="0" showErrorMessage="0" allowBlank="1" type="list">
      <formula1>INDIRECT($C875)</formula1>
    </dataValidation>
    <dataValidation sqref="D876" showDropDown="0" showInputMessage="0" showErrorMessage="0" allowBlank="1" type="list">
      <formula1>INDIRECT("ST_"&amp;$C876)</formula1>
    </dataValidation>
    <dataValidation sqref="E876" showDropDown="0" showInputMessage="0" showErrorMessage="0" allowBlank="1" type="list">
      <formula1>INDIRECT($C876)</formula1>
    </dataValidation>
    <dataValidation sqref="D877" showDropDown="0" showInputMessage="0" showErrorMessage="0" allowBlank="1" type="list">
      <formula1>INDIRECT("ST_"&amp;$C877)</formula1>
    </dataValidation>
    <dataValidation sqref="E877" showDropDown="0" showInputMessage="0" showErrorMessage="0" allowBlank="1" type="list">
      <formula1>INDIRECT($C877)</formula1>
    </dataValidation>
    <dataValidation sqref="D878" showDropDown="0" showInputMessage="0" showErrorMessage="0" allowBlank="1" type="list">
      <formula1>INDIRECT("ST_"&amp;$C878)</formula1>
    </dataValidation>
    <dataValidation sqref="E878" showDropDown="0" showInputMessage="0" showErrorMessage="0" allowBlank="1" type="list">
      <formula1>INDIRECT($C878)</formula1>
    </dataValidation>
    <dataValidation sqref="D879" showDropDown="0" showInputMessage="0" showErrorMessage="0" allowBlank="1" type="list">
      <formula1>INDIRECT("ST_"&amp;$C879)</formula1>
    </dataValidation>
    <dataValidation sqref="E879" showDropDown="0" showInputMessage="0" showErrorMessage="0" allowBlank="1" type="list">
      <formula1>INDIRECT($C879)</formula1>
    </dataValidation>
    <dataValidation sqref="D880" showDropDown="0" showInputMessage="0" showErrorMessage="0" allowBlank="1" type="list">
      <formula1>INDIRECT("ST_"&amp;$C880)</formula1>
    </dataValidation>
    <dataValidation sqref="E880" showDropDown="0" showInputMessage="0" showErrorMessage="0" allowBlank="1" type="list">
      <formula1>INDIRECT($C880)</formula1>
    </dataValidation>
    <dataValidation sqref="D881" showDropDown="0" showInputMessage="0" showErrorMessage="0" allowBlank="1" type="list">
      <formula1>INDIRECT("ST_"&amp;$C881)</formula1>
    </dataValidation>
    <dataValidation sqref="E881" showDropDown="0" showInputMessage="0" showErrorMessage="0" allowBlank="1" type="list">
      <formula1>INDIRECT($C881)</formula1>
    </dataValidation>
    <dataValidation sqref="D882" showDropDown="0" showInputMessage="0" showErrorMessage="0" allowBlank="1" type="list">
      <formula1>INDIRECT("ST_"&amp;$C882)</formula1>
    </dataValidation>
    <dataValidation sqref="E882" showDropDown="0" showInputMessage="0" showErrorMessage="0" allowBlank="1" type="list">
      <formula1>INDIRECT($C882)</formula1>
    </dataValidation>
    <dataValidation sqref="D883" showDropDown="0" showInputMessage="0" showErrorMessage="0" allowBlank="1" type="list">
      <formula1>INDIRECT("ST_"&amp;$C883)</formula1>
    </dataValidation>
    <dataValidation sqref="E883" showDropDown="0" showInputMessage="0" showErrorMessage="0" allowBlank="1" type="list">
      <formula1>INDIRECT($C883)</formula1>
    </dataValidation>
    <dataValidation sqref="D884" showDropDown="0" showInputMessage="0" showErrorMessage="0" allowBlank="1" type="list">
      <formula1>INDIRECT("ST_"&amp;$C884)</formula1>
    </dataValidation>
    <dataValidation sqref="E884" showDropDown="0" showInputMessage="0" showErrorMessage="0" allowBlank="1" type="list">
      <formula1>INDIRECT($C884)</formula1>
    </dataValidation>
    <dataValidation sqref="D885" showDropDown="0" showInputMessage="0" showErrorMessage="0" allowBlank="1" type="list">
      <formula1>INDIRECT("ST_"&amp;$C885)</formula1>
    </dataValidation>
    <dataValidation sqref="E885" showDropDown="0" showInputMessage="0" showErrorMessage="0" allowBlank="1" type="list">
      <formula1>INDIRECT($C885)</formula1>
    </dataValidation>
    <dataValidation sqref="D886" showDropDown="0" showInputMessage="0" showErrorMessage="0" allowBlank="1" type="list">
      <formula1>INDIRECT("ST_"&amp;$C886)</formula1>
    </dataValidation>
    <dataValidation sqref="E886" showDropDown="0" showInputMessage="0" showErrorMessage="0" allowBlank="1" type="list">
      <formula1>INDIRECT($C886)</formula1>
    </dataValidation>
    <dataValidation sqref="D887" showDropDown="0" showInputMessage="0" showErrorMessage="0" allowBlank="1" type="list">
      <formula1>INDIRECT("ST_"&amp;$C887)</formula1>
    </dataValidation>
    <dataValidation sqref="E887" showDropDown="0" showInputMessage="0" showErrorMessage="0" allowBlank="1" type="list">
      <formula1>INDIRECT($C887)</formula1>
    </dataValidation>
    <dataValidation sqref="D888" showDropDown="0" showInputMessage="0" showErrorMessage="0" allowBlank="1" type="list">
      <formula1>INDIRECT("ST_"&amp;$C888)</formula1>
    </dataValidation>
    <dataValidation sqref="E888" showDropDown="0" showInputMessage="0" showErrorMessage="0" allowBlank="1" type="list">
      <formula1>INDIRECT($C888)</formula1>
    </dataValidation>
    <dataValidation sqref="D889" showDropDown="0" showInputMessage="0" showErrorMessage="0" allowBlank="1" type="list">
      <formula1>INDIRECT("ST_"&amp;$C889)</formula1>
    </dataValidation>
    <dataValidation sqref="E889" showDropDown="0" showInputMessage="0" showErrorMessage="0" allowBlank="1" type="list">
      <formula1>INDIRECT($C889)</formula1>
    </dataValidation>
    <dataValidation sqref="D890" showDropDown="0" showInputMessage="0" showErrorMessage="0" allowBlank="1" type="list">
      <formula1>INDIRECT("ST_"&amp;$C890)</formula1>
    </dataValidation>
    <dataValidation sqref="E890" showDropDown="0" showInputMessage="0" showErrorMessage="0" allowBlank="1" type="list">
      <formula1>INDIRECT($C890)</formula1>
    </dataValidation>
    <dataValidation sqref="D891" showDropDown="0" showInputMessage="0" showErrorMessage="0" allowBlank="1" type="list">
      <formula1>INDIRECT("ST_"&amp;$C891)</formula1>
    </dataValidation>
    <dataValidation sqref="E891" showDropDown="0" showInputMessage="0" showErrorMessage="0" allowBlank="1" type="list">
      <formula1>INDIRECT($C891)</formula1>
    </dataValidation>
    <dataValidation sqref="D892" showDropDown="0" showInputMessage="0" showErrorMessage="0" allowBlank="1" type="list">
      <formula1>INDIRECT("ST_"&amp;$C892)</formula1>
    </dataValidation>
    <dataValidation sqref="E892" showDropDown="0" showInputMessage="0" showErrorMessage="0" allowBlank="1" type="list">
      <formula1>INDIRECT($C892)</formula1>
    </dataValidation>
    <dataValidation sqref="D893" showDropDown="0" showInputMessage="0" showErrorMessage="0" allowBlank="1" type="list">
      <formula1>INDIRECT("ST_"&amp;$C893)</formula1>
    </dataValidation>
    <dataValidation sqref="E893" showDropDown="0" showInputMessage="0" showErrorMessage="0" allowBlank="1" type="list">
      <formula1>INDIRECT($C893)</formula1>
    </dataValidation>
    <dataValidation sqref="D894" showDropDown="0" showInputMessage="0" showErrorMessage="0" allowBlank="1" type="list">
      <formula1>INDIRECT("ST_"&amp;$C894)</formula1>
    </dataValidation>
    <dataValidation sqref="E894" showDropDown="0" showInputMessage="0" showErrorMessage="0" allowBlank="1" type="list">
      <formula1>INDIRECT($C894)</formula1>
    </dataValidation>
    <dataValidation sqref="D895" showDropDown="0" showInputMessage="0" showErrorMessage="0" allowBlank="1" type="list">
      <formula1>INDIRECT("ST_"&amp;$C895)</formula1>
    </dataValidation>
    <dataValidation sqref="E895" showDropDown="0" showInputMessage="0" showErrorMessage="0" allowBlank="1" type="list">
      <formula1>INDIRECT($C895)</formula1>
    </dataValidation>
    <dataValidation sqref="D896" showDropDown="0" showInputMessage="0" showErrorMessage="0" allowBlank="1" type="list">
      <formula1>INDIRECT("ST_"&amp;$C896)</formula1>
    </dataValidation>
    <dataValidation sqref="E896" showDropDown="0" showInputMessage="0" showErrorMessage="0" allowBlank="1" type="list">
      <formula1>INDIRECT($C896)</formula1>
    </dataValidation>
    <dataValidation sqref="D897" showDropDown="0" showInputMessage="0" showErrorMessage="0" allowBlank="1" type="list">
      <formula1>INDIRECT("ST_"&amp;$C897)</formula1>
    </dataValidation>
    <dataValidation sqref="E897" showDropDown="0" showInputMessage="0" showErrorMessage="0" allowBlank="1" type="list">
      <formula1>INDIRECT($C897)</formula1>
    </dataValidation>
    <dataValidation sqref="D898" showDropDown="0" showInputMessage="0" showErrorMessage="0" allowBlank="1" type="list">
      <formula1>INDIRECT("ST_"&amp;$C898)</formula1>
    </dataValidation>
    <dataValidation sqref="E898" showDropDown="0" showInputMessage="0" showErrorMessage="0" allowBlank="1" type="list">
      <formula1>INDIRECT($C898)</formula1>
    </dataValidation>
    <dataValidation sqref="D899" showDropDown="0" showInputMessage="0" showErrorMessage="0" allowBlank="1" type="list">
      <formula1>INDIRECT("ST_"&amp;$C899)</formula1>
    </dataValidation>
    <dataValidation sqref="E899" showDropDown="0" showInputMessage="0" showErrorMessage="0" allowBlank="1" type="list">
      <formula1>INDIRECT($C899)</formula1>
    </dataValidation>
    <dataValidation sqref="D900" showDropDown="0" showInputMessage="0" showErrorMessage="0" allowBlank="1" type="list">
      <formula1>INDIRECT("ST_"&amp;$C900)</formula1>
    </dataValidation>
    <dataValidation sqref="E900" showDropDown="0" showInputMessage="0" showErrorMessage="0" allowBlank="1" type="list">
      <formula1>INDIRECT($C900)</formula1>
    </dataValidation>
    <dataValidation sqref="D901" showDropDown="0" showInputMessage="0" showErrorMessage="0" allowBlank="1" type="list">
      <formula1>INDIRECT("ST_"&amp;$C901)</formula1>
    </dataValidation>
    <dataValidation sqref="E901" showDropDown="0" showInputMessage="0" showErrorMessage="0" allowBlank="1" type="list">
      <formula1>INDIRECT($C901)</formula1>
    </dataValidation>
    <dataValidation sqref="D902" showDropDown="0" showInputMessage="0" showErrorMessage="0" allowBlank="1" type="list">
      <formula1>INDIRECT("ST_"&amp;$C902)</formula1>
    </dataValidation>
    <dataValidation sqref="E902" showDropDown="0" showInputMessage="0" showErrorMessage="0" allowBlank="1" type="list">
      <formula1>INDIRECT($C902)</formula1>
    </dataValidation>
    <dataValidation sqref="D903" showDropDown="0" showInputMessage="0" showErrorMessage="0" allowBlank="1" type="list">
      <formula1>INDIRECT("ST_"&amp;$C903)</formula1>
    </dataValidation>
    <dataValidation sqref="E903" showDropDown="0" showInputMessage="0" showErrorMessage="0" allowBlank="1" type="list">
      <formula1>INDIRECT($C903)</formula1>
    </dataValidation>
    <dataValidation sqref="D904" showDropDown="0" showInputMessage="0" showErrorMessage="0" allowBlank="1" type="list">
      <formula1>INDIRECT("ST_"&amp;$C904)</formula1>
    </dataValidation>
    <dataValidation sqref="E904" showDropDown="0" showInputMessage="0" showErrorMessage="0" allowBlank="1" type="list">
      <formula1>INDIRECT($C904)</formula1>
    </dataValidation>
    <dataValidation sqref="D905" showDropDown="0" showInputMessage="0" showErrorMessage="0" allowBlank="1" type="list">
      <formula1>INDIRECT("ST_"&amp;$C905)</formula1>
    </dataValidation>
    <dataValidation sqref="E905" showDropDown="0" showInputMessage="0" showErrorMessage="0" allowBlank="1" type="list">
      <formula1>INDIRECT($C905)</formula1>
    </dataValidation>
    <dataValidation sqref="D906" showDropDown="0" showInputMessage="0" showErrorMessage="0" allowBlank="1" type="list">
      <formula1>INDIRECT("ST_"&amp;$C906)</formula1>
    </dataValidation>
    <dataValidation sqref="E906" showDropDown="0" showInputMessage="0" showErrorMessage="0" allowBlank="1" type="list">
      <formula1>INDIRECT($C906)</formula1>
    </dataValidation>
    <dataValidation sqref="D907" showDropDown="0" showInputMessage="0" showErrorMessage="0" allowBlank="1" type="list">
      <formula1>INDIRECT("ST_"&amp;$C907)</formula1>
    </dataValidation>
    <dataValidation sqref="E907" showDropDown="0" showInputMessage="0" showErrorMessage="0" allowBlank="1" type="list">
      <formula1>INDIRECT($C907)</formula1>
    </dataValidation>
    <dataValidation sqref="D908" showDropDown="0" showInputMessage="0" showErrorMessage="0" allowBlank="1" type="list">
      <formula1>INDIRECT("ST_"&amp;$C908)</formula1>
    </dataValidation>
    <dataValidation sqref="E908" showDropDown="0" showInputMessage="0" showErrorMessage="0" allowBlank="1" type="list">
      <formula1>INDIRECT($C908)</formula1>
    </dataValidation>
    <dataValidation sqref="D909" showDropDown="0" showInputMessage="0" showErrorMessage="0" allowBlank="1" type="list">
      <formula1>INDIRECT("ST_"&amp;$C909)</formula1>
    </dataValidation>
    <dataValidation sqref="E909" showDropDown="0" showInputMessage="0" showErrorMessage="0" allowBlank="1" type="list">
      <formula1>INDIRECT($C909)</formula1>
    </dataValidation>
    <dataValidation sqref="D910" showDropDown="0" showInputMessage="0" showErrorMessage="0" allowBlank="1" type="list">
      <formula1>INDIRECT("ST_"&amp;$C910)</formula1>
    </dataValidation>
    <dataValidation sqref="E910" showDropDown="0" showInputMessage="0" showErrorMessage="0" allowBlank="1" type="list">
      <formula1>INDIRECT($C910)</formula1>
    </dataValidation>
    <dataValidation sqref="D911" showDropDown="0" showInputMessage="0" showErrorMessage="0" allowBlank="1" type="list">
      <formula1>INDIRECT("ST_"&amp;$C911)</formula1>
    </dataValidation>
    <dataValidation sqref="E911" showDropDown="0" showInputMessage="0" showErrorMessage="0" allowBlank="1" type="list">
      <formula1>INDIRECT($C911)</formula1>
    </dataValidation>
    <dataValidation sqref="D912" showDropDown="0" showInputMessage="0" showErrorMessage="0" allowBlank="1" type="list">
      <formula1>INDIRECT("ST_"&amp;$C912)</formula1>
    </dataValidation>
    <dataValidation sqref="E912" showDropDown="0" showInputMessage="0" showErrorMessage="0" allowBlank="1" type="list">
      <formula1>INDIRECT($C912)</formula1>
    </dataValidation>
    <dataValidation sqref="D913" showDropDown="0" showInputMessage="0" showErrorMessage="0" allowBlank="1" type="list">
      <formula1>INDIRECT("ST_"&amp;$C913)</formula1>
    </dataValidation>
    <dataValidation sqref="E913" showDropDown="0" showInputMessage="0" showErrorMessage="0" allowBlank="1" type="list">
      <formula1>INDIRECT($C913)</formula1>
    </dataValidation>
    <dataValidation sqref="D914" showDropDown="0" showInputMessage="0" showErrorMessage="0" allowBlank="1" type="list">
      <formula1>INDIRECT("ST_"&amp;$C914)</formula1>
    </dataValidation>
    <dataValidation sqref="E914" showDropDown="0" showInputMessage="0" showErrorMessage="0" allowBlank="1" type="list">
      <formula1>INDIRECT($C914)</formula1>
    </dataValidation>
    <dataValidation sqref="D915" showDropDown="0" showInputMessage="0" showErrorMessage="0" allowBlank="1" type="list">
      <formula1>INDIRECT("ST_"&amp;$C915)</formula1>
    </dataValidation>
    <dataValidation sqref="E915" showDropDown="0" showInputMessage="0" showErrorMessage="0" allowBlank="1" type="list">
      <formula1>INDIRECT($C915)</formula1>
    </dataValidation>
    <dataValidation sqref="D916" showDropDown="0" showInputMessage="0" showErrorMessage="0" allowBlank="1" type="list">
      <formula1>INDIRECT("ST_"&amp;$C916)</formula1>
    </dataValidation>
    <dataValidation sqref="E916" showDropDown="0" showInputMessage="0" showErrorMessage="0" allowBlank="1" type="list">
      <formula1>INDIRECT($C916)</formula1>
    </dataValidation>
    <dataValidation sqref="D917" showDropDown="0" showInputMessage="0" showErrorMessage="0" allowBlank="1" type="list">
      <formula1>INDIRECT("ST_"&amp;$C917)</formula1>
    </dataValidation>
    <dataValidation sqref="E917" showDropDown="0" showInputMessage="0" showErrorMessage="0" allowBlank="1" type="list">
      <formula1>INDIRECT($C917)</formula1>
    </dataValidation>
    <dataValidation sqref="D918" showDropDown="0" showInputMessage="0" showErrorMessage="0" allowBlank="1" type="list">
      <formula1>INDIRECT("ST_"&amp;$C918)</formula1>
    </dataValidation>
    <dataValidation sqref="E918" showDropDown="0" showInputMessage="0" showErrorMessage="0" allowBlank="1" type="list">
      <formula1>INDIRECT($C918)</formula1>
    </dataValidation>
    <dataValidation sqref="D919" showDropDown="0" showInputMessage="0" showErrorMessage="0" allowBlank="1" type="list">
      <formula1>INDIRECT("ST_"&amp;$C919)</formula1>
    </dataValidation>
    <dataValidation sqref="E919" showDropDown="0" showInputMessage="0" showErrorMessage="0" allowBlank="1" type="list">
      <formula1>INDIRECT($C919)</formula1>
    </dataValidation>
    <dataValidation sqref="D920" showDropDown="0" showInputMessage="0" showErrorMessage="0" allowBlank="1" type="list">
      <formula1>INDIRECT("ST_"&amp;$C920)</formula1>
    </dataValidation>
    <dataValidation sqref="E920" showDropDown="0" showInputMessage="0" showErrorMessage="0" allowBlank="1" type="list">
      <formula1>INDIRECT($C920)</formula1>
    </dataValidation>
    <dataValidation sqref="D921" showDropDown="0" showInputMessage="0" showErrorMessage="0" allowBlank="1" type="list">
      <formula1>INDIRECT("ST_"&amp;$C921)</formula1>
    </dataValidation>
    <dataValidation sqref="E921" showDropDown="0" showInputMessage="0" showErrorMessage="0" allowBlank="1" type="list">
      <formula1>INDIRECT($C921)</formula1>
    </dataValidation>
    <dataValidation sqref="D922" showDropDown="0" showInputMessage="0" showErrorMessage="0" allowBlank="1" type="list">
      <formula1>INDIRECT("ST_"&amp;$C922)</formula1>
    </dataValidation>
    <dataValidation sqref="E922" showDropDown="0" showInputMessage="0" showErrorMessage="0" allowBlank="1" type="list">
      <formula1>INDIRECT($C922)</formula1>
    </dataValidation>
    <dataValidation sqref="D923" showDropDown="0" showInputMessage="0" showErrorMessage="0" allowBlank="1" type="list">
      <formula1>INDIRECT("ST_"&amp;$C923)</formula1>
    </dataValidation>
    <dataValidation sqref="E923" showDropDown="0" showInputMessage="0" showErrorMessage="0" allowBlank="1" type="list">
      <formula1>INDIRECT($C923)</formula1>
    </dataValidation>
    <dataValidation sqref="D924" showDropDown="0" showInputMessage="0" showErrorMessage="0" allowBlank="1" type="list">
      <formula1>INDIRECT("ST_"&amp;$C924)</formula1>
    </dataValidation>
    <dataValidation sqref="E924" showDropDown="0" showInputMessage="0" showErrorMessage="0" allowBlank="1" type="list">
      <formula1>INDIRECT($C924)</formula1>
    </dataValidation>
    <dataValidation sqref="D925" showDropDown="0" showInputMessage="0" showErrorMessage="0" allowBlank="1" type="list">
      <formula1>INDIRECT("ST_"&amp;$C925)</formula1>
    </dataValidation>
    <dataValidation sqref="E925" showDropDown="0" showInputMessage="0" showErrorMessage="0" allowBlank="1" type="list">
      <formula1>INDIRECT($C925)</formula1>
    </dataValidation>
    <dataValidation sqref="D926" showDropDown="0" showInputMessage="0" showErrorMessage="0" allowBlank="1" type="list">
      <formula1>INDIRECT("ST_"&amp;$C926)</formula1>
    </dataValidation>
    <dataValidation sqref="E926" showDropDown="0" showInputMessage="0" showErrorMessage="0" allowBlank="1" type="list">
      <formula1>INDIRECT($C926)</formula1>
    </dataValidation>
    <dataValidation sqref="D927" showDropDown="0" showInputMessage="0" showErrorMessage="0" allowBlank="1" type="list">
      <formula1>INDIRECT("ST_"&amp;$C927)</formula1>
    </dataValidation>
    <dataValidation sqref="E927" showDropDown="0" showInputMessage="0" showErrorMessage="0" allowBlank="1" type="list">
      <formula1>INDIRECT($C927)</formula1>
    </dataValidation>
    <dataValidation sqref="D928" showDropDown="0" showInputMessage="0" showErrorMessage="0" allowBlank="1" type="list">
      <formula1>INDIRECT("ST_"&amp;$C928)</formula1>
    </dataValidation>
    <dataValidation sqref="E928" showDropDown="0" showInputMessage="0" showErrorMessage="0" allowBlank="1" type="list">
      <formula1>INDIRECT($C928)</formula1>
    </dataValidation>
    <dataValidation sqref="D929" showDropDown="0" showInputMessage="0" showErrorMessage="0" allowBlank="1" type="list">
      <formula1>INDIRECT("ST_"&amp;$C929)</formula1>
    </dataValidation>
    <dataValidation sqref="E929" showDropDown="0" showInputMessage="0" showErrorMessage="0" allowBlank="1" type="list">
      <formula1>INDIRECT($C929)</formula1>
    </dataValidation>
    <dataValidation sqref="D930" showDropDown="0" showInputMessage="0" showErrorMessage="0" allowBlank="1" type="list">
      <formula1>INDIRECT("ST_"&amp;$C930)</formula1>
    </dataValidation>
    <dataValidation sqref="E930" showDropDown="0" showInputMessage="0" showErrorMessage="0" allowBlank="1" type="list">
      <formula1>INDIRECT($C930)</formula1>
    </dataValidation>
    <dataValidation sqref="D931" showDropDown="0" showInputMessage="0" showErrorMessage="0" allowBlank="1" type="list">
      <formula1>INDIRECT("ST_"&amp;$C931)</formula1>
    </dataValidation>
    <dataValidation sqref="E931" showDropDown="0" showInputMessage="0" showErrorMessage="0" allowBlank="1" type="list">
      <formula1>INDIRECT($C931)</formula1>
    </dataValidation>
    <dataValidation sqref="D932" showDropDown="0" showInputMessage="0" showErrorMessage="0" allowBlank="1" type="list">
      <formula1>INDIRECT("ST_"&amp;$C932)</formula1>
    </dataValidation>
    <dataValidation sqref="E932" showDropDown="0" showInputMessage="0" showErrorMessage="0" allowBlank="1" type="list">
      <formula1>INDIRECT($C932)</formula1>
    </dataValidation>
    <dataValidation sqref="D933" showDropDown="0" showInputMessage="0" showErrorMessage="0" allowBlank="1" type="list">
      <formula1>INDIRECT("ST_"&amp;$C933)</formula1>
    </dataValidation>
    <dataValidation sqref="E933" showDropDown="0" showInputMessage="0" showErrorMessage="0" allowBlank="1" type="list">
      <formula1>INDIRECT($C933)</formula1>
    </dataValidation>
    <dataValidation sqref="D934" showDropDown="0" showInputMessage="0" showErrorMessage="0" allowBlank="1" type="list">
      <formula1>INDIRECT("ST_"&amp;$C934)</formula1>
    </dataValidation>
    <dataValidation sqref="E934" showDropDown="0" showInputMessage="0" showErrorMessage="0" allowBlank="1" type="list">
      <formula1>INDIRECT($C934)</formula1>
    </dataValidation>
    <dataValidation sqref="D935" showDropDown="0" showInputMessage="0" showErrorMessage="0" allowBlank="1" type="list">
      <formula1>INDIRECT("ST_"&amp;$C935)</formula1>
    </dataValidation>
    <dataValidation sqref="E935" showDropDown="0" showInputMessage="0" showErrorMessage="0" allowBlank="1" type="list">
      <formula1>INDIRECT($C935)</formula1>
    </dataValidation>
    <dataValidation sqref="D936" showDropDown="0" showInputMessage="0" showErrorMessage="0" allowBlank="1" type="list">
      <formula1>INDIRECT("ST_"&amp;$C936)</formula1>
    </dataValidation>
    <dataValidation sqref="E936" showDropDown="0" showInputMessage="0" showErrorMessage="0" allowBlank="1" type="list">
      <formula1>INDIRECT($C936)</formula1>
    </dataValidation>
    <dataValidation sqref="D937" showDropDown="0" showInputMessage="0" showErrorMessage="0" allowBlank="1" type="list">
      <formula1>INDIRECT("ST_"&amp;$C937)</formula1>
    </dataValidation>
    <dataValidation sqref="E937" showDropDown="0" showInputMessage="0" showErrorMessage="0" allowBlank="1" type="list">
      <formula1>INDIRECT($C937)</formula1>
    </dataValidation>
    <dataValidation sqref="D938" showDropDown="0" showInputMessage="0" showErrorMessage="0" allowBlank="1" type="list">
      <formula1>INDIRECT("ST_"&amp;$C938)</formula1>
    </dataValidation>
    <dataValidation sqref="E938" showDropDown="0" showInputMessage="0" showErrorMessage="0" allowBlank="1" type="list">
      <formula1>INDIRECT($C938)</formula1>
    </dataValidation>
    <dataValidation sqref="D939" showDropDown="0" showInputMessage="0" showErrorMessage="0" allowBlank="1" type="list">
      <formula1>INDIRECT("ST_"&amp;$C939)</formula1>
    </dataValidation>
    <dataValidation sqref="E939" showDropDown="0" showInputMessage="0" showErrorMessage="0" allowBlank="1" type="list">
      <formula1>INDIRECT($C939)</formula1>
    </dataValidation>
    <dataValidation sqref="D940" showDropDown="0" showInputMessage="0" showErrorMessage="0" allowBlank="1" type="list">
      <formula1>INDIRECT("ST_"&amp;$C940)</formula1>
    </dataValidation>
    <dataValidation sqref="E940" showDropDown="0" showInputMessage="0" showErrorMessage="0" allowBlank="1" type="list">
      <formula1>INDIRECT($C940)</formula1>
    </dataValidation>
    <dataValidation sqref="D941" showDropDown="0" showInputMessage="0" showErrorMessage="0" allowBlank="1" type="list">
      <formula1>INDIRECT("ST_"&amp;$C941)</formula1>
    </dataValidation>
    <dataValidation sqref="E941" showDropDown="0" showInputMessage="0" showErrorMessage="0" allowBlank="1" type="list">
      <formula1>INDIRECT($C941)</formula1>
    </dataValidation>
    <dataValidation sqref="D942" showDropDown="0" showInputMessage="0" showErrorMessage="0" allowBlank="1" type="list">
      <formula1>INDIRECT("ST_"&amp;$C942)</formula1>
    </dataValidation>
    <dataValidation sqref="E942" showDropDown="0" showInputMessage="0" showErrorMessage="0" allowBlank="1" type="list">
      <formula1>INDIRECT($C942)</formula1>
    </dataValidation>
    <dataValidation sqref="D943" showDropDown="0" showInputMessage="0" showErrorMessage="0" allowBlank="1" type="list">
      <formula1>INDIRECT("ST_"&amp;$C943)</formula1>
    </dataValidation>
    <dataValidation sqref="E943" showDropDown="0" showInputMessage="0" showErrorMessage="0" allowBlank="1" type="list">
      <formula1>INDIRECT($C943)</formula1>
    </dataValidation>
    <dataValidation sqref="D944" showDropDown="0" showInputMessage="0" showErrorMessage="0" allowBlank="1" type="list">
      <formula1>INDIRECT("ST_"&amp;$C944)</formula1>
    </dataValidation>
    <dataValidation sqref="E944" showDropDown="0" showInputMessage="0" showErrorMessage="0" allowBlank="1" type="list">
      <formula1>INDIRECT($C944)</formula1>
    </dataValidation>
    <dataValidation sqref="D945" showDropDown="0" showInputMessage="0" showErrorMessage="0" allowBlank="1" type="list">
      <formula1>INDIRECT("ST_"&amp;$C945)</formula1>
    </dataValidation>
    <dataValidation sqref="E945" showDropDown="0" showInputMessage="0" showErrorMessage="0" allowBlank="1" type="list">
      <formula1>INDIRECT($C945)</formula1>
    </dataValidation>
    <dataValidation sqref="D946" showDropDown="0" showInputMessage="0" showErrorMessage="0" allowBlank="1" type="list">
      <formula1>INDIRECT("ST_"&amp;$C946)</formula1>
    </dataValidation>
    <dataValidation sqref="E946" showDropDown="0" showInputMessage="0" showErrorMessage="0" allowBlank="1" type="list">
      <formula1>INDIRECT($C946)</formula1>
    </dataValidation>
    <dataValidation sqref="D947" showDropDown="0" showInputMessage="0" showErrorMessage="0" allowBlank="1" type="list">
      <formula1>INDIRECT("ST_"&amp;$C947)</formula1>
    </dataValidation>
    <dataValidation sqref="E947" showDropDown="0" showInputMessage="0" showErrorMessage="0" allowBlank="1" type="list">
      <formula1>INDIRECT($C947)</formula1>
    </dataValidation>
    <dataValidation sqref="D948" showDropDown="0" showInputMessage="0" showErrorMessage="0" allowBlank="1" type="list">
      <formula1>INDIRECT("ST_"&amp;$C948)</formula1>
    </dataValidation>
    <dataValidation sqref="E948" showDropDown="0" showInputMessage="0" showErrorMessage="0" allowBlank="1" type="list">
      <formula1>INDIRECT($C948)</formula1>
    </dataValidation>
    <dataValidation sqref="D949" showDropDown="0" showInputMessage="0" showErrorMessage="0" allowBlank="1" type="list">
      <formula1>INDIRECT("ST_"&amp;$C949)</formula1>
    </dataValidation>
    <dataValidation sqref="E949" showDropDown="0" showInputMessage="0" showErrorMessage="0" allowBlank="1" type="list">
      <formula1>INDIRECT($C949)</formula1>
    </dataValidation>
    <dataValidation sqref="D950" showDropDown="0" showInputMessage="0" showErrorMessage="0" allowBlank="1" type="list">
      <formula1>INDIRECT("ST_"&amp;$C950)</formula1>
    </dataValidation>
    <dataValidation sqref="E950" showDropDown="0" showInputMessage="0" showErrorMessage="0" allowBlank="1" type="list">
      <formula1>INDIRECT($C950)</formula1>
    </dataValidation>
    <dataValidation sqref="D951" showDropDown="0" showInputMessage="0" showErrorMessage="0" allowBlank="1" type="list">
      <formula1>INDIRECT("ST_"&amp;$C951)</formula1>
    </dataValidation>
    <dataValidation sqref="E951" showDropDown="0" showInputMessage="0" showErrorMessage="0" allowBlank="1" type="list">
      <formula1>INDIRECT($C951)</formula1>
    </dataValidation>
    <dataValidation sqref="D952" showDropDown="0" showInputMessage="0" showErrorMessage="0" allowBlank="1" type="list">
      <formula1>INDIRECT("ST_"&amp;$C952)</formula1>
    </dataValidation>
    <dataValidation sqref="E952" showDropDown="0" showInputMessage="0" showErrorMessage="0" allowBlank="1" type="list">
      <formula1>INDIRECT($C952)</formula1>
    </dataValidation>
    <dataValidation sqref="D953" showDropDown="0" showInputMessage="0" showErrorMessage="0" allowBlank="1" type="list">
      <formula1>INDIRECT("ST_"&amp;$C953)</formula1>
    </dataValidation>
    <dataValidation sqref="E953" showDropDown="0" showInputMessage="0" showErrorMessage="0" allowBlank="1" type="list">
      <formula1>INDIRECT($C953)</formula1>
    </dataValidation>
    <dataValidation sqref="D954" showDropDown="0" showInputMessage="0" showErrorMessage="0" allowBlank="1" type="list">
      <formula1>INDIRECT("ST_"&amp;$C954)</formula1>
    </dataValidation>
    <dataValidation sqref="E954" showDropDown="0" showInputMessage="0" showErrorMessage="0" allowBlank="1" type="list">
      <formula1>INDIRECT($C954)</formula1>
    </dataValidation>
    <dataValidation sqref="D955" showDropDown="0" showInputMessage="0" showErrorMessage="0" allowBlank="1" type="list">
      <formula1>INDIRECT("ST_"&amp;$C955)</formula1>
    </dataValidation>
    <dataValidation sqref="E955" showDropDown="0" showInputMessage="0" showErrorMessage="0" allowBlank="1" type="list">
      <formula1>INDIRECT($C955)</formula1>
    </dataValidation>
    <dataValidation sqref="D956" showDropDown="0" showInputMessage="0" showErrorMessage="0" allowBlank="1" type="list">
      <formula1>INDIRECT("ST_"&amp;$C956)</formula1>
    </dataValidation>
    <dataValidation sqref="E956" showDropDown="0" showInputMessage="0" showErrorMessage="0" allowBlank="1" type="list">
      <formula1>INDIRECT($C956)</formula1>
    </dataValidation>
    <dataValidation sqref="D957" showDropDown="0" showInputMessage="0" showErrorMessage="0" allowBlank="1" type="list">
      <formula1>INDIRECT("ST_"&amp;$C957)</formula1>
    </dataValidation>
    <dataValidation sqref="E957" showDropDown="0" showInputMessage="0" showErrorMessage="0" allowBlank="1" type="list">
      <formula1>INDIRECT($C957)</formula1>
    </dataValidation>
    <dataValidation sqref="D958" showDropDown="0" showInputMessage="0" showErrorMessage="0" allowBlank="1" type="list">
      <formula1>INDIRECT("ST_"&amp;$C958)</formula1>
    </dataValidation>
    <dataValidation sqref="E958" showDropDown="0" showInputMessage="0" showErrorMessage="0" allowBlank="1" type="list">
      <formula1>INDIRECT($C958)</formula1>
    </dataValidation>
    <dataValidation sqref="D959" showDropDown="0" showInputMessage="0" showErrorMessage="0" allowBlank="1" type="list">
      <formula1>INDIRECT("ST_"&amp;$C959)</formula1>
    </dataValidation>
    <dataValidation sqref="E959" showDropDown="0" showInputMessage="0" showErrorMessage="0" allowBlank="1" type="list">
      <formula1>INDIRECT($C959)</formula1>
    </dataValidation>
    <dataValidation sqref="D960" showDropDown="0" showInputMessage="0" showErrorMessage="0" allowBlank="1" type="list">
      <formula1>INDIRECT("ST_"&amp;$C960)</formula1>
    </dataValidation>
    <dataValidation sqref="E960" showDropDown="0" showInputMessage="0" showErrorMessage="0" allowBlank="1" type="list">
      <formula1>INDIRECT($C960)</formula1>
    </dataValidation>
    <dataValidation sqref="D961" showDropDown="0" showInputMessage="0" showErrorMessage="0" allowBlank="1" type="list">
      <formula1>INDIRECT("ST_"&amp;$C961)</formula1>
    </dataValidation>
    <dataValidation sqref="E961" showDropDown="0" showInputMessage="0" showErrorMessage="0" allowBlank="1" type="list">
      <formula1>INDIRECT($C961)</formula1>
    </dataValidation>
    <dataValidation sqref="D962" showDropDown="0" showInputMessage="0" showErrorMessage="0" allowBlank="1" type="list">
      <formula1>INDIRECT("ST_"&amp;$C962)</formula1>
    </dataValidation>
    <dataValidation sqref="E962" showDropDown="0" showInputMessage="0" showErrorMessage="0" allowBlank="1" type="list">
      <formula1>INDIRECT($C962)</formula1>
    </dataValidation>
    <dataValidation sqref="D963" showDropDown="0" showInputMessage="0" showErrorMessage="0" allowBlank="1" type="list">
      <formula1>INDIRECT("ST_"&amp;$C963)</formula1>
    </dataValidation>
    <dataValidation sqref="E963" showDropDown="0" showInputMessage="0" showErrorMessage="0" allowBlank="1" type="list">
      <formula1>INDIRECT($C963)</formula1>
    </dataValidation>
    <dataValidation sqref="D964" showDropDown="0" showInputMessage="0" showErrorMessage="0" allowBlank="1" type="list">
      <formula1>INDIRECT("ST_"&amp;$C964)</formula1>
    </dataValidation>
    <dataValidation sqref="E964" showDropDown="0" showInputMessage="0" showErrorMessage="0" allowBlank="1" type="list">
      <formula1>INDIRECT($C964)</formula1>
    </dataValidation>
    <dataValidation sqref="D965" showDropDown="0" showInputMessage="0" showErrorMessage="0" allowBlank="1" type="list">
      <formula1>INDIRECT("ST_"&amp;$C965)</formula1>
    </dataValidation>
    <dataValidation sqref="E965" showDropDown="0" showInputMessage="0" showErrorMessage="0" allowBlank="1" type="list">
      <formula1>INDIRECT($C965)</formula1>
    </dataValidation>
    <dataValidation sqref="D966" showDropDown="0" showInputMessage="0" showErrorMessage="0" allowBlank="1" type="list">
      <formula1>INDIRECT("ST_"&amp;$C966)</formula1>
    </dataValidation>
    <dataValidation sqref="E966" showDropDown="0" showInputMessage="0" showErrorMessage="0" allowBlank="1" type="list">
      <formula1>INDIRECT($C966)</formula1>
    </dataValidation>
    <dataValidation sqref="D967" showDropDown="0" showInputMessage="0" showErrorMessage="0" allowBlank="1" type="list">
      <formula1>INDIRECT("ST_"&amp;$C967)</formula1>
    </dataValidation>
    <dataValidation sqref="E967" showDropDown="0" showInputMessage="0" showErrorMessage="0" allowBlank="1" type="list">
      <formula1>INDIRECT($C967)</formula1>
    </dataValidation>
    <dataValidation sqref="D968" showDropDown="0" showInputMessage="0" showErrorMessage="0" allowBlank="1" type="list">
      <formula1>INDIRECT("ST_"&amp;$C968)</formula1>
    </dataValidation>
    <dataValidation sqref="E968" showDropDown="0" showInputMessage="0" showErrorMessage="0" allowBlank="1" type="list">
      <formula1>INDIRECT($C968)</formula1>
    </dataValidation>
    <dataValidation sqref="D969" showDropDown="0" showInputMessage="0" showErrorMessage="0" allowBlank="1" type="list">
      <formula1>INDIRECT("ST_"&amp;$C969)</formula1>
    </dataValidation>
    <dataValidation sqref="E969" showDropDown="0" showInputMessage="0" showErrorMessage="0" allowBlank="1" type="list">
      <formula1>INDIRECT($C969)</formula1>
    </dataValidation>
    <dataValidation sqref="D970" showDropDown="0" showInputMessage="0" showErrorMessage="0" allowBlank="1" type="list">
      <formula1>INDIRECT("ST_"&amp;$C970)</formula1>
    </dataValidation>
    <dataValidation sqref="E970" showDropDown="0" showInputMessage="0" showErrorMessage="0" allowBlank="1" type="list">
      <formula1>INDIRECT($C970)</formula1>
    </dataValidation>
    <dataValidation sqref="D971" showDropDown="0" showInputMessage="0" showErrorMessage="0" allowBlank="1" type="list">
      <formula1>INDIRECT("ST_"&amp;$C971)</formula1>
    </dataValidation>
    <dataValidation sqref="E971" showDropDown="0" showInputMessage="0" showErrorMessage="0" allowBlank="1" type="list">
      <formula1>INDIRECT($C971)</formula1>
    </dataValidation>
    <dataValidation sqref="D972" showDropDown="0" showInputMessage="0" showErrorMessage="0" allowBlank="1" type="list">
      <formula1>INDIRECT("ST_"&amp;$C972)</formula1>
    </dataValidation>
    <dataValidation sqref="E972" showDropDown="0" showInputMessage="0" showErrorMessage="0" allowBlank="1" type="list">
      <formula1>INDIRECT($C972)</formula1>
    </dataValidation>
    <dataValidation sqref="D973" showDropDown="0" showInputMessage="0" showErrorMessage="0" allowBlank="1" type="list">
      <formula1>INDIRECT("ST_"&amp;$C973)</formula1>
    </dataValidation>
    <dataValidation sqref="E973" showDropDown="0" showInputMessage="0" showErrorMessage="0" allowBlank="1" type="list">
      <formula1>INDIRECT($C973)</formula1>
    </dataValidation>
    <dataValidation sqref="D974" showDropDown="0" showInputMessage="0" showErrorMessage="0" allowBlank="1" type="list">
      <formula1>INDIRECT("ST_"&amp;$C974)</formula1>
    </dataValidation>
    <dataValidation sqref="E974" showDropDown="0" showInputMessage="0" showErrorMessage="0" allowBlank="1" type="list">
      <formula1>INDIRECT($C974)</formula1>
    </dataValidation>
    <dataValidation sqref="D975" showDropDown="0" showInputMessage="0" showErrorMessage="0" allowBlank="1" type="list">
      <formula1>INDIRECT("ST_"&amp;$C975)</formula1>
    </dataValidation>
    <dataValidation sqref="E975" showDropDown="0" showInputMessage="0" showErrorMessage="0" allowBlank="1" type="list">
      <formula1>INDIRECT($C975)</formula1>
    </dataValidation>
    <dataValidation sqref="D976" showDropDown="0" showInputMessage="0" showErrorMessage="0" allowBlank="1" type="list">
      <formula1>INDIRECT("ST_"&amp;$C976)</formula1>
    </dataValidation>
    <dataValidation sqref="E976" showDropDown="0" showInputMessage="0" showErrorMessage="0" allowBlank="1" type="list">
      <formula1>INDIRECT($C976)</formula1>
    </dataValidation>
    <dataValidation sqref="D977" showDropDown="0" showInputMessage="0" showErrorMessage="0" allowBlank="1" type="list">
      <formula1>INDIRECT("ST_"&amp;$C977)</formula1>
    </dataValidation>
    <dataValidation sqref="E977" showDropDown="0" showInputMessage="0" showErrorMessage="0" allowBlank="1" type="list">
      <formula1>INDIRECT($C977)</formula1>
    </dataValidation>
    <dataValidation sqref="D978" showDropDown="0" showInputMessage="0" showErrorMessage="0" allowBlank="1" type="list">
      <formula1>INDIRECT("ST_"&amp;$C978)</formula1>
    </dataValidation>
    <dataValidation sqref="E978" showDropDown="0" showInputMessage="0" showErrorMessage="0" allowBlank="1" type="list">
      <formula1>INDIRECT($C978)</formula1>
    </dataValidation>
    <dataValidation sqref="D979" showDropDown="0" showInputMessage="0" showErrorMessage="0" allowBlank="1" type="list">
      <formula1>INDIRECT("ST_"&amp;$C979)</formula1>
    </dataValidation>
    <dataValidation sqref="E979" showDropDown="0" showInputMessage="0" showErrorMessage="0" allowBlank="1" type="list">
      <formula1>INDIRECT($C979)</formula1>
    </dataValidation>
    <dataValidation sqref="D980" showDropDown="0" showInputMessage="0" showErrorMessage="0" allowBlank="1" type="list">
      <formula1>INDIRECT("ST_"&amp;$C980)</formula1>
    </dataValidation>
    <dataValidation sqref="E980" showDropDown="0" showInputMessage="0" showErrorMessage="0" allowBlank="1" type="list">
      <formula1>INDIRECT($C980)</formula1>
    </dataValidation>
    <dataValidation sqref="D981" showDropDown="0" showInputMessage="0" showErrorMessage="0" allowBlank="1" type="list">
      <formula1>INDIRECT("ST_"&amp;$C981)</formula1>
    </dataValidation>
    <dataValidation sqref="E981" showDropDown="0" showInputMessage="0" showErrorMessage="0" allowBlank="1" type="list">
      <formula1>INDIRECT($C981)</formula1>
    </dataValidation>
    <dataValidation sqref="D982" showDropDown="0" showInputMessage="0" showErrorMessage="0" allowBlank="1" type="list">
      <formula1>INDIRECT("ST_"&amp;$C982)</formula1>
    </dataValidation>
    <dataValidation sqref="E982" showDropDown="0" showInputMessage="0" showErrorMessage="0" allowBlank="1" type="list">
      <formula1>INDIRECT($C982)</formula1>
    </dataValidation>
    <dataValidation sqref="D983" showDropDown="0" showInputMessage="0" showErrorMessage="0" allowBlank="1" type="list">
      <formula1>INDIRECT("ST_"&amp;$C983)</formula1>
    </dataValidation>
    <dataValidation sqref="E983" showDropDown="0" showInputMessage="0" showErrorMessage="0" allowBlank="1" type="list">
      <formula1>INDIRECT($C983)</formula1>
    </dataValidation>
    <dataValidation sqref="D984" showDropDown="0" showInputMessage="0" showErrorMessage="0" allowBlank="1" type="list">
      <formula1>INDIRECT("ST_"&amp;$C984)</formula1>
    </dataValidation>
    <dataValidation sqref="E984" showDropDown="0" showInputMessage="0" showErrorMessage="0" allowBlank="1" type="list">
      <formula1>INDIRECT($C984)</formula1>
    </dataValidation>
    <dataValidation sqref="D985" showDropDown="0" showInputMessage="0" showErrorMessage="0" allowBlank="1" type="list">
      <formula1>INDIRECT("ST_"&amp;$C985)</formula1>
    </dataValidation>
    <dataValidation sqref="E985" showDropDown="0" showInputMessage="0" showErrorMessage="0" allowBlank="1" type="list">
      <formula1>INDIRECT($C985)</formula1>
    </dataValidation>
    <dataValidation sqref="D986" showDropDown="0" showInputMessage="0" showErrorMessage="0" allowBlank="1" type="list">
      <formula1>INDIRECT("ST_"&amp;$C986)</formula1>
    </dataValidation>
    <dataValidation sqref="E986" showDropDown="0" showInputMessage="0" showErrorMessage="0" allowBlank="1" type="list">
      <formula1>INDIRECT($C986)</formula1>
    </dataValidation>
    <dataValidation sqref="D987" showDropDown="0" showInputMessage="0" showErrorMessage="0" allowBlank="1" type="list">
      <formula1>INDIRECT("ST_"&amp;$C987)</formula1>
    </dataValidation>
    <dataValidation sqref="E987" showDropDown="0" showInputMessage="0" showErrorMessage="0" allowBlank="1" type="list">
      <formula1>INDIRECT($C987)</formula1>
    </dataValidation>
    <dataValidation sqref="D988" showDropDown="0" showInputMessage="0" showErrorMessage="0" allowBlank="1" type="list">
      <formula1>INDIRECT("ST_"&amp;$C988)</formula1>
    </dataValidation>
    <dataValidation sqref="E988" showDropDown="0" showInputMessage="0" showErrorMessage="0" allowBlank="1" type="list">
      <formula1>INDIRECT($C988)</formula1>
    </dataValidation>
    <dataValidation sqref="D989" showDropDown="0" showInputMessage="0" showErrorMessage="0" allowBlank="1" type="list">
      <formula1>INDIRECT("ST_"&amp;$C989)</formula1>
    </dataValidation>
    <dataValidation sqref="E989" showDropDown="0" showInputMessage="0" showErrorMessage="0" allowBlank="1" type="list">
      <formula1>INDIRECT($C989)</formula1>
    </dataValidation>
    <dataValidation sqref="D990" showDropDown="0" showInputMessage="0" showErrorMessage="0" allowBlank="1" type="list">
      <formula1>INDIRECT("ST_"&amp;$C990)</formula1>
    </dataValidation>
    <dataValidation sqref="E990" showDropDown="0" showInputMessage="0" showErrorMessage="0" allowBlank="1" type="list">
      <formula1>INDIRECT($C990)</formula1>
    </dataValidation>
    <dataValidation sqref="D991" showDropDown="0" showInputMessage="0" showErrorMessage="0" allowBlank="1" type="list">
      <formula1>INDIRECT("ST_"&amp;$C991)</formula1>
    </dataValidation>
    <dataValidation sqref="E991" showDropDown="0" showInputMessage="0" showErrorMessage="0" allowBlank="1" type="list">
      <formula1>INDIRECT($C991)</formula1>
    </dataValidation>
    <dataValidation sqref="D992" showDropDown="0" showInputMessage="0" showErrorMessage="0" allowBlank="1" type="list">
      <formula1>INDIRECT("ST_"&amp;$C992)</formula1>
    </dataValidation>
    <dataValidation sqref="E992" showDropDown="0" showInputMessage="0" showErrorMessage="0" allowBlank="1" type="list">
      <formula1>INDIRECT($C992)</formula1>
    </dataValidation>
    <dataValidation sqref="D993" showDropDown="0" showInputMessage="0" showErrorMessage="0" allowBlank="1" type="list">
      <formula1>INDIRECT("ST_"&amp;$C993)</formula1>
    </dataValidation>
    <dataValidation sqref="E993" showDropDown="0" showInputMessage="0" showErrorMessage="0" allowBlank="1" type="list">
      <formula1>INDIRECT($C993)</formula1>
    </dataValidation>
    <dataValidation sqref="D994" showDropDown="0" showInputMessage="0" showErrorMessage="0" allowBlank="1" type="list">
      <formula1>INDIRECT("ST_"&amp;$C994)</formula1>
    </dataValidation>
    <dataValidation sqref="E994" showDropDown="0" showInputMessage="0" showErrorMessage="0" allowBlank="1" type="list">
      <formula1>INDIRECT($C994)</formula1>
    </dataValidation>
    <dataValidation sqref="D995" showDropDown="0" showInputMessage="0" showErrorMessage="0" allowBlank="1" type="list">
      <formula1>INDIRECT("ST_"&amp;$C995)</formula1>
    </dataValidation>
    <dataValidation sqref="E995" showDropDown="0" showInputMessage="0" showErrorMessage="0" allowBlank="1" type="list">
      <formula1>INDIRECT($C995)</formula1>
    </dataValidation>
    <dataValidation sqref="D996" showDropDown="0" showInputMessage="0" showErrorMessage="0" allowBlank="1" type="list">
      <formula1>INDIRECT("ST_"&amp;$C996)</formula1>
    </dataValidation>
    <dataValidation sqref="E996" showDropDown="0" showInputMessage="0" showErrorMessage="0" allowBlank="1" type="list">
      <formula1>INDIRECT($C996)</formula1>
    </dataValidation>
    <dataValidation sqref="D997" showDropDown="0" showInputMessage="0" showErrorMessage="0" allowBlank="1" type="list">
      <formula1>INDIRECT("ST_"&amp;$C997)</formula1>
    </dataValidation>
    <dataValidation sqref="E997" showDropDown="0" showInputMessage="0" showErrorMessage="0" allowBlank="1" type="list">
      <formula1>INDIRECT($C997)</formula1>
    </dataValidation>
    <dataValidation sqref="D998" showDropDown="0" showInputMessage="0" showErrorMessage="0" allowBlank="1" type="list">
      <formula1>INDIRECT("ST_"&amp;$C998)</formula1>
    </dataValidation>
    <dataValidation sqref="E998" showDropDown="0" showInputMessage="0" showErrorMessage="0" allowBlank="1" type="list">
      <formula1>INDIRECT($C998)</formula1>
    </dataValidation>
    <dataValidation sqref="D999" showDropDown="0" showInputMessage="0" showErrorMessage="0" allowBlank="1" type="list">
      <formula1>INDIRECT("ST_"&amp;$C999)</formula1>
    </dataValidation>
    <dataValidation sqref="E999" showDropDown="0" showInputMessage="0" showErrorMessage="0" allowBlank="1" type="list">
      <formula1>INDIRECT($C999)</formula1>
    </dataValidation>
    <dataValidation sqref="D1000" showDropDown="0" showInputMessage="0" showErrorMessage="0" allowBlank="1" type="list">
      <formula1>INDIRECT("ST_"&amp;$C1000)</formula1>
    </dataValidation>
    <dataValidation sqref="E1000" showDropDown="0" showInputMessage="0" showErrorMessage="0" allowBlank="1" type="list">
      <formula1>INDIRECT($C1000)</formula1>
    </dataValidation>
    <dataValidation sqref="D1001" showDropDown="0" showInputMessage="0" showErrorMessage="0" allowBlank="1" type="list">
      <formula1>INDIRECT("ST_"&amp;$C1001)</formula1>
    </dataValidation>
    <dataValidation sqref="E1001" showDropDown="0" showInputMessage="0" showErrorMessage="0" allowBlank="1" type="list">
      <formula1>INDIRECT($C1001)</formula1>
    </dataValidation>
    <dataValidation sqref="D1002" showDropDown="0" showInputMessage="0" showErrorMessage="0" allowBlank="1" type="list">
      <formula1>INDIRECT("ST_"&amp;$C1002)</formula1>
    </dataValidation>
    <dataValidation sqref="E1002" showDropDown="0" showInputMessage="0" showErrorMessage="0" allowBlank="1" type="list">
      <formula1>INDIRECT($C1002)</formula1>
    </dataValidation>
    <dataValidation sqref="D1003" showDropDown="0" showInputMessage="0" showErrorMessage="0" allowBlank="1" type="list">
      <formula1>INDIRECT("ST_"&amp;$C1003)</formula1>
    </dataValidation>
    <dataValidation sqref="E1003" showDropDown="0" showInputMessage="0" showErrorMessage="0" allowBlank="1" type="list">
      <formula1>INDIRECT($C1003)</formula1>
    </dataValidation>
  </dataValidation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H104"/>
  <sheetViews>
    <sheetView workbookViewId="0">
      <selection activeCell="A1" sqref="A1"/>
    </sheetView>
  </sheetViews>
  <sheetFormatPr baseColWidth="8" defaultRowHeight="15"/>
  <cols>
    <col width="4" customWidth="1" min="1" max="1"/>
    <col width="11" customWidth="1" min="2" max="2"/>
    <col width="12" customWidth="1" min="3" max="3"/>
    <col width="24" customWidth="1" min="4" max="4"/>
    <col width="12" customWidth="1" min="5" max="5"/>
    <col width="24" customWidth="1" min="6" max="6"/>
    <col width="12" customWidth="1" min="7" max="7"/>
    <col width="30" customWidth="1" min="8" max="8"/>
  </cols>
  <sheetData>
    <row r="1">
      <c r="A1" s="1" t="inlineStr">
        <is>
          <t>JOURNAL VOUCHER ENTRIES (Internal Adjustments)</t>
        </is>
      </c>
    </row>
    <row r="2">
      <c r="A2" s="11" t="inlineStr">
        <is>
          <t>Use for: Dukandar-to-Dukandar transfers, Bepaari adjustments, any non-cash internal entries</t>
        </is>
      </c>
    </row>
    <row r="4">
      <c r="A4" s="14" t="inlineStr">
        <is>
          <t>Sr</t>
        </is>
      </c>
      <c r="B4" s="14" t="inlineStr">
        <is>
          <t>Date</t>
        </is>
      </c>
      <c r="C4" s="14" t="inlineStr">
        <is>
          <t>Debit Type</t>
        </is>
      </c>
      <c r="D4" s="14" t="inlineStr">
        <is>
          <t>Debit Party</t>
        </is>
      </c>
      <c r="E4" s="14" t="inlineStr">
        <is>
          <t>Credit Type</t>
        </is>
      </c>
      <c r="F4" s="14" t="inlineStr">
        <is>
          <t>Credit Party</t>
        </is>
      </c>
      <c r="G4" s="14" t="inlineStr">
        <is>
          <t>Amount</t>
        </is>
      </c>
      <c r="H4" s="14" t="inlineStr">
        <is>
          <t>Narration</t>
        </is>
      </c>
    </row>
    <row r="5">
      <c r="A5" t="n">
        <v>1</v>
      </c>
      <c r="B5" s="8" t="n"/>
      <c r="C5" s="5" t="n"/>
      <c r="D5" s="5" t="n"/>
      <c r="E5" s="5" t="n"/>
      <c r="F5" s="5" t="n"/>
      <c r="G5" s="6" t="n"/>
      <c r="H5" s="5" t="n"/>
    </row>
    <row r="6">
      <c r="A6" t="n">
        <v>2</v>
      </c>
      <c r="B6" s="8" t="n"/>
      <c r="C6" s="5" t="n"/>
      <c r="D6" s="5" t="n"/>
      <c r="E6" s="5" t="n"/>
      <c r="F6" s="5" t="n"/>
      <c r="G6" s="6" t="n"/>
      <c r="H6" s="5" t="n"/>
    </row>
    <row r="7">
      <c r="A7" t="n">
        <v>3</v>
      </c>
      <c r="B7" s="8" t="n"/>
      <c r="C7" s="5" t="n"/>
      <c r="D7" s="5" t="n"/>
      <c r="E7" s="5" t="n"/>
      <c r="F7" s="5" t="n"/>
      <c r="G7" s="6" t="n"/>
      <c r="H7" s="5" t="n"/>
    </row>
    <row r="8">
      <c r="A8" t="n">
        <v>4</v>
      </c>
      <c r="B8" s="8" t="n"/>
      <c r="C8" s="5" t="n"/>
      <c r="D8" s="5" t="n"/>
      <c r="E8" s="5" t="n"/>
      <c r="F8" s="5" t="n"/>
      <c r="G8" s="6" t="n"/>
      <c r="H8" s="5" t="n"/>
    </row>
    <row r="9">
      <c r="A9" t="n">
        <v>5</v>
      </c>
      <c r="B9" s="8" t="n"/>
      <c r="C9" s="5" t="n"/>
      <c r="D9" s="5" t="n"/>
      <c r="E9" s="5" t="n"/>
      <c r="F9" s="5" t="n"/>
      <c r="G9" s="6" t="n"/>
      <c r="H9" s="5" t="n"/>
    </row>
    <row r="10">
      <c r="A10" t="n">
        <v>6</v>
      </c>
      <c r="B10" s="8" t="n"/>
      <c r="C10" s="5" t="n"/>
      <c r="D10" s="5" t="n"/>
      <c r="E10" s="5" t="n"/>
      <c r="F10" s="5" t="n"/>
      <c r="G10" s="6" t="n"/>
      <c r="H10" s="5" t="n"/>
    </row>
    <row r="11">
      <c r="A11" t="n">
        <v>7</v>
      </c>
      <c r="B11" s="8" t="n"/>
      <c r="C11" s="5" t="n"/>
      <c r="D11" s="5" t="n"/>
      <c r="E11" s="5" t="n"/>
      <c r="F11" s="5" t="n"/>
      <c r="G11" s="6" t="n"/>
      <c r="H11" s="5" t="n"/>
    </row>
    <row r="12">
      <c r="A12" t="n">
        <v>8</v>
      </c>
      <c r="B12" s="8" t="n"/>
      <c r="C12" s="5" t="n"/>
      <c r="D12" s="5" t="n"/>
      <c r="E12" s="5" t="n"/>
      <c r="F12" s="5" t="n"/>
      <c r="G12" s="6" t="n"/>
      <c r="H12" s="5" t="n"/>
    </row>
    <row r="13">
      <c r="A13" t="n">
        <v>9</v>
      </c>
      <c r="B13" s="8" t="n"/>
      <c r="C13" s="5" t="n"/>
      <c r="D13" s="5" t="n"/>
      <c r="E13" s="5" t="n"/>
      <c r="F13" s="5" t="n"/>
      <c r="G13" s="6" t="n"/>
      <c r="H13" s="5" t="n"/>
    </row>
    <row r="14">
      <c r="A14" t="n">
        <v>10</v>
      </c>
      <c r="B14" s="8" t="n"/>
      <c r="C14" s="5" t="n"/>
      <c r="D14" s="5" t="n"/>
      <c r="E14" s="5" t="n"/>
      <c r="F14" s="5" t="n"/>
      <c r="G14" s="6" t="n"/>
      <c r="H14" s="5" t="n"/>
    </row>
    <row r="15">
      <c r="A15" t="n">
        <v>11</v>
      </c>
      <c r="B15" s="8" t="n"/>
      <c r="C15" s="5" t="n"/>
      <c r="D15" s="5" t="n"/>
      <c r="E15" s="5" t="n"/>
      <c r="F15" s="5" t="n"/>
      <c r="G15" s="6" t="n"/>
      <c r="H15" s="5" t="n"/>
    </row>
    <row r="16">
      <c r="A16" t="n">
        <v>12</v>
      </c>
      <c r="B16" s="8" t="n"/>
      <c r="C16" s="5" t="n"/>
      <c r="D16" s="5" t="n"/>
      <c r="E16" s="5" t="n"/>
      <c r="F16" s="5" t="n"/>
      <c r="G16" s="6" t="n"/>
      <c r="H16" s="5" t="n"/>
    </row>
    <row r="17">
      <c r="A17" t="n">
        <v>13</v>
      </c>
      <c r="B17" s="8" t="n"/>
      <c r="C17" s="5" t="n"/>
      <c r="D17" s="5" t="n"/>
      <c r="E17" s="5" t="n"/>
      <c r="F17" s="5" t="n"/>
      <c r="G17" s="6" t="n"/>
      <c r="H17" s="5" t="n"/>
    </row>
    <row r="18">
      <c r="A18" t="n">
        <v>14</v>
      </c>
      <c r="B18" s="8" t="n"/>
      <c r="C18" s="5" t="n"/>
      <c r="D18" s="5" t="n"/>
      <c r="E18" s="5" t="n"/>
      <c r="F18" s="5" t="n"/>
      <c r="G18" s="6" t="n"/>
      <c r="H18" s="5" t="n"/>
    </row>
    <row r="19">
      <c r="A19" t="n">
        <v>15</v>
      </c>
      <c r="B19" s="8" t="n"/>
      <c r="C19" s="5" t="n"/>
      <c r="D19" s="5" t="n"/>
      <c r="E19" s="5" t="n"/>
      <c r="F19" s="5" t="n"/>
      <c r="G19" s="6" t="n"/>
      <c r="H19" s="5" t="n"/>
    </row>
    <row r="20">
      <c r="A20" t="n">
        <v>16</v>
      </c>
      <c r="B20" s="8" t="n"/>
      <c r="C20" s="5" t="n"/>
      <c r="D20" s="5" t="n"/>
      <c r="E20" s="5" t="n"/>
      <c r="F20" s="5" t="n"/>
      <c r="G20" s="6" t="n"/>
      <c r="H20" s="5" t="n"/>
    </row>
    <row r="21">
      <c r="A21" t="n">
        <v>17</v>
      </c>
      <c r="B21" s="8" t="n"/>
      <c r="C21" s="5" t="n"/>
      <c r="D21" s="5" t="n"/>
      <c r="E21" s="5" t="n"/>
      <c r="F21" s="5" t="n"/>
      <c r="G21" s="6" t="n"/>
      <c r="H21" s="5" t="n"/>
    </row>
    <row r="22">
      <c r="A22" t="n">
        <v>18</v>
      </c>
      <c r="B22" s="8" t="n"/>
      <c r="C22" s="5" t="n"/>
      <c r="D22" s="5" t="n"/>
      <c r="E22" s="5" t="n"/>
      <c r="F22" s="5" t="n"/>
      <c r="G22" s="6" t="n"/>
      <c r="H22" s="5" t="n"/>
    </row>
    <row r="23">
      <c r="A23" t="n">
        <v>19</v>
      </c>
      <c r="B23" s="8" t="n"/>
      <c r="C23" s="5" t="n"/>
      <c r="D23" s="5" t="n"/>
      <c r="E23" s="5" t="n"/>
      <c r="F23" s="5" t="n"/>
      <c r="G23" s="6" t="n"/>
      <c r="H23" s="5" t="n"/>
    </row>
    <row r="24">
      <c r="A24" t="n">
        <v>20</v>
      </c>
      <c r="B24" s="8" t="n"/>
      <c r="C24" s="5" t="n"/>
      <c r="D24" s="5" t="n"/>
      <c r="E24" s="5" t="n"/>
      <c r="F24" s="5" t="n"/>
      <c r="G24" s="6" t="n"/>
      <c r="H24" s="5" t="n"/>
    </row>
    <row r="25">
      <c r="A25" t="n">
        <v>21</v>
      </c>
      <c r="B25" s="8" t="n"/>
      <c r="C25" s="5" t="n"/>
      <c r="D25" s="5" t="n"/>
      <c r="E25" s="5" t="n"/>
      <c r="F25" s="5" t="n"/>
      <c r="G25" s="6" t="n"/>
      <c r="H25" s="5" t="n"/>
    </row>
    <row r="26">
      <c r="A26" t="n">
        <v>22</v>
      </c>
      <c r="B26" s="8" t="n"/>
      <c r="C26" s="5" t="n"/>
      <c r="D26" s="5" t="n"/>
      <c r="E26" s="5" t="n"/>
      <c r="F26" s="5" t="n"/>
      <c r="G26" s="6" t="n"/>
      <c r="H26" s="5" t="n"/>
    </row>
    <row r="27">
      <c r="A27" t="n">
        <v>23</v>
      </c>
      <c r="B27" s="8" t="n"/>
      <c r="C27" s="5" t="n"/>
      <c r="D27" s="5" t="n"/>
      <c r="E27" s="5" t="n"/>
      <c r="F27" s="5" t="n"/>
      <c r="G27" s="6" t="n"/>
      <c r="H27" s="5" t="n"/>
    </row>
    <row r="28">
      <c r="A28" t="n">
        <v>24</v>
      </c>
      <c r="B28" s="8" t="n"/>
      <c r="C28" s="5" t="n"/>
      <c r="D28" s="5" t="n"/>
      <c r="E28" s="5" t="n"/>
      <c r="F28" s="5" t="n"/>
      <c r="G28" s="6" t="n"/>
      <c r="H28" s="5" t="n"/>
    </row>
    <row r="29">
      <c r="A29" t="n">
        <v>25</v>
      </c>
      <c r="B29" s="8" t="n"/>
      <c r="C29" s="5" t="n"/>
      <c r="D29" s="5" t="n"/>
      <c r="E29" s="5" t="n"/>
      <c r="F29" s="5" t="n"/>
      <c r="G29" s="6" t="n"/>
      <c r="H29" s="5" t="n"/>
    </row>
    <row r="30">
      <c r="A30" t="n">
        <v>26</v>
      </c>
      <c r="B30" s="8" t="n"/>
      <c r="C30" s="5" t="n"/>
      <c r="D30" s="5" t="n"/>
      <c r="E30" s="5" t="n"/>
      <c r="F30" s="5" t="n"/>
      <c r="G30" s="6" t="n"/>
      <c r="H30" s="5" t="n"/>
    </row>
    <row r="31">
      <c r="A31" t="n">
        <v>27</v>
      </c>
      <c r="B31" s="8" t="n"/>
      <c r="C31" s="5" t="n"/>
      <c r="D31" s="5" t="n"/>
      <c r="E31" s="5" t="n"/>
      <c r="F31" s="5" t="n"/>
      <c r="G31" s="6" t="n"/>
      <c r="H31" s="5" t="n"/>
    </row>
    <row r="32">
      <c r="A32" t="n">
        <v>28</v>
      </c>
      <c r="B32" s="8" t="n"/>
      <c r="C32" s="5" t="n"/>
      <c r="D32" s="5" t="n"/>
      <c r="E32" s="5" t="n"/>
      <c r="F32" s="5" t="n"/>
      <c r="G32" s="6" t="n"/>
      <c r="H32" s="5" t="n"/>
    </row>
    <row r="33">
      <c r="A33" t="n">
        <v>29</v>
      </c>
      <c r="B33" s="8" t="n"/>
      <c r="C33" s="5" t="n"/>
      <c r="D33" s="5" t="n"/>
      <c r="E33" s="5" t="n"/>
      <c r="F33" s="5" t="n"/>
      <c r="G33" s="6" t="n"/>
      <c r="H33" s="5" t="n"/>
    </row>
    <row r="34">
      <c r="A34" t="n">
        <v>30</v>
      </c>
      <c r="B34" s="8" t="n"/>
      <c r="C34" s="5" t="n"/>
      <c r="D34" s="5" t="n"/>
      <c r="E34" s="5" t="n"/>
      <c r="F34" s="5" t="n"/>
      <c r="G34" s="6" t="n"/>
      <c r="H34" s="5" t="n"/>
    </row>
    <row r="35">
      <c r="A35" t="n">
        <v>31</v>
      </c>
      <c r="B35" s="8" t="n"/>
      <c r="C35" s="5" t="n"/>
      <c r="D35" s="5" t="n"/>
      <c r="E35" s="5" t="n"/>
      <c r="F35" s="5" t="n"/>
      <c r="G35" s="6" t="n"/>
      <c r="H35" s="5" t="n"/>
    </row>
    <row r="36">
      <c r="A36" t="n">
        <v>32</v>
      </c>
      <c r="B36" s="8" t="n"/>
      <c r="C36" s="5" t="n"/>
      <c r="D36" s="5" t="n"/>
      <c r="E36" s="5" t="n"/>
      <c r="F36" s="5" t="n"/>
      <c r="G36" s="6" t="n"/>
      <c r="H36" s="5" t="n"/>
    </row>
    <row r="37">
      <c r="A37" t="n">
        <v>33</v>
      </c>
      <c r="B37" s="8" t="n"/>
      <c r="C37" s="5" t="n"/>
      <c r="D37" s="5" t="n"/>
      <c r="E37" s="5" t="n"/>
      <c r="F37" s="5" t="n"/>
      <c r="G37" s="6" t="n"/>
      <c r="H37" s="5" t="n"/>
    </row>
    <row r="38">
      <c r="A38" t="n">
        <v>34</v>
      </c>
      <c r="B38" s="8" t="n"/>
      <c r="C38" s="5" t="n"/>
      <c r="D38" s="5" t="n"/>
      <c r="E38" s="5" t="n"/>
      <c r="F38" s="5" t="n"/>
      <c r="G38" s="6" t="n"/>
      <c r="H38" s="5" t="n"/>
    </row>
    <row r="39">
      <c r="A39" t="n">
        <v>35</v>
      </c>
      <c r="B39" s="8" t="n"/>
      <c r="C39" s="5" t="n"/>
      <c r="D39" s="5" t="n"/>
      <c r="E39" s="5" t="n"/>
      <c r="F39" s="5" t="n"/>
      <c r="G39" s="6" t="n"/>
      <c r="H39" s="5" t="n"/>
    </row>
    <row r="40">
      <c r="A40" t="n">
        <v>36</v>
      </c>
      <c r="B40" s="8" t="n"/>
      <c r="C40" s="5" t="n"/>
      <c r="D40" s="5" t="n"/>
      <c r="E40" s="5" t="n"/>
      <c r="F40" s="5" t="n"/>
      <c r="G40" s="6" t="n"/>
      <c r="H40" s="5" t="n"/>
    </row>
    <row r="41">
      <c r="A41" t="n">
        <v>37</v>
      </c>
      <c r="B41" s="8" t="n"/>
      <c r="C41" s="5" t="n"/>
      <c r="D41" s="5" t="n"/>
      <c r="E41" s="5" t="n"/>
      <c r="F41" s="5" t="n"/>
      <c r="G41" s="6" t="n"/>
      <c r="H41" s="5" t="n"/>
    </row>
    <row r="42">
      <c r="A42" t="n">
        <v>38</v>
      </c>
      <c r="B42" s="8" t="n"/>
      <c r="C42" s="5" t="n"/>
      <c r="D42" s="5" t="n"/>
      <c r="E42" s="5" t="n"/>
      <c r="F42" s="5" t="n"/>
      <c r="G42" s="6" t="n"/>
      <c r="H42" s="5" t="n"/>
    </row>
    <row r="43">
      <c r="A43" t="n">
        <v>39</v>
      </c>
      <c r="B43" s="8" t="n"/>
      <c r="C43" s="5" t="n"/>
      <c r="D43" s="5" t="n"/>
      <c r="E43" s="5" t="n"/>
      <c r="F43" s="5" t="n"/>
      <c r="G43" s="6" t="n"/>
      <c r="H43" s="5" t="n"/>
    </row>
    <row r="44">
      <c r="A44" t="n">
        <v>40</v>
      </c>
      <c r="B44" s="8" t="n"/>
      <c r="C44" s="5" t="n"/>
      <c r="D44" s="5" t="n"/>
      <c r="E44" s="5" t="n"/>
      <c r="F44" s="5" t="n"/>
      <c r="G44" s="6" t="n"/>
      <c r="H44" s="5" t="n"/>
    </row>
    <row r="45">
      <c r="A45" t="n">
        <v>41</v>
      </c>
      <c r="B45" s="8" t="n"/>
      <c r="C45" s="5" t="n"/>
      <c r="D45" s="5" t="n"/>
      <c r="E45" s="5" t="n"/>
      <c r="F45" s="5" t="n"/>
      <c r="G45" s="6" t="n"/>
      <c r="H45" s="5" t="n"/>
    </row>
    <row r="46">
      <c r="A46" t="n">
        <v>42</v>
      </c>
      <c r="B46" s="8" t="n"/>
      <c r="C46" s="5" t="n"/>
      <c r="D46" s="5" t="n"/>
      <c r="E46" s="5" t="n"/>
      <c r="F46" s="5" t="n"/>
      <c r="G46" s="6" t="n"/>
      <c r="H46" s="5" t="n"/>
    </row>
    <row r="47">
      <c r="A47" t="n">
        <v>43</v>
      </c>
      <c r="B47" s="8" t="n"/>
      <c r="C47" s="5" t="n"/>
      <c r="D47" s="5" t="n"/>
      <c r="E47" s="5" t="n"/>
      <c r="F47" s="5" t="n"/>
      <c r="G47" s="6" t="n"/>
      <c r="H47" s="5" t="n"/>
    </row>
    <row r="48">
      <c r="A48" t="n">
        <v>44</v>
      </c>
      <c r="B48" s="8" t="n"/>
      <c r="C48" s="5" t="n"/>
      <c r="D48" s="5" t="n"/>
      <c r="E48" s="5" t="n"/>
      <c r="F48" s="5" t="n"/>
      <c r="G48" s="6" t="n"/>
      <c r="H48" s="5" t="n"/>
    </row>
    <row r="49">
      <c r="A49" t="n">
        <v>45</v>
      </c>
      <c r="B49" s="8" t="n"/>
      <c r="C49" s="5" t="n"/>
      <c r="D49" s="5" t="n"/>
      <c r="E49" s="5" t="n"/>
      <c r="F49" s="5" t="n"/>
      <c r="G49" s="6" t="n"/>
      <c r="H49" s="5" t="n"/>
    </row>
    <row r="50">
      <c r="A50" t="n">
        <v>46</v>
      </c>
      <c r="B50" s="8" t="n"/>
      <c r="C50" s="5" t="n"/>
      <c r="D50" s="5" t="n"/>
      <c r="E50" s="5" t="n"/>
      <c r="F50" s="5" t="n"/>
      <c r="G50" s="6" t="n"/>
      <c r="H50" s="5" t="n"/>
    </row>
    <row r="51">
      <c r="A51" t="n">
        <v>47</v>
      </c>
      <c r="B51" s="8" t="n"/>
      <c r="C51" s="5" t="n"/>
      <c r="D51" s="5" t="n"/>
      <c r="E51" s="5" t="n"/>
      <c r="F51" s="5" t="n"/>
      <c r="G51" s="6" t="n"/>
      <c r="H51" s="5" t="n"/>
    </row>
    <row r="52">
      <c r="A52" t="n">
        <v>48</v>
      </c>
      <c r="B52" s="8" t="n"/>
      <c r="C52" s="5" t="n"/>
      <c r="D52" s="5" t="n"/>
      <c r="E52" s="5" t="n"/>
      <c r="F52" s="5" t="n"/>
      <c r="G52" s="6" t="n"/>
      <c r="H52" s="5" t="n"/>
    </row>
    <row r="53">
      <c r="A53" t="n">
        <v>49</v>
      </c>
      <c r="B53" s="8" t="n"/>
      <c r="C53" s="5" t="n"/>
      <c r="D53" s="5" t="n"/>
      <c r="E53" s="5" t="n"/>
      <c r="F53" s="5" t="n"/>
      <c r="G53" s="6" t="n"/>
      <c r="H53" s="5" t="n"/>
    </row>
    <row r="54">
      <c r="A54" t="n">
        <v>50</v>
      </c>
      <c r="B54" s="8" t="n"/>
      <c r="C54" s="5" t="n"/>
      <c r="D54" s="5" t="n"/>
      <c r="E54" s="5" t="n"/>
      <c r="F54" s="5" t="n"/>
      <c r="G54" s="6" t="n"/>
      <c r="H54" s="5" t="n"/>
    </row>
    <row r="55">
      <c r="A55" t="n">
        <v>51</v>
      </c>
      <c r="B55" s="8" t="n"/>
      <c r="C55" s="5" t="n"/>
      <c r="D55" s="5" t="n"/>
      <c r="E55" s="5" t="n"/>
      <c r="F55" s="5" t="n"/>
      <c r="G55" s="6" t="n"/>
      <c r="H55" s="5" t="n"/>
    </row>
    <row r="56">
      <c r="A56" t="n">
        <v>52</v>
      </c>
      <c r="B56" s="8" t="n"/>
      <c r="C56" s="5" t="n"/>
      <c r="D56" s="5" t="n"/>
      <c r="E56" s="5" t="n"/>
      <c r="F56" s="5" t="n"/>
      <c r="G56" s="6" t="n"/>
      <c r="H56" s="5" t="n"/>
    </row>
    <row r="57">
      <c r="A57" t="n">
        <v>53</v>
      </c>
      <c r="B57" s="8" t="n"/>
      <c r="C57" s="5" t="n"/>
      <c r="D57" s="5" t="n"/>
      <c r="E57" s="5" t="n"/>
      <c r="F57" s="5" t="n"/>
      <c r="G57" s="6" t="n"/>
      <c r="H57" s="5" t="n"/>
    </row>
    <row r="58">
      <c r="A58" t="n">
        <v>54</v>
      </c>
      <c r="B58" s="8" t="n"/>
      <c r="C58" s="5" t="n"/>
      <c r="D58" s="5" t="n"/>
      <c r="E58" s="5" t="n"/>
      <c r="F58" s="5" t="n"/>
      <c r="G58" s="6" t="n"/>
      <c r="H58" s="5" t="n"/>
    </row>
    <row r="59">
      <c r="A59" t="n">
        <v>55</v>
      </c>
      <c r="B59" s="8" t="n"/>
      <c r="C59" s="5" t="n"/>
      <c r="D59" s="5" t="n"/>
      <c r="E59" s="5" t="n"/>
      <c r="F59" s="5" t="n"/>
      <c r="G59" s="6" t="n"/>
      <c r="H59" s="5" t="n"/>
    </row>
    <row r="60">
      <c r="A60" t="n">
        <v>56</v>
      </c>
      <c r="B60" s="8" t="n"/>
      <c r="C60" s="5" t="n"/>
      <c r="D60" s="5" t="n"/>
      <c r="E60" s="5" t="n"/>
      <c r="F60" s="5" t="n"/>
      <c r="G60" s="6" t="n"/>
      <c r="H60" s="5" t="n"/>
    </row>
    <row r="61">
      <c r="A61" t="n">
        <v>57</v>
      </c>
      <c r="B61" s="8" t="n"/>
      <c r="C61" s="5" t="n"/>
      <c r="D61" s="5" t="n"/>
      <c r="E61" s="5" t="n"/>
      <c r="F61" s="5" t="n"/>
      <c r="G61" s="6" t="n"/>
      <c r="H61" s="5" t="n"/>
    </row>
    <row r="62">
      <c r="A62" t="n">
        <v>58</v>
      </c>
      <c r="B62" s="8" t="n"/>
      <c r="C62" s="5" t="n"/>
      <c r="D62" s="5" t="n"/>
      <c r="E62" s="5" t="n"/>
      <c r="F62" s="5" t="n"/>
      <c r="G62" s="6" t="n"/>
      <c r="H62" s="5" t="n"/>
    </row>
    <row r="63">
      <c r="A63" t="n">
        <v>59</v>
      </c>
      <c r="B63" s="8" t="n"/>
      <c r="C63" s="5" t="n"/>
      <c r="D63" s="5" t="n"/>
      <c r="E63" s="5" t="n"/>
      <c r="F63" s="5" t="n"/>
      <c r="G63" s="6" t="n"/>
      <c r="H63" s="5" t="n"/>
    </row>
    <row r="64">
      <c r="A64" t="n">
        <v>60</v>
      </c>
      <c r="B64" s="8" t="n"/>
      <c r="C64" s="5" t="n"/>
      <c r="D64" s="5" t="n"/>
      <c r="E64" s="5" t="n"/>
      <c r="F64" s="5" t="n"/>
      <c r="G64" s="6" t="n"/>
      <c r="H64" s="5" t="n"/>
    </row>
    <row r="65">
      <c r="A65" t="n">
        <v>61</v>
      </c>
      <c r="B65" s="8" t="n"/>
      <c r="C65" s="5" t="n"/>
      <c r="D65" s="5" t="n"/>
      <c r="E65" s="5" t="n"/>
      <c r="F65" s="5" t="n"/>
      <c r="G65" s="6" t="n"/>
      <c r="H65" s="5" t="n"/>
    </row>
    <row r="66">
      <c r="A66" t="n">
        <v>62</v>
      </c>
      <c r="B66" s="8" t="n"/>
      <c r="C66" s="5" t="n"/>
      <c r="D66" s="5" t="n"/>
      <c r="E66" s="5" t="n"/>
      <c r="F66" s="5" t="n"/>
      <c r="G66" s="6" t="n"/>
      <c r="H66" s="5" t="n"/>
    </row>
    <row r="67">
      <c r="A67" t="n">
        <v>63</v>
      </c>
      <c r="B67" s="8" t="n"/>
      <c r="C67" s="5" t="n"/>
      <c r="D67" s="5" t="n"/>
      <c r="E67" s="5" t="n"/>
      <c r="F67" s="5" t="n"/>
      <c r="G67" s="6" t="n"/>
      <c r="H67" s="5" t="n"/>
    </row>
    <row r="68">
      <c r="A68" t="n">
        <v>64</v>
      </c>
      <c r="B68" s="8" t="n"/>
      <c r="C68" s="5" t="n"/>
      <c r="D68" s="5" t="n"/>
      <c r="E68" s="5" t="n"/>
      <c r="F68" s="5" t="n"/>
      <c r="G68" s="6" t="n"/>
      <c r="H68" s="5" t="n"/>
    </row>
    <row r="69">
      <c r="A69" t="n">
        <v>65</v>
      </c>
      <c r="B69" s="8" t="n"/>
      <c r="C69" s="5" t="n"/>
      <c r="D69" s="5" t="n"/>
      <c r="E69" s="5" t="n"/>
      <c r="F69" s="5" t="n"/>
      <c r="G69" s="6" t="n"/>
      <c r="H69" s="5" t="n"/>
    </row>
    <row r="70">
      <c r="A70" t="n">
        <v>66</v>
      </c>
      <c r="B70" s="8" t="n"/>
      <c r="C70" s="5" t="n"/>
      <c r="D70" s="5" t="n"/>
      <c r="E70" s="5" t="n"/>
      <c r="F70" s="5" t="n"/>
      <c r="G70" s="6" t="n"/>
      <c r="H70" s="5" t="n"/>
    </row>
    <row r="71">
      <c r="A71" t="n">
        <v>67</v>
      </c>
      <c r="B71" s="8" t="n"/>
      <c r="C71" s="5" t="n"/>
      <c r="D71" s="5" t="n"/>
      <c r="E71" s="5" t="n"/>
      <c r="F71" s="5" t="n"/>
      <c r="G71" s="6" t="n"/>
      <c r="H71" s="5" t="n"/>
    </row>
    <row r="72">
      <c r="A72" t="n">
        <v>68</v>
      </c>
      <c r="B72" s="8" t="n"/>
      <c r="C72" s="5" t="n"/>
      <c r="D72" s="5" t="n"/>
      <c r="E72" s="5" t="n"/>
      <c r="F72" s="5" t="n"/>
      <c r="G72" s="6" t="n"/>
      <c r="H72" s="5" t="n"/>
    </row>
    <row r="73">
      <c r="A73" t="n">
        <v>69</v>
      </c>
      <c r="B73" s="8" t="n"/>
      <c r="C73" s="5" t="n"/>
      <c r="D73" s="5" t="n"/>
      <c r="E73" s="5" t="n"/>
      <c r="F73" s="5" t="n"/>
      <c r="G73" s="6" t="n"/>
      <c r="H73" s="5" t="n"/>
    </row>
    <row r="74">
      <c r="A74" t="n">
        <v>70</v>
      </c>
      <c r="B74" s="8" t="n"/>
      <c r="C74" s="5" t="n"/>
      <c r="D74" s="5" t="n"/>
      <c r="E74" s="5" t="n"/>
      <c r="F74" s="5" t="n"/>
      <c r="G74" s="6" t="n"/>
      <c r="H74" s="5" t="n"/>
    </row>
    <row r="75">
      <c r="A75" t="n">
        <v>71</v>
      </c>
      <c r="B75" s="8" t="n"/>
      <c r="C75" s="5" t="n"/>
      <c r="D75" s="5" t="n"/>
      <c r="E75" s="5" t="n"/>
      <c r="F75" s="5" t="n"/>
      <c r="G75" s="6" t="n"/>
      <c r="H75" s="5" t="n"/>
    </row>
    <row r="76">
      <c r="A76" t="n">
        <v>72</v>
      </c>
      <c r="B76" s="8" t="n"/>
      <c r="C76" s="5" t="n"/>
      <c r="D76" s="5" t="n"/>
      <c r="E76" s="5" t="n"/>
      <c r="F76" s="5" t="n"/>
      <c r="G76" s="6" t="n"/>
      <c r="H76" s="5" t="n"/>
    </row>
    <row r="77">
      <c r="A77" t="n">
        <v>73</v>
      </c>
      <c r="B77" s="8" t="n"/>
      <c r="C77" s="5" t="n"/>
      <c r="D77" s="5" t="n"/>
      <c r="E77" s="5" t="n"/>
      <c r="F77" s="5" t="n"/>
      <c r="G77" s="6" t="n"/>
      <c r="H77" s="5" t="n"/>
    </row>
    <row r="78">
      <c r="A78" t="n">
        <v>74</v>
      </c>
      <c r="B78" s="8" t="n"/>
      <c r="C78" s="5" t="n"/>
      <c r="D78" s="5" t="n"/>
      <c r="E78" s="5" t="n"/>
      <c r="F78" s="5" t="n"/>
      <c r="G78" s="6" t="n"/>
      <c r="H78" s="5" t="n"/>
    </row>
    <row r="79">
      <c r="A79" t="n">
        <v>75</v>
      </c>
      <c r="B79" s="8" t="n"/>
      <c r="C79" s="5" t="n"/>
      <c r="D79" s="5" t="n"/>
      <c r="E79" s="5" t="n"/>
      <c r="F79" s="5" t="n"/>
      <c r="G79" s="6" t="n"/>
      <c r="H79" s="5" t="n"/>
    </row>
    <row r="80">
      <c r="A80" t="n">
        <v>76</v>
      </c>
      <c r="B80" s="8" t="n"/>
      <c r="C80" s="5" t="n"/>
      <c r="D80" s="5" t="n"/>
      <c r="E80" s="5" t="n"/>
      <c r="F80" s="5" t="n"/>
      <c r="G80" s="6" t="n"/>
      <c r="H80" s="5" t="n"/>
    </row>
    <row r="81">
      <c r="A81" t="n">
        <v>77</v>
      </c>
      <c r="B81" s="8" t="n"/>
      <c r="C81" s="5" t="n"/>
      <c r="D81" s="5" t="n"/>
      <c r="E81" s="5" t="n"/>
      <c r="F81" s="5" t="n"/>
      <c r="G81" s="6" t="n"/>
      <c r="H81" s="5" t="n"/>
    </row>
    <row r="82">
      <c r="A82" t="n">
        <v>78</v>
      </c>
      <c r="B82" s="8" t="n"/>
      <c r="C82" s="5" t="n"/>
      <c r="D82" s="5" t="n"/>
      <c r="E82" s="5" t="n"/>
      <c r="F82" s="5" t="n"/>
      <c r="G82" s="6" t="n"/>
      <c r="H82" s="5" t="n"/>
    </row>
    <row r="83">
      <c r="A83" t="n">
        <v>79</v>
      </c>
      <c r="B83" s="8" t="n"/>
      <c r="C83" s="5" t="n"/>
      <c r="D83" s="5" t="n"/>
      <c r="E83" s="5" t="n"/>
      <c r="F83" s="5" t="n"/>
      <c r="G83" s="6" t="n"/>
      <c r="H83" s="5" t="n"/>
    </row>
    <row r="84">
      <c r="A84" t="n">
        <v>80</v>
      </c>
      <c r="B84" s="8" t="n"/>
      <c r="C84" s="5" t="n"/>
      <c r="D84" s="5" t="n"/>
      <c r="E84" s="5" t="n"/>
      <c r="F84" s="5" t="n"/>
      <c r="G84" s="6" t="n"/>
      <c r="H84" s="5" t="n"/>
    </row>
    <row r="85">
      <c r="A85" t="n">
        <v>81</v>
      </c>
      <c r="B85" s="8" t="n"/>
      <c r="C85" s="5" t="n"/>
      <c r="D85" s="5" t="n"/>
      <c r="E85" s="5" t="n"/>
      <c r="F85" s="5" t="n"/>
      <c r="G85" s="6" t="n"/>
      <c r="H85" s="5" t="n"/>
    </row>
    <row r="86">
      <c r="A86" t="n">
        <v>82</v>
      </c>
      <c r="B86" s="8" t="n"/>
      <c r="C86" s="5" t="n"/>
      <c r="D86" s="5" t="n"/>
      <c r="E86" s="5" t="n"/>
      <c r="F86" s="5" t="n"/>
      <c r="G86" s="6" t="n"/>
      <c r="H86" s="5" t="n"/>
    </row>
    <row r="87">
      <c r="A87" t="n">
        <v>83</v>
      </c>
      <c r="B87" s="8" t="n"/>
      <c r="C87" s="5" t="n"/>
      <c r="D87" s="5" t="n"/>
      <c r="E87" s="5" t="n"/>
      <c r="F87" s="5" t="n"/>
      <c r="G87" s="6" t="n"/>
      <c r="H87" s="5" t="n"/>
    </row>
    <row r="88">
      <c r="A88" t="n">
        <v>84</v>
      </c>
      <c r="B88" s="8" t="n"/>
      <c r="C88" s="5" t="n"/>
      <c r="D88" s="5" t="n"/>
      <c r="E88" s="5" t="n"/>
      <c r="F88" s="5" t="n"/>
      <c r="G88" s="6" t="n"/>
      <c r="H88" s="5" t="n"/>
    </row>
    <row r="89">
      <c r="A89" t="n">
        <v>85</v>
      </c>
      <c r="B89" s="8" t="n"/>
      <c r="C89" s="5" t="n"/>
      <c r="D89" s="5" t="n"/>
      <c r="E89" s="5" t="n"/>
      <c r="F89" s="5" t="n"/>
      <c r="G89" s="6" t="n"/>
      <c r="H89" s="5" t="n"/>
    </row>
    <row r="90">
      <c r="A90" t="n">
        <v>86</v>
      </c>
      <c r="B90" s="8" t="n"/>
      <c r="C90" s="5" t="n"/>
      <c r="D90" s="5" t="n"/>
      <c r="E90" s="5" t="n"/>
      <c r="F90" s="5" t="n"/>
      <c r="G90" s="6" t="n"/>
      <c r="H90" s="5" t="n"/>
    </row>
    <row r="91">
      <c r="A91" t="n">
        <v>87</v>
      </c>
      <c r="B91" s="8" t="n"/>
      <c r="C91" s="5" t="n"/>
      <c r="D91" s="5" t="n"/>
      <c r="E91" s="5" t="n"/>
      <c r="F91" s="5" t="n"/>
      <c r="G91" s="6" t="n"/>
      <c r="H91" s="5" t="n"/>
    </row>
    <row r="92">
      <c r="A92" t="n">
        <v>88</v>
      </c>
      <c r="B92" s="8" t="n"/>
      <c r="C92" s="5" t="n"/>
      <c r="D92" s="5" t="n"/>
      <c r="E92" s="5" t="n"/>
      <c r="F92" s="5" t="n"/>
      <c r="G92" s="6" t="n"/>
      <c r="H92" s="5" t="n"/>
    </row>
    <row r="93">
      <c r="A93" t="n">
        <v>89</v>
      </c>
      <c r="B93" s="8" t="n"/>
      <c r="C93" s="5" t="n"/>
      <c r="D93" s="5" t="n"/>
      <c r="E93" s="5" t="n"/>
      <c r="F93" s="5" t="n"/>
      <c r="G93" s="6" t="n"/>
      <c r="H93" s="5" t="n"/>
    </row>
    <row r="94">
      <c r="A94" t="n">
        <v>90</v>
      </c>
      <c r="B94" s="8" t="n"/>
      <c r="C94" s="5" t="n"/>
      <c r="D94" s="5" t="n"/>
      <c r="E94" s="5" t="n"/>
      <c r="F94" s="5" t="n"/>
      <c r="G94" s="6" t="n"/>
      <c r="H94" s="5" t="n"/>
    </row>
    <row r="95">
      <c r="A95" t="n">
        <v>91</v>
      </c>
      <c r="B95" s="8" t="n"/>
      <c r="C95" s="5" t="n"/>
      <c r="D95" s="5" t="n"/>
      <c r="E95" s="5" t="n"/>
      <c r="F95" s="5" t="n"/>
      <c r="G95" s="6" t="n"/>
      <c r="H95" s="5" t="n"/>
    </row>
    <row r="96">
      <c r="A96" t="n">
        <v>92</v>
      </c>
      <c r="B96" s="8" t="n"/>
      <c r="C96" s="5" t="n"/>
      <c r="D96" s="5" t="n"/>
      <c r="E96" s="5" t="n"/>
      <c r="F96" s="5" t="n"/>
      <c r="G96" s="6" t="n"/>
      <c r="H96" s="5" t="n"/>
    </row>
    <row r="97">
      <c r="A97" t="n">
        <v>93</v>
      </c>
      <c r="B97" s="8" t="n"/>
      <c r="C97" s="5" t="n"/>
      <c r="D97" s="5" t="n"/>
      <c r="E97" s="5" t="n"/>
      <c r="F97" s="5" t="n"/>
      <c r="G97" s="6" t="n"/>
      <c r="H97" s="5" t="n"/>
    </row>
    <row r="98">
      <c r="A98" t="n">
        <v>94</v>
      </c>
      <c r="B98" s="8" t="n"/>
      <c r="C98" s="5" t="n"/>
      <c r="D98" s="5" t="n"/>
      <c r="E98" s="5" t="n"/>
      <c r="F98" s="5" t="n"/>
      <c r="G98" s="6" t="n"/>
      <c r="H98" s="5" t="n"/>
    </row>
    <row r="99">
      <c r="A99" t="n">
        <v>95</v>
      </c>
      <c r="B99" s="8" t="n"/>
      <c r="C99" s="5" t="n"/>
      <c r="D99" s="5" t="n"/>
      <c r="E99" s="5" t="n"/>
      <c r="F99" s="5" t="n"/>
      <c r="G99" s="6" t="n"/>
      <c r="H99" s="5" t="n"/>
    </row>
    <row r="100">
      <c r="A100" t="n">
        <v>96</v>
      </c>
      <c r="B100" s="8" t="n"/>
      <c r="C100" s="5" t="n"/>
      <c r="D100" s="5" t="n"/>
      <c r="E100" s="5" t="n"/>
      <c r="F100" s="5" t="n"/>
      <c r="G100" s="6" t="n"/>
      <c r="H100" s="5" t="n"/>
    </row>
    <row r="101">
      <c r="A101" t="n">
        <v>97</v>
      </c>
      <c r="B101" s="8" t="n"/>
      <c r="C101" s="5" t="n"/>
      <c r="D101" s="5" t="n"/>
      <c r="E101" s="5" t="n"/>
      <c r="F101" s="5" t="n"/>
      <c r="G101" s="6" t="n"/>
      <c r="H101" s="5" t="n"/>
    </row>
    <row r="102">
      <c r="A102" t="n">
        <v>98</v>
      </c>
      <c r="B102" s="8" t="n"/>
      <c r="C102" s="5" t="n"/>
      <c r="D102" s="5" t="n"/>
      <c r="E102" s="5" t="n"/>
      <c r="F102" s="5" t="n"/>
      <c r="G102" s="6" t="n"/>
      <c r="H102" s="5" t="n"/>
    </row>
    <row r="103">
      <c r="A103" t="n">
        <v>99</v>
      </c>
      <c r="B103" s="8" t="n"/>
      <c r="C103" s="5" t="n"/>
      <c r="D103" s="5" t="n"/>
      <c r="E103" s="5" t="n"/>
      <c r="F103" s="5" t="n"/>
      <c r="G103" s="6" t="n"/>
      <c r="H103" s="5" t="n"/>
    </row>
    <row r="104">
      <c r="A104" t="n">
        <v>100</v>
      </c>
      <c r="B104" s="8" t="n"/>
      <c r="C104" s="5" t="n"/>
      <c r="D104" s="5" t="n"/>
      <c r="E104" s="5" t="n"/>
      <c r="F104" s="5" t="n"/>
      <c r="G104" s="6" t="n"/>
      <c r="H104" s="5" t="n"/>
    </row>
  </sheetData>
  <dataValidations count="20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type="list">
      <formula1>"BEPAARI,DUKANDAR,CAPITAL,LOAN,AMANAT,ADVANCE,EXPENSE,OTHER"</formula1>
    </dataValidation>
    <dataValidation sqref="D5" showDropDown="0" showInputMessage="0" showErrorMessage="0" allowBlank="1" type="list">
      <formula1>INDIRECT($C5)</formula1>
    </dataValidation>
    <dataValidation sqref="F5" showDropDown="0" showInputMessage="0" showErrorMessage="0" allowBlank="1" type="list">
      <formula1>INDIRECT($E5)</formula1>
    </dataValidation>
    <dataValidation sqref="D6" showDropDown="0" showInputMessage="0" showErrorMessage="0" allowBlank="1" type="list">
      <formula1>INDIRECT($C6)</formula1>
    </dataValidation>
    <dataValidation sqref="F6" showDropDown="0" showInputMessage="0" showErrorMessage="0" allowBlank="1" type="list">
      <formula1>INDIRECT($E6)</formula1>
    </dataValidation>
    <dataValidation sqref="D7" showDropDown="0" showInputMessage="0" showErrorMessage="0" allowBlank="1" type="list">
      <formula1>INDIRECT($C7)</formula1>
    </dataValidation>
    <dataValidation sqref="F7" showDropDown="0" showInputMessage="0" showErrorMessage="0" allowBlank="1" type="list">
      <formula1>INDIRECT($E7)</formula1>
    </dataValidation>
    <dataValidation sqref="D8" showDropDown="0" showInputMessage="0" showErrorMessage="0" allowBlank="1" type="list">
      <formula1>INDIRECT($C8)</formula1>
    </dataValidation>
    <dataValidation sqref="F8" showDropDown="0" showInputMessage="0" showErrorMessage="0" allowBlank="1" type="list">
      <formula1>INDIRECT($E8)</formula1>
    </dataValidation>
    <dataValidation sqref="D9" showDropDown="0" showInputMessage="0" showErrorMessage="0" allowBlank="1" type="list">
      <formula1>INDIRECT($C9)</formula1>
    </dataValidation>
    <dataValidation sqref="F9" showDropDown="0" showInputMessage="0" showErrorMessage="0" allowBlank="1" type="list">
      <formula1>INDIRECT($E9)</formula1>
    </dataValidation>
    <dataValidation sqref="D10" showDropDown="0" showInputMessage="0" showErrorMessage="0" allowBlank="1" type="list">
      <formula1>INDIRECT($C10)</formula1>
    </dataValidation>
    <dataValidation sqref="F10" showDropDown="0" showInputMessage="0" showErrorMessage="0" allowBlank="1" type="list">
      <formula1>INDIRECT($E10)</formula1>
    </dataValidation>
    <dataValidation sqref="D11" showDropDown="0" showInputMessage="0" showErrorMessage="0" allowBlank="1" type="list">
      <formula1>INDIRECT($C11)</formula1>
    </dataValidation>
    <dataValidation sqref="F11" showDropDown="0" showInputMessage="0" showErrorMessage="0" allowBlank="1" type="list">
      <formula1>INDIRECT($E11)</formula1>
    </dataValidation>
    <dataValidation sqref="D12" showDropDown="0" showInputMessage="0" showErrorMessage="0" allowBlank="1" type="list">
      <formula1>INDIRECT($C12)</formula1>
    </dataValidation>
    <dataValidation sqref="F12" showDropDown="0" showInputMessage="0" showErrorMessage="0" allowBlank="1" type="list">
      <formula1>INDIRECT($E12)</formula1>
    </dataValidation>
    <dataValidation sqref="D13" showDropDown="0" showInputMessage="0" showErrorMessage="0" allowBlank="1" type="list">
      <formula1>INDIRECT($C13)</formula1>
    </dataValidation>
    <dataValidation sqref="F13" showDropDown="0" showInputMessage="0" showErrorMessage="0" allowBlank="1" type="list">
      <formula1>INDIRECT($E13)</formula1>
    </dataValidation>
    <dataValidation sqref="D14" showDropDown="0" showInputMessage="0" showErrorMessage="0" allowBlank="1" type="list">
      <formula1>INDIRECT($C14)</formula1>
    </dataValidation>
    <dataValidation sqref="F14" showDropDown="0" showInputMessage="0" showErrorMessage="0" allowBlank="1" type="list">
      <formula1>INDIRECT($E14)</formula1>
    </dataValidation>
    <dataValidation sqref="D15" showDropDown="0" showInputMessage="0" showErrorMessage="0" allowBlank="1" type="list">
      <formula1>INDIRECT($C15)</formula1>
    </dataValidation>
    <dataValidation sqref="F15" showDropDown="0" showInputMessage="0" showErrorMessage="0" allowBlank="1" type="list">
      <formula1>INDIRECT($E15)</formula1>
    </dataValidation>
    <dataValidation sqref="D16" showDropDown="0" showInputMessage="0" showErrorMessage="0" allowBlank="1" type="list">
      <formula1>INDIRECT($C16)</formula1>
    </dataValidation>
    <dataValidation sqref="F16" showDropDown="0" showInputMessage="0" showErrorMessage="0" allowBlank="1" type="list">
      <formula1>INDIRECT($E16)</formula1>
    </dataValidation>
    <dataValidation sqref="D17" showDropDown="0" showInputMessage="0" showErrorMessage="0" allowBlank="1" type="list">
      <formula1>INDIRECT($C17)</formula1>
    </dataValidation>
    <dataValidation sqref="F17" showDropDown="0" showInputMessage="0" showErrorMessage="0" allowBlank="1" type="list">
      <formula1>INDIRECT($E17)</formula1>
    </dataValidation>
    <dataValidation sqref="D18" showDropDown="0" showInputMessage="0" showErrorMessage="0" allowBlank="1" type="list">
      <formula1>INDIRECT($C18)</formula1>
    </dataValidation>
    <dataValidation sqref="F18" showDropDown="0" showInputMessage="0" showErrorMessage="0" allowBlank="1" type="list">
      <formula1>INDIRECT($E18)</formula1>
    </dataValidation>
    <dataValidation sqref="D19" showDropDown="0" showInputMessage="0" showErrorMessage="0" allowBlank="1" type="list">
      <formula1>INDIRECT($C19)</formula1>
    </dataValidation>
    <dataValidation sqref="F19" showDropDown="0" showInputMessage="0" showErrorMessage="0" allowBlank="1" type="list">
      <formula1>INDIRECT($E19)</formula1>
    </dataValidation>
    <dataValidation sqref="D20" showDropDown="0" showInputMessage="0" showErrorMessage="0" allowBlank="1" type="list">
      <formula1>INDIRECT($C20)</formula1>
    </dataValidation>
    <dataValidation sqref="F20" showDropDown="0" showInputMessage="0" showErrorMessage="0" allowBlank="1" type="list">
      <formula1>INDIRECT($E20)</formula1>
    </dataValidation>
    <dataValidation sqref="D21" showDropDown="0" showInputMessage="0" showErrorMessage="0" allowBlank="1" type="list">
      <formula1>INDIRECT($C21)</formula1>
    </dataValidation>
    <dataValidation sqref="F21" showDropDown="0" showInputMessage="0" showErrorMessage="0" allowBlank="1" type="list">
      <formula1>INDIRECT($E21)</formula1>
    </dataValidation>
    <dataValidation sqref="D22" showDropDown="0" showInputMessage="0" showErrorMessage="0" allowBlank="1" type="list">
      <formula1>INDIRECT($C22)</formula1>
    </dataValidation>
    <dataValidation sqref="F22" showDropDown="0" showInputMessage="0" showErrorMessage="0" allowBlank="1" type="list">
      <formula1>INDIRECT($E22)</formula1>
    </dataValidation>
    <dataValidation sqref="D23" showDropDown="0" showInputMessage="0" showErrorMessage="0" allowBlank="1" type="list">
      <formula1>INDIRECT($C23)</formula1>
    </dataValidation>
    <dataValidation sqref="F23" showDropDown="0" showInputMessage="0" showErrorMessage="0" allowBlank="1" type="list">
      <formula1>INDIRECT($E23)</formula1>
    </dataValidation>
    <dataValidation sqref="D24" showDropDown="0" showInputMessage="0" showErrorMessage="0" allowBlank="1" type="list">
      <formula1>INDIRECT($C24)</formula1>
    </dataValidation>
    <dataValidation sqref="F24" showDropDown="0" showInputMessage="0" showErrorMessage="0" allowBlank="1" type="list">
      <formula1>INDIRECT($E24)</formula1>
    </dataValidation>
    <dataValidation sqref="D25" showDropDown="0" showInputMessage="0" showErrorMessage="0" allowBlank="1" type="list">
      <formula1>INDIRECT($C25)</formula1>
    </dataValidation>
    <dataValidation sqref="F25" showDropDown="0" showInputMessage="0" showErrorMessage="0" allowBlank="1" type="list">
      <formula1>INDIRECT($E25)</formula1>
    </dataValidation>
    <dataValidation sqref="D26" showDropDown="0" showInputMessage="0" showErrorMessage="0" allowBlank="1" type="list">
      <formula1>INDIRECT($C26)</formula1>
    </dataValidation>
    <dataValidation sqref="F26" showDropDown="0" showInputMessage="0" showErrorMessage="0" allowBlank="1" type="list">
      <formula1>INDIRECT($E26)</formula1>
    </dataValidation>
    <dataValidation sqref="D27" showDropDown="0" showInputMessage="0" showErrorMessage="0" allowBlank="1" type="list">
      <formula1>INDIRECT($C27)</formula1>
    </dataValidation>
    <dataValidation sqref="F27" showDropDown="0" showInputMessage="0" showErrorMessage="0" allowBlank="1" type="list">
      <formula1>INDIRECT($E27)</formula1>
    </dataValidation>
    <dataValidation sqref="D28" showDropDown="0" showInputMessage="0" showErrorMessage="0" allowBlank="1" type="list">
      <formula1>INDIRECT($C28)</formula1>
    </dataValidation>
    <dataValidation sqref="F28" showDropDown="0" showInputMessage="0" showErrorMessage="0" allowBlank="1" type="list">
      <formula1>INDIRECT($E28)</formula1>
    </dataValidation>
    <dataValidation sqref="D29" showDropDown="0" showInputMessage="0" showErrorMessage="0" allowBlank="1" type="list">
      <formula1>INDIRECT($C29)</formula1>
    </dataValidation>
    <dataValidation sqref="F29" showDropDown="0" showInputMessage="0" showErrorMessage="0" allowBlank="1" type="list">
      <formula1>INDIRECT($E29)</formula1>
    </dataValidation>
    <dataValidation sqref="D30" showDropDown="0" showInputMessage="0" showErrorMessage="0" allowBlank="1" type="list">
      <formula1>INDIRECT($C30)</formula1>
    </dataValidation>
    <dataValidation sqref="F30" showDropDown="0" showInputMessage="0" showErrorMessage="0" allowBlank="1" type="list">
      <formula1>INDIRECT($E30)</formula1>
    </dataValidation>
    <dataValidation sqref="D31" showDropDown="0" showInputMessage="0" showErrorMessage="0" allowBlank="1" type="list">
      <formula1>INDIRECT($C31)</formula1>
    </dataValidation>
    <dataValidation sqref="F31" showDropDown="0" showInputMessage="0" showErrorMessage="0" allowBlank="1" type="list">
      <formula1>INDIRECT($E31)</formula1>
    </dataValidation>
    <dataValidation sqref="D32" showDropDown="0" showInputMessage="0" showErrorMessage="0" allowBlank="1" type="list">
      <formula1>INDIRECT($C32)</formula1>
    </dataValidation>
    <dataValidation sqref="F32" showDropDown="0" showInputMessage="0" showErrorMessage="0" allowBlank="1" type="list">
      <formula1>INDIRECT($E32)</formula1>
    </dataValidation>
    <dataValidation sqref="D33" showDropDown="0" showInputMessage="0" showErrorMessage="0" allowBlank="1" type="list">
      <formula1>INDIRECT($C33)</formula1>
    </dataValidation>
    <dataValidation sqref="F33" showDropDown="0" showInputMessage="0" showErrorMessage="0" allowBlank="1" type="list">
      <formula1>INDIRECT($E33)</formula1>
    </dataValidation>
    <dataValidation sqref="D34" showDropDown="0" showInputMessage="0" showErrorMessage="0" allowBlank="1" type="list">
      <formula1>INDIRECT($C34)</formula1>
    </dataValidation>
    <dataValidation sqref="F34" showDropDown="0" showInputMessage="0" showErrorMessage="0" allowBlank="1" type="list">
      <formula1>INDIRECT($E34)</formula1>
    </dataValidation>
    <dataValidation sqref="D35" showDropDown="0" showInputMessage="0" showErrorMessage="0" allowBlank="1" type="list">
      <formula1>INDIRECT($C35)</formula1>
    </dataValidation>
    <dataValidation sqref="F35" showDropDown="0" showInputMessage="0" showErrorMessage="0" allowBlank="1" type="list">
      <formula1>INDIRECT($E35)</formula1>
    </dataValidation>
    <dataValidation sqref="D36" showDropDown="0" showInputMessage="0" showErrorMessage="0" allowBlank="1" type="list">
      <formula1>INDIRECT($C36)</formula1>
    </dataValidation>
    <dataValidation sqref="F36" showDropDown="0" showInputMessage="0" showErrorMessage="0" allowBlank="1" type="list">
      <formula1>INDIRECT($E36)</formula1>
    </dataValidation>
    <dataValidation sqref="D37" showDropDown="0" showInputMessage="0" showErrorMessage="0" allowBlank="1" type="list">
      <formula1>INDIRECT($C37)</formula1>
    </dataValidation>
    <dataValidation sqref="F37" showDropDown="0" showInputMessage="0" showErrorMessage="0" allowBlank="1" type="list">
      <formula1>INDIRECT($E37)</formula1>
    </dataValidation>
    <dataValidation sqref="D38" showDropDown="0" showInputMessage="0" showErrorMessage="0" allowBlank="1" type="list">
      <formula1>INDIRECT($C38)</formula1>
    </dataValidation>
    <dataValidation sqref="F38" showDropDown="0" showInputMessage="0" showErrorMessage="0" allowBlank="1" type="list">
      <formula1>INDIRECT($E38)</formula1>
    </dataValidation>
    <dataValidation sqref="D39" showDropDown="0" showInputMessage="0" showErrorMessage="0" allowBlank="1" type="list">
      <formula1>INDIRECT($C39)</formula1>
    </dataValidation>
    <dataValidation sqref="F39" showDropDown="0" showInputMessage="0" showErrorMessage="0" allowBlank="1" type="list">
      <formula1>INDIRECT($E39)</formula1>
    </dataValidation>
    <dataValidation sqref="D40" showDropDown="0" showInputMessage="0" showErrorMessage="0" allowBlank="1" type="list">
      <formula1>INDIRECT($C40)</formula1>
    </dataValidation>
    <dataValidation sqref="F40" showDropDown="0" showInputMessage="0" showErrorMessage="0" allowBlank="1" type="list">
      <formula1>INDIRECT($E40)</formula1>
    </dataValidation>
    <dataValidation sqref="D41" showDropDown="0" showInputMessage="0" showErrorMessage="0" allowBlank="1" type="list">
      <formula1>INDIRECT($C41)</formula1>
    </dataValidation>
    <dataValidation sqref="F41" showDropDown="0" showInputMessage="0" showErrorMessage="0" allowBlank="1" type="list">
      <formula1>INDIRECT($E41)</formula1>
    </dataValidation>
    <dataValidation sqref="D42" showDropDown="0" showInputMessage="0" showErrorMessage="0" allowBlank="1" type="list">
      <formula1>INDIRECT($C42)</formula1>
    </dataValidation>
    <dataValidation sqref="F42" showDropDown="0" showInputMessage="0" showErrorMessage="0" allowBlank="1" type="list">
      <formula1>INDIRECT($E42)</formula1>
    </dataValidation>
    <dataValidation sqref="D43" showDropDown="0" showInputMessage="0" showErrorMessage="0" allowBlank="1" type="list">
      <formula1>INDIRECT($C43)</formula1>
    </dataValidation>
    <dataValidation sqref="F43" showDropDown="0" showInputMessage="0" showErrorMessage="0" allowBlank="1" type="list">
      <formula1>INDIRECT($E43)</formula1>
    </dataValidation>
    <dataValidation sqref="D44" showDropDown="0" showInputMessage="0" showErrorMessage="0" allowBlank="1" type="list">
      <formula1>INDIRECT($C44)</formula1>
    </dataValidation>
    <dataValidation sqref="F44" showDropDown="0" showInputMessage="0" showErrorMessage="0" allowBlank="1" type="list">
      <formula1>INDIRECT($E44)</formula1>
    </dataValidation>
    <dataValidation sqref="D45" showDropDown="0" showInputMessage="0" showErrorMessage="0" allowBlank="1" type="list">
      <formula1>INDIRECT($C45)</formula1>
    </dataValidation>
    <dataValidation sqref="F45" showDropDown="0" showInputMessage="0" showErrorMessage="0" allowBlank="1" type="list">
      <formula1>INDIRECT($E45)</formula1>
    </dataValidation>
    <dataValidation sqref="D46" showDropDown="0" showInputMessage="0" showErrorMessage="0" allowBlank="1" type="list">
      <formula1>INDIRECT($C46)</formula1>
    </dataValidation>
    <dataValidation sqref="F46" showDropDown="0" showInputMessage="0" showErrorMessage="0" allowBlank="1" type="list">
      <formula1>INDIRECT($E46)</formula1>
    </dataValidation>
    <dataValidation sqref="D47" showDropDown="0" showInputMessage="0" showErrorMessage="0" allowBlank="1" type="list">
      <formula1>INDIRECT($C47)</formula1>
    </dataValidation>
    <dataValidation sqref="F47" showDropDown="0" showInputMessage="0" showErrorMessage="0" allowBlank="1" type="list">
      <formula1>INDIRECT($E47)</formula1>
    </dataValidation>
    <dataValidation sqref="D48" showDropDown="0" showInputMessage="0" showErrorMessage="0" allowBlank="1" type="list">
      <formula1>INDIRECT($C48)</formula1>
    </dataValidation>
    <dataValidation sqref="F48" showDropDown="0" showInputMessage="0" showErrorMessage="0" allowBlank="1" type="list">
      <formula1>INDIRECT($E48)</formula1>
    </dataValidation>
    <dataValidation sqref="D49" showDropDown="0" showInputMessage="0" showErrorMessage="0" allowBlank="1" type="list">
      <formula1>INDIRECT($C49)</formula1>
    </dataValidation>
    <dataValidation sqref="F49" showDropDown="0" showInputMessage="0" showErrorMessage="0" allowBlank="1" type="list">
      <formula1>INDIRECT($E49)</formula1>
    </dataValidation>
    <dataValidation sqref="D50" showDropDown="0" showInputMessage="0" showErrorMessage="0" allowBlank="1" type="list">
      <formula1>INDIRECT($C50)</formula1>
    </dataValidation>
    <dataValidation sqref="F50" showDropDown="0" showInputMessage="0" showErrorMessage="0" allowBlank="1" type="list">
      <formula1>INDIRECT($E50)</formula1>
    </dataValidation>
    <dataValidation sqref="D51" showDropDown="0" showInputMessage="0" showErrorMessage="0" allowBlank="1" type="list">
      <formula1>INDIRECT($C51)</formula1>
    </dataValidation>
    <dataValidation sqref="F51" showDropDown="0" showInputMessage="0" showErrorMessage="0" allowBlank="1" type="list">
      <formula1>INDIRECT($E51)</formula1>
    </dataValidation>
    <dataValidation sqref="D52" showDropDown="0" showInputMessage="0" showErrorMessage="0" allowBlank="1" type="list">
      <formula1>INDIRECT($C52)</formula1>
    </dataValidation>
    <dataValidation sqref="F52" showDropDown="0" showInputMessage="0" showErrorMessage="0" allowBlank="1" type="list">
      <formula1>INDIRECT($E52)</formula1>
    </dataValidation>
    <dataValidation sqref="D53" showDropDown="0" showInputMessage="0" showErrorMessage="0" allowBlank="1" type="list">
      <formula1>INDIRECT($C53)</formula1>
    </dataValidation>
    <dataValidation sqref="F53" showDropDown="0" showInputMessage="0" showErrorMessage="0" allowBlank="1" type="list">
      <formula1>INDIRECT($E53)</formula1>
    </dataValidation>
    <dataValidation sqref="D54" showDropDown="0" showInputMessage="0" showErrorMessage="0" allowBlank="1" type="list">
      <formula1>INDIRECT($C54)</formula1>
    </dataValidation>
    <dataValidation sqref="F54" showDropDown="0" showInputMessage="0" showErrorMessage="0" allowBlank="1" type="list">
      <formula1>INDIRECT($E54)</formula1>
    </dataValidation>
    <dataValidation sqref="D55" showDropDown="0" showInputMessage="0" showErrorMessage="0" allowBlank="1" type="list">
      <formula1>INDIRECT($C55)</formula1>
    </dataValidation>
    <dataValidation sqref="F55" showDropDown="0" showInputMessage="0" showErrorMessage="0" allowBlank="1" type="list">
      <formula1>INDIRECT($E55)</formula1>
    </dataValidation>
    <dataValidation sqref="D56" showDropDown="0" showInputMessage="0" showErrorMessage="0" allowBlank="1" type="list">
      <formula1>INDIRECT($C56)</formula1>
    </dataValidation>
    <dataValidation sqref="F56" showDropDown="0" showInputMessage="0" showErrorMessage="0" allowBlank="1" type="list">
      <formula1>INDIRECT($E56)</formula1>
    </dataValidation>
    <dataValidation sqref="D57" showDropDown="0" showInputMessage="0" showErrorMessage="0" allowBlank="1" type="list">
      <formula1>INDIRECT($C57)</formula1>
    </dataValidation>
    <dataValidation sqref="F57" showDropDown="0" showInputMessage="0" showErrorMessage="0" allowBlank="1" type="list">
      <formula1>INDIRECT($E57)</formula1>
    </dataValidation>
    <dataValidation sqref="D58" showDropDown="0" showInputMessage="0" showErrorMessage="0" allowBlank="1" type="list">
      <formula1>INDIRECT($C58)</formula1>
    </dataValidation>
    <dataValidation sqref="F58" showDropDown="0" showInputMessage="0" showErrorMessage="0" allowBlank="1" type="list">
      <formula1>INDIRECT($E58)</formula1>
    </dataValidation>
    <dataValidation sqref="D59" showDropDown="0" showInputMessage="0" showErrorMessage="0" allowBlank="1" type="list">
      <formula1>INDIRECT($C59)</formula1>
    </dataValidation>
    <dataValidation sqref="F59" showDropDown="0" showInputMessage="0" showErrorMessage="0" allowBlank="1" type="list">
      <formula1>INDIRECT($E59)</formula1>
    </dataValidation>
    <dataValidation sqref="D60" showDropDown="0" showInputMessage="0" showErrorMessage="0" allowBlank="1" type="list">
      <formula1>INDIRECT($C60)</formula1>
    </dataValidation>
    <dataValidation sqref="F60" showDropDown="0" showInputMessage="0" showErrorMessage="0" allowBlank="1" type="list">
      <formula1>INDIRECT($E60)</formula1>
    </dataValidation>
    <dataValidation sqref="D61" showDropDown="0" showInputMessage="0" showErrorMessage="0" allowBlank="1" type="list">
      <formula1>INDIRECT($C61)</formula1>
    </dataValidation>
    <dataValidation sqref="F61" showDropDown="0" showInputMessage="0" showErrorMessage="0" allowBlank="1" type="list">
      <formula1>INDIRECT($E61)</formula1>
    </dataValidation>
    <dataValidation sqref="D62" showDropDown="0" showInputMessage="0" showErrorMessage="0" allowBlank="1" type="list">
      <formula1>INDIRECT($C62)</formula1>
    </dataValidation>
    <dataValidation sqref="F62" showDropDown="0" showInputMessage="0" showErrorMessage="0" allowBlank="1" type="list">
      <formula1>INDIRECT($E62)</formula1>
    </dataValidation>
    <dataValidation sqref="D63" showDropDown="0" showInputMessage="0" showErrorMessage="0" allowBlank="1" type="list">
      <formula1>INDIRECT($C63)</formula1>
    </dataValidation>
    <dataValidation sqref="F63" showDropDown="0" showInputMessage="0" showErrorMessage="0" allowBlank="1" type="list">
      <formula1>INDIRECT($E63)</formula1>
    </dataValidation>
    <dataValidation sqref="D64" showDropDown="0" showInputMessage="0" showErrorMessage="0" allowBlank="1" type="list">
      <formula1>INDIRECT($C64)</formula1>
    </dataValidation>
    <dataValidation sqref="F64" showDropDown="0" showInputMessage="0" showErrorMessage="0" allowBlank="1" type="list">
      <formula1>INDIRECT($E64)</formula1>
    </dataValidation>
    <dataValidation sqref="D65" showDropDown="0" showInputMessage="0" showErrorMessage="0" allowBlank="1" type="list">
      <formula1>INDIRECT($C65)</formula1>
    </dataValidation>
    <dataValidation sqref="F65" showDropDown="0" showInputMessage="0" showErrorMessage="0" allowBlank="1" type="list">
      <formula1>INDIRECT($E65)</formula1>
    </dataValidation>
    <dataValidation sqref="D66" showDropDown="0" showInputMessage="0" showErrorMessage="0" allowBlank="1" type="list">
      <formula1>INDIRECT($C66)</formula1>
    </dataValidation>
    <dataValidation sqref="F66" showDropDown="0" showInputMessage="0" showErrorMessage="0" allowBlank="1" type="list">
      <formula1>INDIRECT($E66)</formula1>
    </dataValidation>
    <dataValidation sqref="D67" showDropDown="0" showInputMessage="0" showErrorMessage="0" allowBlank="1" type="list">
      <formula1>INDIRECT($C67)</formula1>
    </dataValidation>
    <dataValidation sqref="F67" showDropDown="0" showInputMessage="0" showErrorMessage="0" allowBlank="1" type="list">
      <formula1>INDIRECT($E67)</formula1>
    </dataValidation>
    <dataValidation sqref="D68" showDropDown="0" showInputMessage="0" showErrorMessage="0" allowBlank="1" type="list">
      <formula1>INDIRECT($C68)</formula1>
    </dataValidation>
    <dataValidation sqref="F68" showDropDown="0" showInputMessage="0" showErrorMessage="0" allowBlank="1" type="list">
      <formula1>INDIRECT($E68)</formula1>
    </dataValidation>
    <dataValidation sqref="D69" showDropDown="0" showInputMessage="0" showErrorMessage="0" allowBlank="1" type="list">
      <formula1>INDIRECT($C69)</formula1>
    </dataValidation>
    <dataValidation sqref="F69" showDropDown="0" showInputMessage="0" showErrorMessage="0" allowBlank="1" type="list">
      <formula1>INDIRECT($E69)</formula1>
    </dataValidation>
    <dataValidation sqref="D70" showDropDown="0" showInputMessage="0" showErrorMessage="0" allowBlank="1" type="list">
      <formula1>INDIRECT($C70)</formula1>
    </dataValidation>
    <dataValidation sqref="F70" showDropDown="0" showInputMessage="0" showErrorMessage="0" allowBlank="1" type="list">
      <formula1>INDIRECT($E70)</formula1>
    </dataValidation>
    <dataValidation sqref="D71" showDropDown="0" showInputMessage="0" showErrorMessage="0" allowBlank="1" type="list">
      <formula1>INDIRECT($C71)</formula1>
    </dataValidation>
    <dataValidation sqref="F71" showDropDown="0" showInputMessage="0" showErrorMessage="0" allowBlank="1" type="list">
      <formula1>INDIRECT($E71)</formula1>
    </dataValidation>
    <dataValidation sqref="D72" showDropDown="0" showInputMessage="0" showErrorMessage="0" allowBlank="1" type="list">
      <formula1>INDIRECT($C72)</formula1>
    </dataValidation>
    <dataValidation sqref="F72" showDropDown="0" showInputMessage="0" showErrorMessage="0" allowBlank="1" type="list">
      <formula1>INDIRECT($E72)</formula1>
    </dataValidation>
    <dataValidation sqref="D73" showDropDown="0" showInputMessage="0" showErrorMessage="0" allowBlank="1" type="list">
      <formula1>INDIRECT($C73)</formula1>
    </dataValidation>
    <dataValidation sqref="F73" showDropDown="0" showInputMessage="0" showErrorMessage="0" allowBlank="1" type="list">
      <formula1>INDIRECT($E73)</formula1>
    </dataValidation>
    <dataValidation sqref="D74" showDropDown="0" showInputMessage="0" showErrorMessage="0" allowBlank="1" type="list">
      <formula1>INDIRECT($C74)</formula1>
    </dataValidation>
    <dataValidation sqref="F74" showDropDown="0" showInputMessage="0" showErrorMessage="0" allowBlank="1" type="list">
      <formula1>INDIRECT($E74)</formula1>
    </dataValidation>
    <dataValidation sqref="D75" showDropDown="0" showInputMessage="0" showErrorMessage="0" allowBlank="1" type="list">
      <formula1>INDIRECT($C75)</formula1>
    </dataValidation>
    <dataValidation sqref="F75" showDropDown="0" showInputMessage="0" showErrorMessage="0" allowBlank="1" type="list">
      <formula1>INDIRECT($E75)</formula1>
    </dataValidation>
    <dataValidation sqref="D76" showDropDown="0" showInputMessage="0" showErrorMessage="0" allowBlank="1" type="list">
      <formula1>INDIRECT($C76)</formula1>
    </dataValidation>
    <dataValidation sqref="F76" showDropDown="0" showInputMessage="0" showErrorMessage="0" allowBlank="1" type="list">
      <formula1>INDIRECT($E76)</formula1>
    </dataValidation>
    <dataValidation sqref="D77" showDropDown="0" showInputMessage="0" showErrorMessage="0" allowBlank="1" type="list">
      <formula1>INDIRECT($C77)</formula1>
    </dataValidation>
    <dataValidation sqref="F77" showDropDown="0" showInputMessage="0" showErrorMessage="0" allowBlank="1" type="list">
      <formula1>INDIRECT($E77)</formula1>
    </dataValidation>
    <dataValidation sqref="D78" showDropDown="0" showInputMessage="0" showErrorMessage="0" allowBlank="1" type="list">
      <formula1>INDIRECT($C78)</formula1>
    </dataValidation>
    <dataValidation sqref="F78" showDropDown="0" showInputMessage="0" showErrorMessage="0" allowBlank="1" type="list">
      <formula1>INDIRECT($E78)</formula1>
    </dataValidation>
    <dataValidation sqref="D79" showDropDown="0" showInputMessage="0" showErrorMessage="0" allowBlank="1" type="list">
      <formula1>INDIRECT($C79)</formula1>
    </dataValidation>
    <dataValidation sqref="F79" showDropDown="0" showInputMessage="0" showErrorMessage="0" allowBlank="1" type="list">
      <formula1>INDIRECT($E79)</formula1>
    </dataValidation>
    <dataValidation sqref="D80" showDropDown="0" showInputMessage="0" showErrorMessage="0" allowBlank="1" type="list">
      <formula1>INDIRECT($C80)</formula1>
    </dataValidation>
    <dataValidation sqref="F80" showDropDown="0" showInputMessage="0" showErrorMessage="0" allowBlank="1" type="list">
      <formula1>INDIRECT($E80)</formula1>
    </dataValidation>
    <dataValidation sqref="D81" showDropDown="0" showInputMessage="0" showErrorMessage="0" allowBlank="1" type="list">
      <formula1>INDIRECT($C81)</formula1>
    </dataValidation>
    <dataValidation sqref="F81" showDropDown="0" showInputMessage="0" showErrorMessage="0" allowBlank="1" type="list">
      <formula1>INDIRECT($E81)</formula1>
    </dataValidation>
    <dataValidation sqref="D82" showDropDown="0" showInputMessage="0" showErrorMessage="0" allowBlank="1" type="list">
      <formula1>INDIRECT($C82)</formula1>
    </dataValidation>
    <dataValidation sqref="F82" showDropDown="0" showInputMessage="0" showErrorMessage="0" allowBlank="1" type="list">
      <formula1>INDIRECT($E82)</formula1>
    </dataValidation>
    <dataValidation sqref="D83" showDropDown="0" showInputMessage="0" showErrorMessage="0" allowBlank="1" type="list">
      <formula1>INDIRECT($C83)</formula1>
    </dataValidation>
    <dataValidation sqref="F83" showDropDown="0" showInputMessage="0" showErrorMessage="0" allowBlank="1" type="list">
      <formula1>INDIRECT($E83)</formula1>
    </dataValidation>
    <dataValidation sqref="D84" showDropDown="0" showInputMessage="0" showErrorMessage="0" allowBlank="1" type="list">
      <formula1>INDIRECT($C84)</formula1>
    </dataValidation>
    <dataValidation sqref="F84" showDropDown="0" showInputMessage="0" showErrorMessage="0" allowBlank="1" type="list">
      <formula1>INDIRECT($E84)</formula1>
    </dataValidation>
    <dataValidation sqref="D85" showDropDown="0" showInputMessage="0" showErrorMessage="0" allowBlank="1" type="list">
      <formula1>INDIRECT($C85)</formula1>
    </dataValidation>
    <dataValidation sqref="F85" showDropDown="0" showInputMessage="0" showErrorMessage="0" allowBlank="1" type="list">
      <formula1>INDIRECT($E85)</formula1>
    </dataValidation>
    <dataValidation sqref="D86" showDropDown="0" showInputMessage="0" showErrorMessage="0" allowBlank="1" type="list">
      <formula1>INDIRECT($C86)</formula1>
    </dataValidation>
    <dataValidation sqref="F86" showDropDown="0" showInputMessage="0" showErrorMessage="0" allowBlank="1" type="list">
      <formula1>INDIRECT($E86)</formula1>
    </dataValidation>
    <dataValidation sqref="D87" showDropDown="0" showInputMessage="0" showErrorMessage="0" allowBlank="1" type="list">
      <formula1>INDIRECT($C87)</formula1>
    </dataValidation>
    <dataValidation sqref="F87" showDropDown="0" showInputMessage="0" showErrorMessage="0" allowBlank="1" type="list">
      <formula1>INDIRECT($E87)</formula1>
    </dataValidation>
    <dataValidation sqref="D88" showDropDown="0" showInputMessage="0" showErrorMessage="0" allowBlank="1" type="list">
      <formula1>INDIRECT($C88)</formula1>
    </dataValidation>
    <dataValidation sqref="F88" showDropDown="0" showInputMessage="0" showErrorMessage="0" allowBlank="1" type="list">
      <formula1>INDIRECT($E88)</formula1>
    </dataValidation>
    <dataValidation sqref="D89" showDropDown="0" showInputMessage="0" showErrorMessage="0" allowBlank="1" type="list">
      <formula1>INDIRECT($C89)</formula1>
    </dataValidation>
    <dataValidation sqref="F89" showDropDown="0" showInputMessage="0" showErrorMessage="0" allowBlank="1" type="list">
      <formula1>INDIRECT($E89)</formula1>
    </dataValidation>
    <dataValidation sqref="D90" showDropDown="0" showInputMessage="0" showErrorMessage="0" allowBlank="1" type="list">
      <formula1>INDIRECT($C90)</formula1>
    </dataValidation>
    <dataValidation sqref="F90" showDropDown="0" showInputMessage="0" showErrorMessage="0" allowBlank="1" type="list">
      <formula1>INDIRECT($E90)</formula1>
    </dataValidation>
    <dataValidation sqref="D91" showDropDown="0" showInputMessage="0" showErrorMessage="0" allowBlank="1" type="list">
      <formula1>INDIRECT($C91)</formula1>
    </dataValidation>
    <dataValidation sqref="F91" showDropDown="0" showInputMessage="0" showErrorMessage="0" allowBlank="1" type="list">
      <formula1>INDIRECT($E91)</formula1>
    </dataValidation>
    <dataValidation sqref="D92" showDropDown="0" showInputMessage="0" showErrorMessage="0" allowBlank="1" type="list">
      <formula1>INDIRECT($C92)</formula1>
    </dataValidation>
    <dataValidation sqref="F92" showDropDown="0" showInputMessage="0" showErrorMessage="0" allowBlank="1" type="list">
      <formula1>INDIRECT($E92)</formula1>
    </dataValidation>
    <dataValidation sqref="D93" showDropDown="0" showInputMessage="0" showErrorMessage="0" allowBlank="1" type="list">
      <formula1>INDIRECT($C93)</formula1>
    </dataValidation>
    <dataValidation sqref="F93" showDropDown="0" showInputMessage="0" showErrorMessage="0" allowBlank="1" type="list">
      <formula1>INDIRECT($E93)</formula1>
    </dataValidation>
    <dataValidation sqref="D94" showDropDown="0" showInputMessage="0" showErrorMessage="0" allowBlank="1" type="list">
      <formula1>INDIRECT($C94)</formula1>
    </dataValidation>
    <dataValidation sqref="F94" showDropDown="0" showInputMessage="0" showErrorMessage="0" allowBlank="1" type="list">
      <formula1>INDIRECT($E94)</formula1>
    </dataValidation>
    <dataValidation sqref="D95" showDropDown="0" showInputMessage="0" showErrorMessage="0" allowBlank="1" type="list">
      <formula1>INDIRECT($C95)</formula1>
    </dataValidation>
    <dataValidation sqref="F95" showDropDown="0" showInputMessage="0" showErrorMessage="0" allowBlank="1" type="list">
      <formula1>INDIRECT($E95)</formula1>
    </dataValidation>
    <dataValidation sqref="D96" showDropDown="0" showInputMessage="0" showErrorMessage="0" allowBlank="1" type="list">
      <formula1>INDIRECT($C96)</formula1>
    </dataValidation>
    <dataValidation sqref="F96" showDropDown="0" showInputMessage="0" showErrorMessage="0" allowBlank="1" type="list">
      <formula1>INDIRECT($E96)</formula1>
    </dataValidation>
    <dataValidation sqref="D97" showDropDown="0" showInputMessage="0" showErrorMessage="0" allowBlank="1" type="list">
      <formula1>INDIRECT($C97)</formula1>
    </dataValidation>
    <dataValidation sqref="F97" showDropDown="0" showInputMessage="0" showErrorMessage="0" allowBlank="1" type="list">
      <formula1>INDIRECT($E97)</formula1>
    </dataValidation>
    <dataValidation sqref="D98" showDropDown="0" showInputMessage="0" showErrorMessage="0" allowBlank="1" type="list">
      <formula1>INDIRECT($C98)</formula1>
    </dataValidation>
    <dataValidation sqref="F98" showDropDown="0" showInputMessage="0" showErrorMessage="0" allowBlank="1" type="list">
      <formula1>INDIRECT($E98)</formula1>
    </dataValidation>
    <dataValidation sqref="D99" showDropDown="0" showInputMessage="0" showErrorMessage="0" allowBlank="1" type="list">
      <formula1>INDIRECT($C99)</formula1>
    </dataValidation>
    <dataValidation sqref="F99" showDropDown="0" showInputMessage="0" showErrorMessage="0" allowBlank="1" type="list">
      <formula1>INDIRECT($E99)</formula1>
    </dataValidation>
    <dataValidation sqref="D100" showDropDown="0" showInputMessage="0" showErrorMessage="0" allowBlank="1" type="list">
      <formula1>INDIRECT($C100)</formula1>
    </dataValidation>
    <dataValidation sqref="F100" showDropDown="0" showInputMessage="0" showErrorMessage="0" allowBlank="1" type="list">
      <formula1>INDIRECT($E100)</formula1>
    </dataValidation>
    <dataValidation sqref="D101" showDropDown="0" showInputMessage="0" showErrorMessage="0" allowBlank="1" type="list">
      <formula1>INDIRECT($C101)</formula1>
    </dataValidation>
    <dataValidation sqref="F101" showDropDown="0" showInputMessage="0" showErrorMessage="0" allowBlank="1" type="list">
      <formula1>INDIRECT($E101)</formula1>
    </dataValidation>
    <dataValidation sqref="D102" showDropDown="0" showInputMessage="0" showErrorMessage="0" allowBlank="1" type="list">
      <formula1>INDIRECT($C102)</formula1>
    </dataValidation>
    <dataValidation sqref="F102" showDropDown="0" showInputMessage="0" showErrorMessage="0" allowBlank="1" type="list">
      <formula1>INDIRECT($E102)</formula1>
    </dataValidation>
    <dataValidation sqref="D103" showDropDown="0" showInputMessage="0" showErrorMessage="0" allowBlank="1" type="list">
      <formula1>INDIRECT($C103)</formula1>
    </dataValidation>
    <dataValidation sqref="F103" showDropDown="0" showInputMessage="0" showErrorMessage="0" allowBlank="1" type="list">
      <formula1>INDIRECT($E103)</formula1>
    </dataValidation>
    <dataValidation sqref="D104" showDropDown="0" showInputMessage="0" showErrorMessage="0" allowBlank="1" type="list">
      <formula1>INDIRECT($C104)</formula1>
    </dataValidation>
    <dataValidation sqref="F104" showDropDown="0" showInputMessage="0" showErrorMessage="0" allowBlank="1" type="list">
      <formula1>INDIRECT($E104)</formula1>
    </dataValidation>
  </dataValidations>
  <pageMargins left="0.75" right="0.75" top="1" bottom="1" header="0.5" footer="0.5"/>
</worksheet>
</file>

<file path=xl/worksheets/sheet6.xml><?xml version="1.0" encoding="utf-8"?>
<worksheet xmlns="http://schemas.openxmlformats.org/spreadsheetml/2006/main">
  <sheetPr>
    <tabColor rgb="009C27B0"/>
    <outlinePr summaryBelow="1" summaryRight="1"/>
    <pageSetUpPr/>
  </sheetPr>
  <dimension ref="A1:G104"/>
  <sheetViews>
    <sheetView workbookViewId="0">
      <selection activeCell="A1" sqref="A1"/>
    </sheetView>
  </sheetViews>
  <sheetFormatPr baseColWidth="8" defaultRowHeight="15"/>
  <cols>
    <col width="4" customWidth="1" min="1" max="1"/>
    <col width="11" customWidth="1" min="2" max="2"/>
    <col width="14" customWidth="1" min="3" max="3"/>
    <col width="24" customWidth="1" min="4" max="4"/>
    <col width="6" customWidth="1" min="5" max="5"/>
    <col width="12" customWidth="1" min="6" max="6"/>
    <col width="30" customWidth="1" min="7" max="7"/>
  </cols>
  <sheetData>
    <row r="1">
      <c r="A1" s="1" t="inlineStr">
        <is>
          <t>MANUAL ADJUSTMENTS (Corrections &amp; Overrides)</t>
        </is>
      </c>
    </row>
    <row r="2">
      <c r="A2" s="11" t="inlineStr">
        <is>
          <t>Use for: Opening balance corrections, error fixes, any manual override</t>
        </is>
      </c>
    </row>
    <row r="4">
      <c r="A4" s="15" t="inlineStr">
        <is>
          <t>Sr</t>
        </is>
      </c>
      <c r="B4" s="15" t="inlineStr">
        <is>
          <t>Date</t>
        </is>
      </c>
      <c r="C4" s="15" t="inlineStr">
        <is>
          <t>Account Type</t>
        </is>
      </c>
      <c r="D4" s="15" t="inlineStr">
        <is>
          <t>Party</t>
        </is>
      </c>
      <c r="E4" s="15" t="inlineStr">
        <is>
          <t>DR/CR</t>
        </is>
      </c>
      <c r="F4" s="15" t="inlineStr">
        <is>
          <t>Amount</t>
        </is>
      </c>
      <c r="G4" s="15" t="inlineStr">
        <is>
          <t>Narration</t>
        </is>
      </c>
    </row>
    <row r="5">
      <c r="A5" t="n">
        <v>1</v>
      </c>
      <c r="B5" s="8" t="n"/>
      <c r="C5" s="5" t="n"/>
      <c r="D5" s="5" t="n"/>
      <c r="E5" s="5" t="n"/>
      <c r="F5" s="6" t="n"/>
      <c r="G5" s="5" t="n"/>
    </row>
    <row r="6">
      <c r="A6" t="n">
        <v>2</v>
      </c>
      <c r="B6" s="8" t="n"/>
      <c r="C6" s="5" t="n"/>
      <c r="D6" s="5" t="n"/>
      <c r="E6" s="5" t="n"/>
      <c r="F6" s="6" t="n"/>
      <c r="G6" s="5" t="n"/>
    </row>
    <row r="7">
      <c r="A7" t="n">
        <v>3</v>
      </c>
      <c r="B7" s="8" t="n"/>
      <c r="C7" s="5" t="n"/>
      <c r="D7" s="5" t="n"/>
      <c r="E7" s="5" t="n"/>
      <c r="F7" s="6" t="n"/>
      <c r="G7" s="5" t="n"/>
    </row>
    <row r="8">
      <c r="A8" t="n">
        <v>4</v>
      </c>
      <c r="B8" s="8" t="n"/>
      <c r="C8" s="5" t="n"/>
      <c r="D8" s="5" t="n"/>
      <c r="E8" s="5" t="n"/>
      <c r="F8" s="6" t="n"/>
      <c r="G8" s="5" t="n"/>
    </row>
    <row r="9">
      <c r="A9" t="n">
        <v>5</v>
      </c>
      <c r="B9" s="8" t="n"/>
      <c r="C9" s="5" t="n"/>
      <c r="D9" s="5" t="n"/>
      <c r="E9" s="5" t="n"/>
      <c r="F9" s="6" t="n"/>
      <c r="G9" s="5" t="n"/>
    </row>
    <row r="10">
      <c r="A10" t="n">
        <v>6</v>
      </c>
      <c r="B10" s="8" t="n"/>
      <c r="C10" s="5" t="n"/>
      <c r="D10" s="5" t="n"/>
      <c r="E10" s="5" t="n"/>
      <c r="F10" s="6" t="n"/>
      <c r="G10" s="5" t="n"/>
    </row>
    <row r="11">
      <c r="A11" t="n">
        <v>7</v>
      </c>
      <c r="B11" s="8" t="n"/>
      <c r="C11" s="5" t="n"/>
      <c r="D11" s="5" t="n"/>
      <c r="E11" s="5" t="n"/>
      <c r="F11" s="6" t="n"/>
      <c r="G11" s="5" t="n"/>
    </row>
    <row r="12">
      <c r="A12" t="n">
        <v>8</v>
      </c>
      <c r="B12" s="8" t="n"/>
      <c r="C12" s="5" t="n"/>
      <c r="D12" s="5" t="n"/>
      <c r="E12" s="5" t="n"/>
      <c r="F12" s="6" t="n"/>
      <c r="G12" s="5" t="n"/>
    </row>
    <row r="13">
      <c r="A13" t="n">
        <v>9</v>
      </c>
      <c r="B13" s="8" t="n"/>
      <c r="C13" s="5" t="n"/>
      <c r="D13" s="5" t="n"/>
      <c r="E13" s="5" t="n"/>
      <c r="F13" s="6" t="n"/>
      <c r="G13" s="5" t="n"/>
    </row>
    <row r="14">
      <c r="A14" t="n">
        <v>10</v>
      </c>
      <c r="B14" s="8" t="n"/>
      <c r="C14" s="5" t="n"/>
      <c r="D14" s="5" t="n"/>
      <c r="E14" s="5" t="n"/>
      <c r="F14" s="6" t="n"/>
      <c r="G14" s="5" t="n"/>
    </row>
    <row r="15">
      <c r="A15" t="n">
        <v>11</v>
      </c>
      <c r="B15" s="8" t="n"/>
      <c r="C15" s="5" t="n"/>
      <c r="D15" s="5" t="n"/>
      <c r="E15" s="5" t="n"/>
      <c r="F15" s="6" t="n"/>
      <c r="G15" s="5" t="n"/>
    </row>
    <row r="16">
      <c r="A16" t="n">
        <v>12</v>
      </c>
      <c r="B16" s="8" t="n"/>
      <c r="C16" s="5" t="n"/>
      <c r="D16" s="5" t="n"/>
      <c r="E16" s="5" t="n"/>
      <c r="F16" s="6" t="n"/>
      <c r="G16" s="5" t="n"/>
    </row>
    <row r="17">
      <c r="A17" t="n">
        <v>13</v>
      </c>
      <c r="B17" s="8" t="n"/>
      <c r="C17" s="5" t="n"/>
      <c r="D17" s="5" t="n"/>
      <c r="E17" s="5" t="n"/>
      <c r="F17" s="6" t="n"/>
      <c r="G17" s="5" t="n"/>
    </row>
    <row r="18">
      <c r="A18" t="n">
        <v>14</v>
      </c>
      <c r="B18" s="8" t="n"/>
      <c r="C18" s="5" t="n"/>
      <c r="D18" s="5" t="n"/>
      <c r="E18" s="5" t="n"/>
      <c r="F18" s="6" t="n"/>
      <c r="G18" s="5" t="n"/>
    </row>
    <row r="19">
      <c r="A19" t="n">
        <v>15</v>
      </c>
      <c r="B19" s="8" t="n"/>
      <c r="C19" s="5" t="n"/>
      <c r="D19" s="5" t="n"/>
      <c r="E19" s="5" t="n"/>
      <c r="F19" s="6" t="n"/>
      <c r="G19" s="5" t="n"/>
    </row>
    <row r="20">
      <c r="A20" t="n">
        <v>16</v>
      </c>
      <c r="B20" s="8" t="n"/>
      <c r="C20" s="5" t="n"/>
      <c r="D20" s="5" t="n"/>
      <c r="E20" s="5" t="n"/>
      <c r="F20" s="6" t="n"/>
      <c r="G20" s="5" t="n"/>
    </row>
    <row r="21">
      <c r="A21" t="n">
        <v>17</v>
      </c>
      <c r="B21" s="8" t="n"/>
      <c r="C21" s="5" t="n"/>
      <c r="D21" s="5" t="n"/>
      <c r="E21" s="5" t="n"/>
      <c r="F21" s="6" t="n"/>
      <c r="G21" s="5" t="n"/>
    </row>
    <row r="22">
      <c r="A22" t="n">
        <v>18</v>
      </c>
      <c r="B22" s="8" t="n"/>
      <c r="C22" s="5" t="n"/>
      <c r="D22" s="5" t="n"/>
      <c r="E22" s="5" t="n"/>
      <c r="F22" s="6" t="n"/>
      <c r="G22" s="5" t="n"/>
    </row>
    <row r="23">
      <c r="A23" t="n">
        <v>19</v>
      </c>
      <c r="B23" s="8" t="n"/>
      <c r="C23" s="5" t="n"/>
      <c r="D23" s="5" t="n"/>
      <c r="E23" s="5" t="n"/>
      <c r="F23" s="6" t="n"/>
      <c r="G23" s="5" t="n"/>
    </row>
    <row r="24">
      <c r="A24" t="n">
        <v>20</v>
      </c>
      <c r="B24" s="8" t="n"/>
      <c r="C24" s="5" t="n"/>
      <c r="D24" s="5" t="n"/>
      <c r="E24" s="5" t="n"/>
      <c r="F24" s="6" t="n"/>
      <c r="G24" s="5" t="n"/>
    </row>
    <row r="25">
      <c r="A25" t="n">
        <v>21</v>
      </c>
      <c r="B25" s="8" t="n"/>
      <c r="C25" s="5" t="n"/>
      <c r="D25" s="5" t="n"/>
      <c r="E25" s="5" t="n"/>
      <c r="F25" s="6" t="n"/>
      <c r="G25" s="5" t="n"/>
    </row>
    <row r="26">
      <c r="A26" t="n">
        <v>22</v>
      </c>
      <c r="B26" s="8" t="n"/>
      <c r="C26" s="5" t="n"/>
      <c r="D26" s="5" t="n"/>
      <c r="E26" s="5" t="n"/>
      <c r="F26" s="6" t="n"/>
      <c r="G26" s="5" t="n"/>
    </row>
    <row r="27">
      <c r="A27" t="n">
        <v>23</v>
      </c>
      <c r="B27" s="8" t="n"/>
      <c r="C27" s="5" t="n"/>
      <c r="D27" s="5" t="n"/>
      <c r="E27" s="5" t="n"/>
      <c r="F27" s="6" t="n"/>
      <c r="G27" s="5" t="n"/>
    </row>
    <row r="28">
      <c r="A28" t="n">
        <v>24</v>
      </c>
      <c r="B28" s="8" t="n"/>
      <c r="C28" s="5" t="n"/>
      <c r="D28" s="5" t="n"/>
      <c r="E28" s="5" t="n"/>
      <c r="F28" s="6" t="n"/>
      <c r="G28" s="5" t="n"/>
    </row>
    <row r="29">
      <c r="A29" t="n">
        <v>25</v>
      </c>
      <c r="B29" s="8" t="n"/>
      <c r="C29" s="5" t="n"/>
      <c r="D29" s="5" t="n"/>
      <c r="E29" s="5" t="n"/>
      <c r="F29" s="6" t="n"/>
      <c r="G29" s="5" t="n"/>
    </row>
    <row r="30">
      <c r="A30" t="n">
        <v>26</v>
      </c>
      <c r="B30" s="8" t="n"/>
      <c r="C30" s="5" t="n"/>
      <c r="D30" s="5" t="n"/>
      <c r="E30" s="5" t="n"/>
      <c r="F30" s="6" t="n"/>
      <c r="G30" s="5" t="n"/>
    </row>
    <row r="31">
      <c r="A31" t="n">
        <v>27</v>
      </c>
      <c r="B31" s="8" t="n"/>
      <c r="C31" s="5" t="n"/>
      <c r="D31" s="5" t="n"/>
      <c r="E31" s="5" t="n"/>
      <c r="F31" s="6" t="n"/>
      <c r="G31" s="5" t="n"/>
    </row>
    <row r="32">
      <c r="A32" t="n">
        <v>28</v>
      </c>
      <c r="B32" s="8" t="n"/>
      <c r="C32" s="5" t="n"/>
      <c r="D32" s="5" t="n"/>
      <c r="E32" s="5" t="n"/>
      <c r="F32" s="6" t="n"/>
      <c r="G32" s="5" t="n"/>
    </row>
    <row r="33">
      <c r="A33" t="n">
        <v>29</v>
      </c>
      <c r="B33" s="8" t="n"/>
      <c r="C33" s="5" t="n"/>
      <c r="D33" s="5" t="n"/>
      <c r="E33" s="5" t="n"/>
      <c r="F33" s="6" t="n"/>
      <c r="G33" s="5" t="n"/>
    </row>
    <row r="34">
      <c r="A34" t="n">
        <v>30</v>
      </c>
      <c r="B34" s="8" t="n"/>
      <c r="C34" s="5" t="n"/>
      <c r="D34" s="5" t="n"/>
      <c r="E34" s="5" t="n"/>
      <c r="F34" s="6" t="n"/>
      <c r="G34" s="5" t="n"/>
    </row>
    <row r="35">
      <c r="A35" t="n">
        <v>31</v>
      </c>
      <c r="B35" s="8" t="n"/>
      <c r="C35" s="5" t="n"/>
      <c r="D35" s="5" t="n"/>
      <c r="E35" s="5" t="n"/>
      <c r="F35" s="6" t="n"/>
      <c r="G35" s="5" t="n"/>
    </row>
    <row r="36">
      <c r="A36" t="n">
        <v>32</v>
      </c>
      <c r="B36" s="8" t="n"/>
      <c r="C36" s="5" t="n"/>
      <c r="D36" s="5" t="n"/>
      <c r="E36" s="5" t="n"/>
      <c r="F36" s="6" t="n"/>
      <c r="G36" s="5" t="n"/>
    </row>
    <row r="37">
      <c r="A37" t="n">
        <v>33</v>
      </c>
      <c r="B37" s="8" t="n"/>
      <c r="C37" s="5" t="n"/>
      <c r="D37" s="5" t="n"/>
      <c r="E37" s="5" t="n"/>
      <c r="F37" s="6" t="n"/>
      <c r="G37" s="5" t="n"/>
    </row>
    <row r="38">
      <c r="A38" t="n">
        <v>34</v>
      </c>
      <c r="B38" s="8" t="n"/>
      <c r="C38" s="5" t="n"/>
      <c r="D38" s="5" t="n"/>
      <c r="E38" s="5" t="n"/>
      <c r="F38" s="6" t="n"/>
      <c r="G38" s="5" t="n"/>
    </row>
    <row r="39">
      <c r="A39" t="n">
        <v>35</v>
      </c>
      <c r="B39" s="8" t="n"/>
      <c r="C39" s="5" t="n"/>
      <c r="D39" s="5" t="n"/>
      <c r="E39" s="5" t="n"/>
      <c r="F39" s="6" t="n"/>
      <c r="G39" s="5" t="n"/>
    </row>
    <row r="40">
      <c r="A40" t="n">
        <v>36</v>
      </c>
      <c r="B40" s="8" t="n"/>
      <c r="C40" s="5" t="n"/>
      <c r="D40" s="5" t="n"/>
      <c r="E40" s="5" t="n"/>
      <c r="F40" s="6" t="n"/>
      <c r="G40" s="5" t="n"/>
    </row>
    <row r="41">
      <c r="A41" t="n">
        <v>37</v>
      </c>
      <c r="B41" s="8" t="n"/>
      <c r="C41" s="5" t="n"/>
      <c r="D41" s="5" t="n"/>
      <c r="E41" s="5" t="n"/>
      <c r="F41" s="6" t="n"/>
      <c r="G41" s="5" t="n"/>
    </row>
    <row r="42">
      <c r="A42" t="n">
        <v>38</v>
      </c>
      <c r="B42" s="8" t="n"/>
      <c r="C42" s="5" t="n"/>
      <c r="D42" s="5" t="n"/>
      <c r="E42" s="5" t="n"/>
      <c r="F42" s="6" t="n"/>
      <c r="G42" s="5" t="n"/>
    </row>
    <row r="43">
      <c r="A43" t="n">
        <v>39</v>
      </c>
      <c r="B43" s="8" t="n"/>
      <c r="C43" s="5" t="n"/>
      <c r="D43" s="5" t="n"/>
      <c r="E43" s="5" t="n"/>
      <c r="F43" s="6" t="n"/>
      <c r="G43" s="5" t="n"/>
    </row>
    <row r="44">
      <c r="A44" t="n">
        <v>40</v>
      </c>
      <c r="B44" s="8" t="n"/>
      <c r="C44" s="5" t="n"/>
      <c r="D44" s="5" t="n"/>
      <c r="E44" s="5" t="n"/>
      <c r="F44" s="6" t="n"/>
      <c r="G44" s="5" t="n"/>
    </row>
    <row r="45">
      <c r="A45" t="n">
        <v>41</v>
      </c>
      <c r="B45" s="8" t="n"/>
      <c r="C45" s="5" t="n"/>
      <c r="D45" s="5" t="n"/>
      <c r="E45" s="5" t="n"/>
      <c r="F45" s="6" t="n"/>
      <c r="G45" s="5" t="n"/>
    </row>
    <row r="46">
      <c r="A46" t="n">
        <v>42</v>
      </c>
      <c r="B46" s="8" t="n"/>
      <c r="C46" s="5" t="n"/>
      <c r="D46" s="5" t="n"/>
      <c r="E46" s="5" t="n"/>
      <c r="F46" s="6" t="n"/>
      <c r="G46" s="5" t="n"/>
    </row>
    <row r="47">
      <c r="A47" t="n">
        <v>43</v>
      </c>
      <c r="B47" s="8" t="n"/>
      <c r="C47" s="5" t="n"/>
      <c r="D47" s="5" t="n"/>
      <c r="E47" s="5" t="n"/>
      <c r="F47" s="6" t="n"/>
      <c r="G47" s="5" t="n"/>
    </row>
    <row r="48">
      <c r="A48" t="n">
        <v>44</v>
      </c>
      <c r="B48" s="8" t="n"/>
      <c r="C48" s="5" t="n"/>
      <c r="D48" s="5" t="n"/>
      <c r="E48" s="5" t="n"/>
      <c r="F48" s="6" t="n"/>
      <c r="G48" s="5" t="n"/>
    </row>
    <row r="49">
      <c r="A49" t="n">
        <v>45</v>
      </c>
      <c r="B49" s="8" t="n"/>
      <c r="C49" s="5" t="n"/>
      <c r="D49" s="5" t="n"/>
      <c r="E49" s="5" t="n"/>
      <c r="F49" s="6" t="n"/>
      <c r="G49" s="5" t="n"/>
    </row>
    <row r="50">
      <c r="A50" t="n">
        <v>46</v>
      </c>
      <c r="B50" s="8" t="n"/>
      <c r="C50" s="5" t="n"/>
      <c r="D50" s="5" t="n"/>
      <c r="E50" s="5" t="n"/>
      <c r="F50" s="6" t="n"/>
      <c r="G50" s="5" t="n"/>
    </row>
    <row r="51">
      <c r="A51" t="n">
        <v>47</v>
      </c>
      <c r="B51" s="8" t="n"/>
      <c r="C51" s="5" t="n"/>
      <c r="D51" s="5" t="n"/>
      <c r="E51" s="5" t="n"/>
      <c r="F51" s="6" t="n"/>
      <c r="G51" s="5" t="n"/>
    </row>
    <row r="52">
      <c r="A52" t="n">
        <v>48</v>
      </c>
      <c r="B52" s="8" t="n"/>
      <c r="C52" s="5" t="n"/>
      <c r="D52" s="5" t="n"/>
      <c r="E52" s="5" t="n"/>
      <c r="F52" s="6" t="n"/>
      <c r="G52" s="5" t="n"/>
    </row>
    <row r="53">
      <c r="A53" t="n">
        <v>49</v>
      </c>
      <c r="B53" s="8" t="n"/>
      <c r="C53" s="5" t="n"/>
      <c r="D53" s="5" t="n"/>
      <c r="E53" s="5" t="n"/>
      <c r="F53" s="6" t="n"/>
      <c r="G53" s="5" t="n"/>
    </row>
    <row r="54">
      <c r="A54" t="n">
        <v>50</v>
      </c>
      <c r="B54" s="8" t="n"/>
      <c r="C54" s="5" t="n"/>
      <c r="D54" s="5" t="n"/>
      <c r="E54" s="5" t="n"/>
      <c r="F54" s="6" t="n"/>
      <c r="G54" s="5" t="n"/>
    </row>
    <row r="55">
      <c r="A55" t="n">
        <v>51</v>
      </c>
      <c r="B55" s="8" t="n"/>
      <c r="C55" s="5" t="n"/>
      <c r="D55" s="5" t="n"/>
      <c r="E55" s="5" t="n"/>
      <c r="F55" s="6" t="n"/>
      <c r="G55" s="5" t="n"/>
    </row>
    <row r="56">
      <c r="A56" t="n">
        <v>52</v>
      </c>
      <c r="B56" s="8" t="n"/>
      <c r="C56" s="5" t="n"/>
      <c r="D56" s="5" t="n"/>
      <c r="E56" s="5" t="n"/>
      <c r="F56" s="6" t="n"/>
      <c r="G56" s="5" t="n"/>
    </row>
    <row r="57">
      <c r="A57" t="n">
        <v>53</v>
      </c>
      <c r="B57" s="8" t="n"/>
      <c r="C57" s="5" t="n"/>
      <c r="D57" s="5" t="n"/>
      <c r="E57" s="5" t="n"/>
      <c r="F57" s="6" t="n"/>
      <c r="G57" s="5" t="n"/>
    </row>
    <row r="58">
      <c r="A58" t="n">
        <v>54</v>
      </c>
      <c r="B58" s="8" t="n"/>
      <c r="C58" s="5" t="n"/>
      <c r="D58" s="5" t="n"/>
      <c r="E58" s="5" t="n"/>
      <c r="F58" s="6" t="n"/>
      <c r="G58" s="5" t="n"/>
    </row>
    <row r="59">
      <c r="A59" t="n">
        <v>55</v>
      </c>
      <c r="B59" s="8" t="n"/>
      <c r="C59" s="5" t="n"/>
      <c r="D59" s="5" t="n"/>
      <c r="E59" s="5" t="n"/>
      <c r="F59" s="6" t="n"/>
      <c r="G59" s="5" t="n"/>
    </row>
    <row r="60">
      <c r="A60" t="n">
        <v>56</v>
      </c>
      <c r="B60" s="8" t="n"/>
      <c r="C60" s="5" t="n"/>
      <c r="D60" s="5" t="n"/>
      <c r="E60" s="5" t="n"/>
      <c r="F60" s="6" t="n"/>
      <c r="G60" s="5" t="n"/>
    </row>
    <row r="61">
      <c r="A61" t="n">
        <v>57</v>
      </c>
      <c r="B61" s="8" t="n"/>
      <c r="C61" s="5" t="n"/>
      <c r="D61" s="5" t="n"/>
      <c r="E61" s="5" t="n"/>
      <c r="F61" s="6" t="n"/>
      <c r="G61" s="5" t="n"/>
    </row>
    <row r="62">
      <c r="A62" t="n">
        <v>58</v>
      </c>
      <c r="B62" s="8" t="n"/>
      <c r="C62" s="5" t="n"/>
      <c r="D62" s="5" t="n"/>
      <c r="E62" s="5" t="n"/>
      <c r="F62" s="6" t="n"/>
      <c r="G62" s="5" t="n"/>
    </row>
    <row r="63">
      <c r="A63" t="n">
        <v>59</v>
      </c>
      <c r="B63" s="8" t="n"/>
      <c r="C63" s="5" t="n"/>
      <c r="D63" s="5" t="n"/>
      <c r="E63" s="5" t="n"/>
      <c r="F63" s="6" t="n"/>
      <c r="G63" s="5" t="n"/>
    </row>
    <row r="64">
      <c r="A64" t="n">
        <v>60</v>
      </c>
      <c r="B64" s="8" t="n"/>
      <c r="C64" s="5" t="n"/>
      <c r="D64" s="5" t="n"/>
      <c r="E64" s="5" t="n"/>
      <c r="F64" s="6" t="n"/>
      <c r="G64" s="5" t="n"/>
    </row>
    <row r="65">
      <c r="A65" t="n">
        <v>61</v>
      </c>
      <c r="B65" s="8" t="n"/>
      <c r="C65" s="5" t="n"/>
      <c r="D65" s="5" t="n"/>
      <c r="E65" s="5" t="n"/>
      <c r="F65" s="6" t="n"/>
      <c r="G65" s="5" t="n"/>
    </row>
    <row r="66">
      <c r="A66" t="n">
        <v>62</v>
      </c>
      <c r="B66" s="8" t="n"/>
      <c r="C66" s="5" t="n"/>
      <c r="D66" s="5" t="n"/>
      <c r="E66" s="5" t="n"/>
      <c r="F66" s="6" t="n"/>
      <c r="G66" s="5" t="n"/>
    </row>
    <row r="67">
      <c r="A67" t="n">
        <v>63</v>
      </c>
      <c r="B67" s="8" t="n"/>
      <c r="C67" s="5" t="n"/>
      <c r="D67" s="5" t="n"/>
      <c r="E67" s="5" t="n"/>
      <c r="F67" s="6" t="n"/>
      <c r="G67" s="5" t="n"/>
    </row>
    <row r="68">
      <c r="A68" t="n">
        <v>64</v>
      </c>
      <c r="B68" s="8" t="n"/>
      <c r="C68" s="5" t="n"/>
      <c r="D68" s="5" t="n"/>
      <c r="E68" s="5" t="n"/>
      <c r="F68" s="6" t="n"/>
      <c r="G68" s="5" t="n"/>
    </row>
    <row r="69">
      <c r="A69" t="n">
        <v>65</v>
      </c>
      <c r="B69" s="8" t="n"/>
      <c r="C69" s="5" t="n"/>
      <c r="D69" s="5" t="n"/>
      <c r="E69" s="5" t="n"/>
      <c r="F69" s="6" t="n"/>
      <c r="G69" s="5" t="n"/>
    </row>
    <row r="70">
      <c r="A70" t="n">
        <v>66</v>
      </c>
      <c r="B70" s="8" t="n"/>
      <c r="C70" s="5" t="n"/>
      <c r="D70" s="5" t="n"/>
      <c r="E70" s="5" t="n"/>
      <c r="F70" s="6" t="n"/>
      <c r="G70" s="5" t="n"/>
    </row>
    <row r="71">
      <c r="A71" t="n">
        <v>67</v>
      </c>
      <c r="B71" s="8" t="n"/>
      <c r="C71" s="5" t="n"/>
      <c r="D71" s="5" t="n"/>
      <c r="E71" s="5" t="n"/>
      <c r="F71" s="6" t="n"/>
      <c r="G71" s="5" t="n"/>
    </row>
    <row r="72">
      <c r="A72" t="n">
        <v>68</v>
      </c>
      <c r="B72" s="8" t="n"/>
      <c r="C72" s="5" t="n"/>
      <c r="D72" s="5" t="n"/>
      <c r="E72" s="5" t="n"/>
      <c r="F72" s="6" t="n"/>
      <c r="G72" s="5" t="n"/>
    </row>
    <row r="73">
      <c r="A73" t="n">
        <v>69</v>
      </c>
      <c r="B73" s="8" t="n"/>
      <c r="C73" s="5" t="n"/>
      <c r="D73" s="5" t="n"/>
      <c r="E73" s="5" t="n"/>
      <c r="F73" s="6" t="n"/>
      <c r="G73" s="5" t="n"/>
    </row>
    <row r="74">
      <c r="A74" t="n">
        <v>70</v>
      </c>
      <c r="B74" s="8" t="n"/>
      <c r="C74" s="5" t="n"/>
      <c r="D74" s="5" t="n"/>
      <c r="E74" s="5" t="n"/>
      <c r="F74" s="6" t="n"/>
      <c r="G74" s="5" t="n"/>
    </row>
    <row r="75">
      <c r="A75" t="n">
        <v>71</v>
      </c>
      <c r="B75" s="8" t="n"/>
      <c r="C75" s="5" t="n"/>
      <c r="D75" s="5" t="n"/>
      <c r="E75" s="5" t="n"/>
      <c r="F75" s="6" t="n"/>
      <c r="G75" s="5" t="n"/>
    </row>
    <row r="76">
      <c r="A76" t="n">
        <v>72</v>
      </c>
      <c r="B76" s="8" t="n"/>
      <c r="C76" s="5" t="n"/>
      <c r="D76" s="5" t="n"/>
      <c r="E76" s="5" t="n"/>
      <c r="F76" s="6" t="n"/>
      <c r="G76" s="5" t="n"/>
    </row>
    <row r="77">
      <c r="A77" t="n">
        <v>73</v>
      </c>
      <c r="B77" s="8" t="n"/>
      <c r="C77" s="5" t="n"/>
      <c r="D77" s="5" t="n"/>
      <c r="E77" s="5" t="n"/>
      <c r="F77" s="6" t="n"/>
      <c r="G77" s="5" t="n"/>
    </row>
    <row r="78">
      <c r="A78" t="n">
        <v>74</v>
      </c>
      <c r="B78" s="8" t="n"/>
      <c r="C78" s="5" t="n"/>
      <c r="D78" s="5" t="n"/>
      <c r="E78" s="5" t="n"/>
      <c r="F78" s="6" t="n"/>
      <c r="G78" s="5" t="n"/>
    </row>
    <row r="79">
      <c r="A79" t="n">
        <v>75</v>
      </c>
      <c r="B79" s="8" t="n"/>
      <c r="C79" s="5" t="n"/>
      <c r="D79" s="5" t="n"/>
      <c r="E79" s="5" t="n"/>
      <c r="F79" s="6" t="n"/>
      <c r="G79" s="5" t="n"/>
    </row>
    <row r="80">
      <c r="A80" t="n">
        <v>76</v>
      </c>
      <c r="B80" s="8" t="n"/>
      <c r="C80" s="5" t="n"/>
      <c r="D80" s="5" t="n"/>
      <c r="E80" s="5" t="n"/>
      <c r="F80" s="6" t="n"/>
      <c r="G80" s="5" t="n"/>
    </row>
    <row r="81">
      <c r="A81" t="n">
        <v>77</v>
      </c>
      <c r="B81" s="8" t="n"/>
      <c r="C81" s="5" t="n"/>
      <c r="D81" s="5" t="n"/>
      <c r="E81" s="5" t="n"/>
      <c r="F81" s="6" t="n"/>
      <c r="G81" s="5" t="n"/>
    </row>
    <row r="82">
      <c r="A82" t="n">
        <v>78</v>
      </c>
      <c r="B82" s="8" t="n"/>
      <c r="C82" s="5" t="n"/>
      <c r="D82" s="5" t="n"/>
      <c r="E82" s="5" t="n"/>
      <c r="F82" s="6" t="n"/>
      <c r="G82" s="5" t="n"/>
    </row>
    <row r="83">
      <c r="A83" t="n">
        <v>79</v>
      </c>
      <c r="B83" s="8" t="n"/>
      <c r="C83" s="5" t="n"/>
      <c r="D83" s="5" t="n"/>
      <c r="E83" s="5" t="n"/>
      <c r="F83" s="6" t="n"/>
      <c r="G83" s="5" t="n"/>
    </row>
    <row r="84">
      <c r="A84" t="n">
        <v>80</v>
      </c>
      <c r="B84" s="8" t="n"/>
      <c r="C84" s="5" t="n"/>
      <c r="D84" s="5" t="n"/>
      <c r="E84" s="5" t="n"/>
      <c r="F84" s="6" t="n"/>
      <c r="G84" s="5" t="n"/>
    </row>
    <row r="85">
      <c r="A85" t="n">
        <v>81</v>
      </c>
      <c r="B85" s="8" t="n"/>
      <c r="C85" s="5" t="n"/>
      <c r="D85" s="5" t="n"/>
      <c r="E85" s="5" t="n"/>
      <c r="F85" s="6" t="n"/>
      <c r="G85" s="5" t="n"/>
    </row>
    <row r="86">
      <c r="A86" t="n">
        <v>82</v>
      </c>
      <c r="B86" s="8" t="n"/>
      <c r="C86" s="5" t="n"/>
      <c r="D86" s="5" t="n"/>
      <c r="E86" s="5" t="n"/>
      <c r="F86" s="6" t="n"/>
      <c r="G86" s="5" t="n"/>
    </row>
    <row r="87">
      <c r="A87" t="n">
        <v>83</v>
      </c>
      <c r="B87" s="8" t="n"/>
      <c r="C87" s="5" t="n"/>
      <c r="D87" s="5" t="n"/>
      <c r="E87" s="5" t="n"/>
      <c r="F87" s="6" t="n"/>
      <c r="G87" s="5" t="n"/>
    </row>
    <row r="88">
      <c r="A88" t="n">
        <v>84</v>
      </c>
      <c r="B88" s="8" t="n"/>
      <c r="C88" s="5" t="n"/>
      <c r="D88" s="5" t="n"/>
      <c r="E88" s="5" t="n"/>
      <c r="F88" s="6" t="n"/>
      <c r="G88" s="5" t="n"/>
    </row>
    <row r="89">
      <c r="A89" t="n">
        <v>85</v>
      </c>
      <c r="B89" s="8" t="n"/>
      <c r="C89" s="5" t="n"/>
      <c r="D89" s="5" t="n"/>
      <c r="E89" s="5" t="n"/>
      <c r="F89" s="6" t="n"/>
      <c r="G89" s="5" t="n"/>
    </row>
    <row r="90">
      <c r="A90" t="n">
        <v>86</v>
      </c>
      <c r="B90" s="8" t="n"/>
      <c r="C90" s="5" t="n"/>
      <c r="D90" s="5" t="n"/>
      <c r="E90" s="5" t="n"/>
      <c r="F90" s="6" t="n"/>
      <c r="G90" s="5" t="n"/>
    </row>
    <row r="91">
      <c r="A91" t="n">
        <v>87</v>
      </c>
      <c r="B91" s="8" t="n"/>
      <c r="C91" s="5" t="n"/>
      <c r="D91" s="5" t="n"/>
      <c r="E91" s="5" t="n"/>
      <c r="F91" s="6" t="n"/>
      <c r="G91" s="5" t="n"/>
    </row>
    <row r="92">
      <c r="A92" t="n">
        <v>88</v>
      </c>
      <c r="B92" s="8" t="n"/>
      <c r="C92" s="5" t="n"/>
      <c r="D92" s="5" t="n"/>
      <c r="E92" s="5" t="n"/>
      <c r="F92" s="6" t="n"/>
      <c r="G92" s="5" t="n"/>
    </row>
    <row r="93">
      <c r="A93" t="n">
        <v>89</v>
      </c>
      <c r="B93" s="8" t="n"/>
      <c r="C93" s="5" t="n"/>
      <c r="D93" s="5" t="n"/>
      <c r="E93" s="5" t="n"/>
      <c r="F93" s="6" t="n"/>
      <c r="G93" s="5" t="n"/>
    </row>
    <row r="94">
      <c r="A94" t="n">
        <v>90</v>
      </c>
      <c r="B94" s="8" t="n"/>
      <c r="C94" s="5" t="n"/>
      <c r="D94" s="5" t="n"/>
      <c r="E94" s="5" t="n"/>
      <c r="F94" s="6" t="n"/>
      <c r="G94" s="5" t="n"/>
    </row>
    <row r="95">
      <c r="A95" t="n">
        <v>91</v>
      </c>
      <c r="B95" s="8" t="n"/>
      <c r="C95" s="5" t="n"/>
      <c r="D95" s="5" t="n"/>
      <c r="E95" s="5" t="n"/>
      <c r="F95" s="6" t="n"/>
      <c r="G95" s="5" t="n"/>
    </row>
    <row r="96">
      <c r="A96" t="n">
        <v>92</v>
      </c>
      <c r="B96" s="8" t="n"/>
      <c r="C96" s="5" t="n"/>
      <c r="D96" s="5" t="n"/>
      <c r="E96" s="5" t="n"/>
      <c r="F96" s="6" t="n"/>
      <c r="G96" s="5" t="n"/>
    </row>
    <row r="97">
      <c r="A97" t="n">
        <v>93</v>
      </c>
      <c r="B97" s="8" t="n"/>
      <c r="C97" s="5" t="n"/>
      <c r="D97" s="5" t="n"/>
      <c r="E97" s="5" t="n"/>
      <c r="F97" s="6" t="n"/>
      <c r="G97" s="5" t="n"/>
    </row>
    <row r="98">
      <c r="A98" t="n">
        <v>94</v>
      </c>
      <c r="B98" s="8" t="n"/>
      <c r="C98" s="5" t="n"/>
      <c r="D98" s="5" t="n"/>
      <c r="E98" s="5" t="n"/>
      <c r="F98" s="6" t="n"/>
      <c r="G98" s="5" t="n"/>
    </row>
    <row r="99">
      <c r="A99" t="n">
        <v>95</v>
      </c>
      <c r="B99" s="8" t="n"/>
      <c r="C99" s="5" t="n"/>
      <c r="D99" s="5" t="n"/>
      <c r="E99" s="5" t="n"/>
      <c r="F99" s="6" t="n"/>
      <c r="G99" s="5" t="n"/>
    </row>
    <row r="100">
      <c r="A100" t="n">
        <v>96</v>
      </c>
      <c r="B100" s="8" t="n"/>
      <c r="C100" s="5" t="n"/>
      <c r="D100" s="5" t="n"/>
      <c r="E100" s="5" t="n"/>
      <c r="F100" s="6" t="n"/>
      <c r="G100" s="5" t="n"/>
    </row>
    <row r="101">
      <c r="A101" t="n">
        <v>97</v>
      </c>
      <c r="B101" s="8" t="n"/>
      <c r="C101" s="5" t="n"/>
      <c r="D101" s="5" t="n"/>
      <c r="E101" s="5" t="n"/>
      <c r="F101" s="6" t="n"/>
      <c r="G101" s="5" t="n"/>
    </row>
    <row r="102">
      <c r="A102" t="n">
        <v>98</v>
      </c>
      <c r="B102" s="8" t="n"/>
      <c r="C102" s="5" t="n"/>
      <c r="D102" s="5" t="n"/>
      <c r="E102" s="5" t="n"/>
      <c r="F102" s="6" t="n"/>
      <c r="G102" s="5" t="n"/>
    </row>
    <row r="103">
      <c r="A103" t="n">
        <v>99</v>
      </c>
      <c r="B103" s="8" t="n"/>
      <c r="C103" s="5" t="n"/>
      <c r="D103" s="5" t="n"/>
      <c r="E103" s="5" t="n"/>
      <c r="F103" s="6" t="n"/>
      <c r="G103" s="5" t="n"/>
    </row>
    <row r="104">
      <c r="A104" t="n">
        <v>100</v>
      </c>
      <c r="B104" s="8" t="n"/>
      <c r="C104" s="5" t="n"/>
      <c r="D104" s="5" t="n"/>
      <c r="E104" s="5" t="n"/>
      <c r="F104" s="6" t="n"/>
      <c r="G104" s="5" t="n"/>
    </row>
  </sheetData>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"BEPAARI,DUKANDAR,CAPITAL,LOAN,AMANAT,ADVANCE,CASH,BANK,JB,KK,COMMISSION,ZAKAT,EXPENSE,OTHER"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type="list">
      <formula1>"DR,CR"</formula1>
    </dataValidation>
  </dataValidations>
  <pageMargins left="0.75" right="0.75" top="1" bottom="1" header="0.5" footer="0.5"/>
</worksheet>
</file>

<file path=xl/worksheets/sheet7.xml><?xml version="1.0" encoding="utf-8"?>
<worksheet xmlns="http://schemas.openxmlformats.org/spreadsheetml/2006/main">
  <sheetPr>
    <tabColor rgb="009C27B0"/>
    <outlinePr summaryBelow="1" summaryRight="1"/>
    <pageSetUpPr/>
  </sheetPr>
  <dimension ref="A1:T59"/>
  <sheetViews>
    <sheetView workbookViewId="0">
      <selection activeCell="A1" sqref="A1"/>
    </sheetView>
  </sheetViews>
  <sheetFormatPr baseColWidth="8" defaultRowHeight="15"/>
  <cols>
    <col width="4" customWidth="1" min="1" max="1"/>
    <col width="18" customWidth="1" min="2" max="2"/>
    <col width="6" customWidth="1" min="3" max="3"/>
    <col width="8" customWidth="1" min="4" max="4"/>
    <col width="10" customWidth="1" min="5" max="5"/>
    <col width="12" customWidth="1" min="6" max="6"/>
    <col width="6" customWidth="1" min="7" max="7"/>
    <col width="10" customWidth="1" min="8" max="8"/>
    <col width="8" customWidth="1" min="9" max="9"/>
    <col width="8" customWidth="1" min="10" max="10"/>
    <col width="9" customWidth="1" min="11" max="11"/>
    <col width="9" customWidth="1" min="12" max="12"/>
    <col width="9" customWidth="1" min="13" max="13"/>
    <col width="10" customWidth="1" min="14" max="14"/>
    <col width="8" customWidth="1" min="15" max="15"/>
    <col width="11" customWidth="1" min="16" max="16"/>
    <col width="12" customWidth="1" min="17" max="17"/>
    <col width="11" customWidth="1" min="18" max="18"/>
    <col width="10" customWidth="1" min="19" max="19"/>
    <col width="12" customWidth="1" min="20" max="20"/>
  </cols>
  <sheetData>
    <row r="1">
      <c r="A1" s="1" t="inlineStr">
        <is>
          <t>BEPAARI LEDGER</t>
        </is>
      </c>
    </row>
    <row r="2">
      <c r="A2" s="11" t="inlineStr">
        <is>
          <t>Commission = Flat ₹/Goat if set, otherwise Comm%</t>
        </is>
      </c>
    </row>
    <row r="4">
      <c r="A4" s="3" t="inlineStr">
        <is>
          <t>Sr</t>
        </is>
      </c>
      <c r="B4" s="3" t="inlineStr">
        <is>
          <t>Bepaari</t>
        </is>
      </c>
      <c r="C4" s="3" t="inlineStr">
        <is>
          <t>Comm%</t>
        </is>
      </c>
      <c r="D4" s="3" t="inlineStr">
        <is>
          <t>Flat₹</t>
        </is>
      </c>
      <c r="E4" s="3" t="inlineStr">
        <is>
          <t>Opening</t>
        </is>
      </c>
      <c r="F4" s="3" t="inlineStr">
        <is>
          <t>Gross Sales</t>
        </is>
      </c>
      <c r="G4" s="3" t="inlineStr">
        <is>
          <t>Qty</t>
        </is>
      </c>
      <c r="H4" s="3" t="inlineStr">
        <is>
          <t>Commission</t>
        </is>
      </c>
      <c r="I4" s="3" t="inlineStr">
        <is>
          <t>KK</t>
        </is>
      </c>
      <c r="J4" s="3" t="inlineStr">
        <is>
          <t>JB</t>
        </is>
      </c>
      <c r="K4" s="3" t="inlineStr">
        <is>
          <t>Motor</t>
        </is>
      </c>
      <c r="L4" s="3" t="inlineStr">
        <is>
          <t>Bhussa</t>
        </is>
      </c>
      <c r="M4" s="3" t="inlineStr">
        <is>
          <t>Gawali</t>
        </is>
      </c>
      <c r="N4" s="3" t="inlineStr">
        <is>
          <t>Cash/Adv</t>
        </is>
      </c>
      <c r="O4" s="3" t="inlineStr">
        <is>
          <t>Other</t>
        </is>
      </c>
      <c r="P4" s="3" t="inlineStr">
        <is>
          <t>Tot.Deduct</t>
        </is>
      </c>
      <c r="Q4" s="3" t="inlineStr">
        <is>
          <t>Net Payable</t>
        </is>
      </c>
      <c r="R4" s="3" t="inlineStr">
        <is>
          <t>Payments</t>
        </is>
      </c>
      <c r="S4" s="3" t="inlineStr">
        <is>
          <t>JV Adj</t>
        </is>
      </c>
      <c r="T4" s="3" t="inlineStr">
        <is>
          <t>BALANCE</t>
        </is>
      </c>
    </row>
    <row r="5">
      <c r="A5" t="n">
        <v>1</v>
      </c>
      <c r="B5">
        <f>IF(Masters!$B$3="","",Masters!$B$3)</f>
        <v/>
      </c>
      <c r="C5">
        <f>IF(B5="","",Masters!$C$3)</f>
        <v/>
      </c>
      <c r="D5" s="12">
        <f>IF(B5="","",IF(Masters!$D$3="","",Masters!$D$3))</f>
        <v/>
      </c>
      <c r="E5" s="12">
        <f>IF(B5="",0,Masters!$E$3)</f>
        <v/>
      </c>
      <c r="F5" s="12">
        <f>SUMIF(Daily_Sales!$C:$C,B5,Daily_Sales!$G:$G)</f>
        <v/>
      </c>
      <c r="G5" s="16">
        <f>SUMIF(Daily_Sales!$C:$C,B5,Daily_Sales!$E:$E)</f>
        <v/>
      </c>
      <c r="H5" s="12">
        <f>IF(B5="",0,IF(D5&lt;&gt;"",D5*G5,F5*C5/100))</f>
        <v/>
      </c>
      <c r="I5" s="9">
        <f>IF(G5&gt;0,Masters!$Y$3,0)</f>
        <v/>
      </c>
      <c r="J5" s="9">
        <f>G5*Masters!$Y$4</f>
        <v/>
      </c>
      <c r="K5" s="12">
        <f>SUMIFS(Cash_Book!$G:$G,Cash_Book!$C:$C,"BEPAARI",Cash_Book!$D:$D,"MOTOR",Cash_Book!$E:$E,B5)</f>
        <v/>
      </c>
      <c r="L5" s="12">
        <f>SUMIFS(Cash_Book!$G:$G,Cash_Book!$C:$C,"BEPAARI",Cash_Book!$D:$D,"BHUSSA",Cash_Book!$E:$E,B5)</f>
        <v/>
      </c>
      <c r="M5" s="12">
        <f>SUMIFS(Cash_Book!$G:$G,Cash_Book!$C:$C,"BEPAARI",Cash_Book!$D:$D,"GAWALI",Cash_Book!$E:$E,B5)</f>
        <v/>
      </c>
      <c r="N5" s="12">
        <f>SUMIFS(Cash_Book!$G:$G,Cash_Book!$C:$C,"BEPAARI",Cash_Book!$D:$D,"CASH_ADV",Cash_Book!$E:$E,B5)</f>
        <v/>
      </c>
      <c r="O5" s="12">
        <f>SUMIFS(Cash_Book!$G:$G,Cash_Book!$C:$C,"BEPAARI",Cash_Book!$D:$D,"OTHER",Cash_Book!$E:$E,B5)</f>
        <v/>
      </c>
      <c r="P5" s="9">
        <f>SUM(H5:O5)</f>
        <v/>
      </c>
      <c r="Q5" s="9">
        <f>IF(B5="","",F5-P5+E5)</f>
        <v/>
      </c>
      <c r="R5" s="12">
        <f>SUMIFS(Cash_Book!$G:$G,Cash_Book!$C:$C,"BEPAARI",Cash_Book!$D:$D,"PAYMENT",Cash_Book!$E:$E,B5)</f>
        <v/>
      </c>
      <c r="S5" s="12">
        <f>SUMIFS(JV_Entries!$G:$G,JV_Entries!$C:$C,"BEPAARI",JV_Entries!$D:$D,B5)-SUMIFS(JV_Entries!$G:$G,JV_Entries!$E:$E,"BEPAARI",JV_Entries!$F:$F,B5)</f>
        <v/>
      </c>
      <c r="T5" s="17">
        <f>IF(B5="","",Q5-R5+S5)</f>
        <v/>
      </c>
    </row>
    <row r="6">
      <c r="A6" t="n">
        <v>2</v>
      </c>
      <c r="B6">
        <f>IF(Masters!$B$4="","",Masters!$B$4)</f>
        <v/>
      </c>
      <c r="C6">
        <f>IF(B6="","",Masters!$C$4)</f>
        <v/>
      </c>
      <c r="D6" s="12">
        <f>IF(B6="","",IF(Masters!$D$4="","",Masters!$D$4))</f>
        <v/>
      </c>
      <c r="E6" s="12">
        <f>IF(B6="",0,Masters!$E$4)</f>
        <v/>
      </c>
      <c r="F6" s="12">
        <f>SUMIF(Daily_Sales!$C:$C,B6,Daily_Sales!$G:$G)</f>
        <v/>
      </c>
      <c r="G6" s="16">
        <f>SUMIF(Daily_Sales!$C:$C,B6,Daily_Sales!$E:$E)</f>
        <v/>
      </c>
      <c r="H6" s="12">
        <f>IF(B6="",0,IF(D6&lt;&gt;"",D6*G6,F6*C6/100))</f>
        <v/>
      </c>
      <c r="I6" s="9">
        <f>IF(G6&gt;0,Masters!$Y$3,0)</f>
        <v/>
      </c>
      <c r="J6" s="9">
        <f>G6*Masters!$Y$4</f>
        <v/>
      </c>
      <c r="K6" s="12">
        <f>SUMIFS(Cash_Book!$G:$G,Cash_Book!$C:$C,"BEPAARI",Cash_Book!$D:$D,"MOTOR",Cash_Book!$E:$E,B6)</f>
        <v/>
      </c>
      <c r="L6" s="12">
        <f>SUMIFS(Cash_Book!$G:$G,Cash_Book!$C:$C,"BEPAARI",Cash_Book!$D:$D,"BHUSSA",Cash_Book!$E:$E,B6)</f>
        <v/>
      </c>
      <c r="M6" s="12">
        <f>SUMIFS(Cash_Book!$G:$G,Cash_Book!$C:$C,"BEPAARI",Cash_Book!$D:$D,"GAWALI",Cash_Book!$E:$E,B6)</f>
        <v/>
      </c>
      <c r="N6" s="12">
        <f>SUMIFS(Cash_Book!$G:$G,Cash_Book!$C:$C,"BEPAARI",Cash_Book!$D:$D,"CASH_ADV",Cash_Book!$E:$E,B6)</f>
        <v/>
      </c>
      <c r="O6" s="12">
        <f>SUMIFS(Cash_Book!$G:$G,Cash_Book!$C:$C,"BEPAARI",Cash_Book!$D:$D,"OTHER",Cash_Book!$E:$E,B6)</f>
        <v/>
      </c>
      <c r="P6" s="9">
        <f>SUM(H6:O6)</f>
        <v/>
      </c>
      <c r="Q6" s="9">
        <f>IF(B6="","",F6-P6+E6)</f>
        <v/>
      </c>
      <c r="R6" s="12">
        <f>SUMIFS(Cash_Book!$G:$G,Cash_Book!$C:$C,"BEPAARI",Cash_Book!$D:$D,"PAYMENT",Cash_Book!$E:$E,B6)</f>
        <v/>
      </c>
      <c r="S6" s="12">
        <f>SUMIFS(JV_Entries!$G:$G,JV_Entries!$C:$C,"BEPAARI",JV_Entries!$D:$D,B6)-SUMIFS(JV_Entries!$G:$G,JV_Entries!$E:$E,"BEPAARI",JV_Entries!$F:$F,B6)</f>
        <v/>
      </c>
      <c r="T6" s="17">
        <f>IF(B6="","",Q6-R6+S6)</f>
        <v/>
      </c>
    </row>
    <row r="7">
      <c r="A7" t="n">
        <v>3</v>
      </c>
      <c r="B7">
        <f>IF(Masters!$B$5="","",Masters!$B$5)</f>
        <v/>
      </c>
      <c r="C7">
        <f>IF(B7="","",Masters!$C$5)</f>
        <v/>
      </c>
      <c r="D7" s="12">
        <f>IF(B7="","",IF(Masters!$D$5="","",Masters!$D$5))</f>
        <v/>
      </c>
      <c r="E7" s="12">
        <f>IF(B7="",0,Masters!$E$5)</f>
        <v/>
      </c>
      <c r="F7" s="12">
        <f>SUMIF(Daily_Sales!$C:$C,B7,Daily_Sales!$G:$G)</f>
        <v/>
      </c>
      <c r="G7" s="16">
        <f>SUMIF(Daily_Sales!$C:$C,B7,Daily_Sales!$E:$E)</f>
        <v/>
      </c>
      <c r="H7" s="12">
        <f>IF(B7="",0,IF(D7&lt;&gt;"",D7*G7,F7*C7/100))</f>
        <v/>
      </c>
      <c r="I7" s="9">
        <f>IF(G7&gt;0,Masters!$Y$3,0)</f>
        <v/>
      </c>
      <c r="J7" s="9">
        <f>G7*Masters!$Y$4</f>
        <v/>
      </c>
      <c r="K7" s="12">
        <f>SUMIFS(Cash_Book!$G:$G,Cash_Book!$C:$C,"BEPAARI",Cash_Book!$D:$D,"MOTOR",Cash_Book!$E:$E,B7)</f>
        <v/>
      </c>
      <c r="L7" s="12">
        <f>SUMIFS(Cash_Book!$G:$G,Cash_Book!$C:$C,"BEPAARI",Cash_Book!$D:$D,"BHUSSA",Cash_Book!$E:$E,B7)</f>
        <v/>
      </c>
      <c r="M7" s="12">
        <f>SUMIFS(Cash_Book!$G:$G,Cash_Book!$C:$C,"BEPAARI",Cash_Book!$D:$D,"GAWALI",Cash_Book!$E:$E,B7)</f>
        <v/>
      </c>
      <c r="N7" s="12">
        <f>SUMIFS(Cash_Book!$G:$G,Cash_Book!$C:$C,"BEPAARI",Cash_Book!$D:$D,"CASH_ADV",Cash_Book!$E:$E,B7)</f>
        <v/>
      </c>
      <c r="O7" s="12">
        <f>SUMIFS(Cash_Book!$G:$G,Cash_Book!$C:$C,"BEPAARI",Cash_Book!$D:$D,"OTHER",Cash_Book!$E:$E,B7)</f>
        <v/>
      </c>
      <c r="P7" s="9">
        <f>SUM(H7:O7)</f>
        <v/>
      </c>
      <c r="Q7" s="9">
        <f>IF(B7="","",F7-P7+E7)</f>
        <v/>
      </c>
      <c r="R7" s="12">
        <f>SUMIFS(Cash_Book!$G:$G,Cash_Book!$C:$C,"BEPAARI",Cash_Book!$D:$D,"PAYMENT",Cash_Book!$E:$E,B7)</f>
        <v/>
      </c>
      <c r="S7" s="12">
        <f>SUMIFS(JV_Entries!$G:$G,JV_Entries!$C:$C,"BEPAARI",JV_Entries!$D:$D,B7)-SUMIFS(JV_Entries!$G:$G,JV_Entries!$E:$E,"BEPAARI",JV_Entries!$F:$F,B7)</f>
        <v/>
      </c>
      <c r="T7" s="17">
        <f>IF(B7="","",Q7-R7+S7)</f>
        <v/>
      </c>
    </row>
    <row r="8">
      <c r="A8" t="n">
        <v>4</v>
      </c>
      <c r="B8">
        <f>IF(Masters!$B$6="","",Masters!$B$6)</f>
        <v/>
      </c>
      <c r="C8">
        <f>IF(B8="","",Masters!$C$6)</f>
        <v/>
      </c>
      <c r="D8" s="12">
        <f>IF(B8="","",IF(Masters!$D$6="","",Masters!$D$6))</f>
        <v/>
      </c>
      <c r="E8" s="12">
        <f>IF(B8="",0,Masters!$E$6)</f>
        <v/>
      </c>
      <c r="F8" s="12">
        <f>SUMIF(Daily_Sales!$C:$C,B8,Daily_Sales!$G:$G)</f>
        <v/>
      </c>
      <c r="G8" s="16">
        <f>SUMIF(Daily_Sales!$C:$C,B8,Daily_Sales!$E:$E)</f>
        <v/>
      </c>
      <c r="H8" s="12">
        <f>IF(B8="",0,IF(D8&lt;&gt;"",D8*G8,F8*C8/100))</f>
        <v/>
      </c>
      <c r="I8" s="9">
        <f>IF(G8&gt;0,Masters!$Y$3,0)</f>
        <v/>
      </c>
      <c r="J8" s="9">
        <f>G8*Masters!$Y$4</f>
        <v/>
      </c>
      <c r="K8" s="12">
        <f>SUMIFS(Cash_Book!$G:$G,Cash_Book!$C:$C,"BEPAARI",Cash_Book!$D:$D,"MOTOR",Cash_Book!$E:$E,B8)</f>
        <v/>
      </c>
      <c r="L8" s="12">
        <f>SUMIFS(Cash_Book!$G:$G,Cash_Book!$C:$C,"BEPAARI",Cash_Book!$D:$D,"BHUSSA",Cash_Book!$E:$E,B8)</f>
        <v/>
      </c>
      <c r="M8" s="12">
        <f>SUMIFS(Cash_Book!$G:$G,Cash_Book!$C:$C,"BEPAARI",Cash_Book!$D:$D,"GAWALI",Cash_Book!$E:$E,B8)</f>
        <v/>
      </c>
      <c r="N8" s="12">
        <f>SUMIFS(Cash_Book!$G:$G,Cash_Book!$C:$C,"BEPAARI",Cash_Book!$D:$D,"CASH_ADV",Cash_Book!$E:$E,B8)</f>
        <v/>
      </c>
      <c r="O8" s="12">
        <f>SUMIFS(Cash_Book!$G:$G,Cash_Book!$C:$C,"BEPAARI",Cash_Book!$D:$D,"OTHER",Cash_Book!$E:$E,B8)</f>
        <v/>
      </c>
      <c r="P8" s="9">
        <f>SUM(H8:O8)</f>
        <v/>
      </c>
      <c r="Q8" s="9">
        <f>IF(B8="","",F8-P8+E8)</f>
        <v/>
      </c>
      <c r="R8" s="12">
        <f>SUMIFS(Cash_Book!$G:$G,Cash_Book!$C:$C,"BEPAARI",Cash_Book!$D:$D,"PAYMENT",Cash_Book!$E:$E,B8)</f>
        <v/>
      </c>
      <c r="S8" s="12">
        <f>SUMIFS(JV_Entries!$G:$G,JV_Entries!$C:$C,"BEPAARI",JV_Entries!$D:$D,B8)-SUMIFS(JV_Entries!$G:$G,JV_Entries!$E:$E,"BEPAARI",JV_Entries!$F:$F,B8)</f>
        <v/>
      </c>
      <c r="T8" s="17">
        <f>IF(B8="","",Q8-R8+S8)</f>
        <v/>
      </c>
    </row>
    <row r="9">
      <c r="A9" t="n">
        <v>5</v>
      </c>
      <c r="B9">
        <f>IF(Masters!$B$7="","",Masters!$B$7)</f>
        <v/>
      </c>
      <c r="C9">
        <f>IF(B9="","",Masters!$C$7)</f>
        <v/>
      </c>
      <c r="D9" s="12">
        <f>IF(B9="","",IF(Masters!$D$7="","",Masters!$D$7))</f>
        <v/>
      </c>
      <c r="E9" s="12">
        <f>IF(B9="",0,Masters!$E$7)</f>
        <v/>
      </c>
      <c r="F9" s="12">
        <f>SUMIF(Daily_Sales!$C:$C,B9,Daily_Sales!$G:$G)</f>
        <v/>
      </c>
      <c r="G9" s="16">
        <f>SUMIF(Daily_Sales!$C:$C,B9,Daily_Sales!$E:$E)</f>
        <v/>
      </c>
      <c r="H9" s="12">
        <f>IF(B9="",0,IF(D9&lt;&gt;"",D9*G9,F9*C9/100))</f>
        <v/>
      </c>
      <c r="I9" s="9">
        <f>IF(G9&gt;0,Masters!$Y$3,0)</f>
        <v/>
      </c>
      <c r="J9" s="9">
        <f>G9*Masters!$Y$4</f>
        <v/>
      </c>
      <c r="K9" s="12">
        <f>SUMIFS(Cash_Book!$G:$G,Cash_Book!$C:$C,"BEPAARI",Cash_Book!$D:$D,"MOTOR",Cash_Book!$E:$E,B9)</f>
        <v/>
      </c>
      <c r="L9" s="12">
        <f>SUMIFS(Cash_Book!$G:$G,Cash_Book!$C:$C,"BEPAARI",Cash_Book!$D:$D,"BHUSSA",Cash_Book!$E:$E,B9)</f>
        <v/>
      </c>
      <c r="M9" s="12">
        <f>SUMIFS(Cash_Book!$G:$G,Cash_Book!$C:$C,"BEPAARI",Cash_Book!$D:$D,"GAWALI",Cash_Book!$E:$E,B9)</f>
        <v/>
      </c>
      <c r="N9" s="12">
        <f>SUMIFS(Cash_Book!$G:$G,Cash_Book!$C:$C,"BEPAARI",Cash_Book!$D:$D,"CASH_ADV",Cash_Book!$E:$E,B9)</f>
        <v/>
      </c>
      <c r="O9" s="12">
        <f>SUMIFS(Cash_Book!$G:$G,Cash_Book!$C:$C,"BEPAARI",Cash_Book!$D:$D,"OTHER",Cash_Book!$E:$E,B9)</f>
        <v/>
      </c>
      <c r="P9" s="9">
        <f>SUM(H9:O9)</f>
        <v/>
      </c>
      <c r="Q9" s="9">
        <f>IF(B9="","",F9-P9+E9)</f>
        <v/>
      </c>
      <c r="R9" s="12">
        <f>SUMIFS(Cash_Book!$G:$G,Cash_Book!$C:$C,"BEPAARI",Cash_Book!$D:$D,"PAYMENT",Cash_Book!$E:$E,B9)</f>
        <v/>
      </c>
      <c r="S9" s="12">
        <f>SUMIFS(JV_Entries!$G:$G,JV_Entries!$C:$C,"BEPAARI",JV_Entries!$D:$D,B9)-SUMIFS(JV_Entries!$G:$G,JV_Entries!$E:$E,"BEPAARI",JV_Entries!$F:$F,B9)</f>
        <v/>
      </c>
      <c r="T9" s="17">
        <f>IF(B9="","",Q9-R9+S9)</f>
        <v/>
      </c>
    </row>
    <row r="10">
      <c r="A10" t="n">
        <v>6</v>
      </c>
      <c r="B10">
        <f>IF(Masters!$B$8="","",Masters!$B$8)</f>
        <v/>
      </c>
      <c r="C10">
        <f>IF(B10="","",Masters!$C$8)</f>
        <v/>
      </c>
      <c r="D10" s="12">
        <f>IF(B10="","",IF(Masters!$D$8="","",Masters!$D$8))</f>
        <v/>
      </c>
      <c r="E10" s="12">
        <f>IF(B10="",0,Masters!$E$8)</f>
        <v/>
      </c>
      <c r="F10" s="12">
        <f>SUMIF(Daily_Sales!$C:$C,B10,Daily_Sales!$G:$G)</f>
        <v/>
      </c>
      <c r="G10" s="16">
        <f>SUMIF(Daily_Sales!$C:$C,B10,Daily_Sales!$E:$E)</f>
        <v/>
      </c>
      <c r="H10" s="12">
        <f>IF(B10="",0,IF(D10&lt;&gt;"",D10*G10,F10*C10/100))</f>
        <v/>
      </c>
      <c r="I10" s="9">
        <f>IF(G10&gt;0,Masters!$Y$3,0)</f>
        <v/>
      </c>
      <c r="J10" s="9">
        <f>G10*Masters!$Y$4</f>
        <v/>
      </c>
      <c r="K10" s="12">
        <f>SUMIFS(Cash_Book!$G:$G,Cash_Book!$C:$C,"BEPAARI",Cash_Book!$D:$D,"MOTOR",Cash_Book!$E:$E,B10)</f>
        <v/>
      </c>
      <c r="L10" s="12">
        <f>SUMIFS(Cash_Book!$G:$G,Cash_Book!$C:$C,"BEPAARI",Cash_Book!$D:$D,"BHUSSA",Cash_Book!$E:$E,B10)</f>
        <v/>
      </c>
      <c r="M10" s="12">
        <f>SUMIFS(Cash_Book!$G:$G,Cash_Book!$C:$C,"BEPAARI",Cash_Book!$D:$D,"GAWALI",Cash_Book!$E:$E,B10)</f>
        <v/>
      </c>
      <c r="N10" s="12">
        <f>SUMIFS(Cash_Book!$G:$G,Cash_Book!$C:$C,"BEPAARI",Cash_Book!$D:$D,"CASH_ADV",Cash_Book!$E:$E,B10)</f>
        <v/>
      </c>
      <c r="O10" s="12">
        <f>SUMIFS(Cash_Book!$G:$G,Cash_Book!$C:$C,"BEPAARI",Cash_Book!$D:$D,"OTHER",Cash_Book!$E:$E,B10)</f>
        <v/>
      </c>
      <c r="P10" s="9">
        <f>SUM(H10:O10)</f>
        <v/>
      </c>
      <c r="Q10" s="9">
        <f>IF(B10="","",F10-P10+E10)</f>
        <v/>
      </c>
      <c r="R10" s="12">
        <f>SUMIFS(Cash_Book!$G:$G,Cash_Book!$C:$C,"BEPAARI",Cash_Book!$D:$D,"PAYMENT",Cash_Book!$E:$E,B10)</f>
        <v/>
      </c>
      <c r="S10" s="12">
        <f>SUMIFS(JV_Entries!$G:$G,JV_Entries!$C:$C,"BEPAARI",JV_Entries!$D:$D,B10)-SUMIFS(JV_Entries!$G:$G,JV_Entries!$E:$E,"BEPAARI",JV_Entries!$F:$F,B10)</f>
        <v/>
      </c>
      <c r="T10" s="17">
        <f>IF(B10="","",Q10-R10+S10)</f>
        <v/>
      </c>
    </row>
    <row r="11">
      <c r="A11" t="n">
        <v>7</v>
      </c>
      <c r="B11">
        <f>IF(Masters!$B$9="","",Masters!$B$9)</f>
        <v/>
      </c>
      <c r="C11">
        <f>IF(B11="","",Masters!$C$9)</f>
        <v/>
      </c>
      <c r="D11" s="12">
        <f>IF(B11="","",IF(Masters!$D$9="","",Masters!$D$9))</f>
        <v/>
      </c>
      <c r="E11" s="12">
        <f>IF(B11="",0,Masters!$E$9)</f>
        <v/>
      </c>
      <c r="F11" s="12">
        <f>SUMIF(Daily_Sales!$C:$C,B11,Daily_Sales!$G:$G)</f>
        <v/>
      </c>
      <c r="G11" s="16">
        <f>SUMIF(Daily_Sales!$C:$C,B11,Daily_Sales!$E:$E)</f>
        <v/>
      </c>
      <c r="H11" s="12">
        <f>IF(B11="",0,IF(D11&lt;&gt;"",D11*G11,F11*C11/100))</f>
        <v/>
      </c>
      <c r="I11" s="9">
        <f>IF(G11&gt;0,Masters!$Y$3,0)</f>
        <v/>
      </c>
      <c r="J11" s="9">
        <f>G11*Masters!$Y$4</f>
        <v/>
      </c>
      <c r="K11" s="12">
        <f>SUMIFS(Cash_Book!$G:$G,Cash_Book!$C:$C,"BEPAARI",Cash_Book!$D:$D,"MOTOR",Cash_Book!$E:$E,B11)</f>
        <v/>
      </c>
      <c r="L11" s="12">
        <f>SUMIFS(Cash_Book!$G:$G,Cash_Book!$C:$C,"BEPAARI",Cash_Book!$D:$D,"BHUSSA",Cash_Book!$E:$E,B11)</f>
        <v/>
      </c>
      <c r="M11" s="12">
        <f>SUMIFS(Cash_Book!$G:$G,Cash_Book!$C:$C,"BEPAARI",Cash_Book!$D:$D,"GAWALI",Cash_Book!$E:$E,B11)</f>
        <v/>
      </c>
      <c r="N11" s="12">
        <f>SUMIFS(Cash_Book!$G:$G,Cash_Book!$C:$C,"BEPAARI",Cash_Book!$D:$D,"CASH_ADV",Cash_Book!$E:$E,B11)</f>
        <v/>
      </c>
      <c r="O11" s="12">
        <f>SUMIFS(Cash_Book!$G:$G,Cash_Book!$C:$C,"BEPAARI",Cash_Book!$D:$D,"OTHER",Cash_Book!$E:$E,B11)</f>
        <v/>
      </c>
      <c r="P11" s="9">
        <f>SUM(H11:O11)</f>
        <v/>
      </c>
      <c r="Q11" s="9">
        <f>IF(B11="","",F11-P11+E11)</f>
        <v/>
      </c>
      <c r="R11" s="12">
        <f>SUMIFS(Cash_Book!$G:$G,Cash_Book!$C:$C,"BEPAARI",Cash_Book!$D:$D,"PAYMENT",Cash_Book!$E:$E,B11)</f>
        <v/>
      </c>
      <c r="S11" s="12">
        <f>SUMIFS(JV_Entries!$G:$G,JV_Entries!$C:$C,"BEPAARI",JV_Entries!$D:$D,B11)-SUMIFS(JV_Entries!$G:$G,JV_Entries!$E:$E,"BEPAARI",JV_Entries!$F:$F,B11)</f>
        <v/>
      </c>
      <c r="T11" s="17">
        <f>IF(B11="","",Q11-R11+S11)</f>
        <v/>
      </c>
    </row>
    <row r="12">
      <c r="A12" t="n">
        <v>8</v>
      </c>
      <c r="B12">
        <f>IF(Masters!$B$10="","",Masters!$B$10)</f>
        <v/>
      </c>
      <c r="C12">
        <f>IF(B12="","",Masters!$C$10)</f>
        <v/>
      </c>
      <c r="D12" s="12">
        <f>IF(B12="","",IF(Masters!$D$10="","",Masters!$D$10))</f>
        <v/>
      </c>
      <c r="E12" s="12">
        <f>IF(B12="",0,Masters!$E$10)</f>
        <v/>
      </c>
      <c r="F12" s="12">
        <f>SUMIF(Daily_Sales!$C:$C,B12,Daily_Sales!$G:$G)</f>
        <v/>
      </c>
      <c r="G12" s="16">
        <f>SUMIF(Daily_Sales!$C:$C,B12,Daily_Sales!$E:$E)</f>
        <v/>
      </c>
      <c r="H12" s="12">
        <f>IF(B12="",0,IF(D12&lt;&gt;"",D12*G12,F12*C12/100))</f>
        <v/>
      </c>
      <c r="I12" s="9">
        <f>IF(G12&gt;0,Masters!$Y$3,0)</f>
        <v/>
      </c>
      <c r="J12" s="9">
        <f>G12*Masters!$Y$4</f>
        <v/>
      </c>
      <c r="K12" s="12">
        <f>SUMIFS(Cash_Book!$G:$G,Cash_Book!$C:$C,"BEPAARI",Cash_Book!$D:$D,"MOTOR",Cash_Book!$E:$E,B12)</f>
        <v/>
      </c>
      <c r="L12" s="12">
        <f>SUMIFS(Cash_Book!$G:$G,Cash_Book!$C:$C,"BEPAARI",Cash_Book!$D:$D,"BHUSSA",Cash_Book!$E:$E,B12)</f>
        <v/>
      </c>
      <c r="M12" s="12">
        <f>SUMIFS(Cash_Book!$G:$G,Cash_Book!$C:$C,"BEPAARI",Cash_Book!$D:$D,"GAWALI",Cash_Book!$E:$E,B12)</f>
        <v/>
      </c>
      <c r="N12" s="12">
        <f>SUMIFS(Cash_Book!$G:$G,Cash_Book!$C:$C,"BEPAARI",Cash_Book!$D:$D,"CASH_ADV",Cash_Book!$E:$E,B12)</f>
        <v/>
      </c>
      <c r="O12" s="12">
        <f>SUMIFS(Cash_Book!$G:$G,Cash_Book!$C:$C,"BEPAARI",Cash_Book!$D:$D,"OTHER",Cash_Book!$E:$E,B12)</f>
        <v/>
      </c>
      <c r="P12" s="9">
        <f>SUM(H12:O12)</f>
        <v/>
      </c>
      <c r="Q12" s="9">
        <f>IF(B12="","",F12-P12+E12)</f>
        <v/>
      </c>
      <c r="R12" s="12">
        <f>SUMIFS(Cash_Book!$G:$G,Cash_Book!$C:$C,"BEPAARI",Cash_Book!$D:$D,"PAYMENT",Cash_Book!$E:$E,B12)</f>
        <v/>
      </c>
      <c r="S12" s="12">
        <f>SUMIFS(JV_Entries!$G:$G,JV_Entries!$C:$C,"BEPAARI",JV_Entries!$D:$D,B12)-SUMIFS(JV_Entries!$G:$G,JV_Entries!$E:$E,"BEPAARI",JV_Entries!$F:$F,B12)</f>
        <v/>
      </c>
      <c r="T12" s="17">
        <f>IF(B12="","",Q12-R12+S12)</f>
        <v/>
      </c>
    </row>
    <row r="13">
      <c r="A13" t="n">
        <v>9</v>
      </c>
      <c r="B13">
        <f>IF(Masters!$B$11="","",Masters!$B$11)</f>
        <v/>
      </c>
      <c r="C13">
        <f>IF(B13="","",Masters!$C$11)</f>
        <v/>
      </c>
      <c r="D13" s="12">
        <f>IF(B13="","",IF(Masters!$D$11="","",Masters!$D$11))</f>
        <v/>
      </c>
      <c r="E13" s="12">
        <f>IF(B13="",0,Masters!$E$11)</f>
        <v/>
      </c>
      <c r="F13" s="12">
        <f>SUMIF(Daily_Sales!$C:$C,B13,Daily_Sales!$G:$G)</f>
        <v/>
      </c>
      <c r="G13" s="16">
        <f>SUMIF(Daily_Sales!$C:$C,B13,Daily_Sales!$E:$E)</f>
        <v/>
      </c>
      <c r="H13" s="12">
        <f>IF(B13="",0,IF(D13&lt;&gt;"",D13*G13,F13*C13/100))</f>
        <v/>
      </c>
      <c r="I13" s="9">
        <f>IF(G13&gt;0,Masters!$Y$3,0)</f>
        <v/>
      </c>
      <c r="J13" s="9">
        <f>G13*Masters!$Y$4</f>
        <v/>
      </c>
      <c r="K13" s="12">
        <f>SUMIFS(Cash_Book!$G:$G,Cash_Book!$C:$C,"BEPAARI",Cash_Book!$D:$D,"MOTOR",Cash_Book!$E:$E,B13)</f>
        <v/>
      </c>
      <c r="L13" s="12">
        <f>SUMIFS(Cash_Book!$G:$G,Cash_Book!$C:$C,"BEPAARI",Cash_Book!$D:$D,"BHUSSA",Cash_Book!$E:$E,B13)</f>
        <v/>
      </c>
      <c r="M13" s="12">
        <f>SUMIFS(Cash_Book!$G:$G,Cash_Book!$C:$C,"BEPAARI",Cash_Book!$D:$D,"GAWALI",Cash_Book!$E:$E,B13)</f>
        <v/>
      </c>
      <c r="N13" s="12">
        <f>SUMIFS(Cash_Book!$G:$G,Cash_Book!$C:$C,"BEPAARI",Cash_Book!$D:$D,"CASH_ADV",Cash_Book!$E:$E,B13)</f>
        <v/>
      </c>
      <c r="O13" s="12">
        <f>SUMIFS(Cash_Book!$G:$G,Cash_Book!$C:$C,"BEPAARI",Cash_Book!$D:$D,"OTHER",Cash_Book!$E:$E,B13)</f>
        <v/>
      </c>
      <c r="P13" s="9">
        <f>SUM(H13:O13)</f>
        <v/>
      </c>
      <c r="Q13" s="9">
        <f>IF(B13="","",F13-P13+E13)</f>
        <v/>
      </c>
      <c r="R13" s="12">
        <f>SUMIFS(Cash_Book!$G:$G,Cash_Book!$C:$C,"BEPAARI",Cash_Book!$D:$D,"PAYMENT",Cash_Book!$E:$E,B13)</f>
        <v/>
      </c>
      <c r="S13" s="12">
        <f>SUMIFS(JV_Entries!$G:$G,JV_Entries!$C:$C,"BEPAARI",JV_Entries!$D:$D,B13)-SUMIFS(JV_Entries!$G:$G,JV_Entries!$E:$E,"BEPAARI",JV_Entries!$F:$F,B13)</f>
        <v/>
      </c>
      <c r="T13" s="17">
        <f>IF(B13="","",Q13-R13+S13)</f>
        <v/>
      </c>
    </row>
    <row r="14">
      <c r="A14" t="n">
        <v>10</v>
      </c>
      <c r="B14">
        <f>IF(Masters!$B$12="","",Masters!$B$12)</f>
        <v/>
      </c>
      <c r="C14">
        <f>IF(B14="","",Masters!$C$12)</f>
        <v/>
      </c>
      <c r="D14" s="12">
        <f>IF(B14="","",IF(Masters!$D$12="","",Masters!$D$12))</f>
        <v/>
      </c>
      <c r="E14" s="12">
        <f>IF(B14="",0,Masters!$E$12)</f>
        <v/>
      </c>
      <c r="F14" s="12">
        <f>SUMIF(Daily_Sales!$C:$C,B14,Daily_Sales!$G:$G)</f>
        <v/>
      </c>
      <c r="G14" s="16">
        <f>SUMIF(Daily_Sales!$C:$C,B14,Daily_Sales!$E:$E)</f>
        <v/>
      </c>
      <c r="H14" s="12">
        <f>IF(B14="",0,IF(D14&lt;&gt;"",D14*G14,F14*C14/100))</f>
        <v/>
      </c>
      <c r="I14" s="9">
        <f>IF(G14&gt;0,Masters!$Y$3,0)</f>
        <v/>
      </c>
      <c r="J14" s="9">
        <f>G14*Masters!$Y$4</f>
        <v/>
      </c>
      <c r="K14" s="12">
        <f>SUMIFS(Cash_Book!$G:$G,Cash_Book!$C:$C,"BEPAARI",Cash_Book!$D:$D,"MOTOR",Cash_Book!$E:$E,B14)</f>
        <v/>
      </c>
      <c r="L14" s="12">
        <f>SUMIFS(Cash_Book!$G:$G,Cash_Book!$C:$C,"BEPAARI",Cash_Book!$D:$D,"BHUSSA",Cash_Book!$E:$E,B14)</f>
        <v/>
      </c>
      <c r="M14" s="12">
        <f>SUMIFS(Cash_Book!$G:$G,Cash_Book!$C:$C,"BEPAARI",Cash_Book!$D:$D,"GAWALI",Cash_Book!$E:$E,B14)</f>
        <v/>
      </c>
      <c r="N14" s="12">
        <f>SUMIFS(Cash_Book!$G:$G,Cash_Book!$C:$C,"BEPAARI",Cash_Book!$D:$D,"CASH_ADV",Cash_Book!$E:$E,B14)</f>
        <v/>
      </c>
      <c r="O14" s="12">
        <f>SUMIFS(Cash_Book!$G:$G,Cash_Book!$C:$C,"BEPAARI",Cash_Book!$D:$D,"OTHER",Cash_Book!$E:$E,B14)</f>
        <v/>
      </c>
      <c r="P14" s="9">
        <f>SUM(H14:O14)</f>
        <v/>
      </c>
      <c r="Q14" s="9">
        <f>IF(B14="","",F14-P14+E14)</f>
        <v/>
      </c>
      <c r="R14" s="12">
        <f>SUMIFS(Cash_Book!$G:$G,Cash_Book!$C:$C,"BEPAARI",Cash_Book!$D:$D,"PAYMENT",Cash_Book!$E:$E,B14)</f>
        <v/>
      </c>
      <c r="S14" s="12">
        <f>SUMIFS(JV_Entries!$G:$G,JV_Entries!$C:$C,"BEPAARI",JV_Entries!$D:$D,B14)-SUMIFS(JV_Entries!$G:$G,JV_Entries!$E:$E,"BEPAARI",JV_Entries!$F:$F,B14)</f>
        <v/>
      </c>
      <c r="T14" s="17">
        <f>IF(B14="","",Q14-R14+S14)</f>
        <v/>
      </c>
    </row>
    <row r="15">
      <c r="A15" t="n">
        <v>11</v>
      </c>
      <c r="B15">
        <f>IF(Masters!$B$13="","",Masters!$B$13)</f>
        <v/>
      </c>
      <c r="C15">
        <f>IF(B15="","",Masters!$C$13)</f>
        <v/>
      </c>
      <c r="D15" s="12">
        <f>IF(B15="","",IF(Masters!$D$13="","",Masters!$D$13))</f>
        <v/>
      </c>
      <c r="E15" s="12">
        <f>IF(B15="",0,Masters!$E$13)</f>
        <v/>
      </c>
      <c r="F15" s="12">
        <f>SUMIF(Daily_Sales!$C:$C,B15,Daily_Sales!$G:$G)</f>
        <v/>
      </c>
      <c r="G15" s="16">
        <f>SUMIF(Daily_Sales!$C:$C,B15,Daily_Sales!$E:$E)</f>
        <v/>
      </c>
      <c r="H15" s="12">
        <f>IF(B15="",0,IF(D15&lt;&gt;"",D15*G15,F15*C15/100))</f>
        <v/>
      </c>
      <c r="I15" s="9">
        <f>IF(G15&gt;0,Masters!$Y$3,0)</f>
        <v/>
      </c>
      <c r="J15" s="9">
        <f>G15*Masters!$Y$4</f>
        <v/>
      </c>
      <c r="K15" s="12">
        <f>SUMIFS(Cash_Book!$G:$G,Cash_Book!$C:$C,"BEPAARI",Cash_Book!$D:$D,"MOTOR",Cash_Book!$E:$E,B15)</f>
        <v/>
      </c>
      <c r="L15" s="12">
        <f>SUMIFS(Cash_Book!$G:$G,Cash_Book!$C:$C,"BEPAARI",Cash_Book!$D:$D,"BHUSSA",Cash_Book!$E:$E,B15)</f>
        <v/>
      </c>
      <c r="M15" s="12">
        <f>SUMIFS(Cash_Book!$G:$G,Cash_Book!$C:$C,"BEPAARI",Cash_Book!$D:$D,"GAWALI",Cash_Book!$E:$E,B15)</f>
        <v/>
      </c>
      <c r="N15" s="12">
        <f>SUMIFS(Cash_Book!$G:$G,Cash_Book!$C:$C,"BEPAARI",Cash_Book!$D:$D,"CASH_ADV",Cash_Book!$E:$E,B15)</f>
        <v/>
      </c>
      <c r="O15" s="12">
        <f>SUMIFS(Cash_Book!$G:$G,Cash_Book!$C:$C,"BEPAARI",Cash_Book!$D:$D,"OTHER",Cash_Book!$E:$E,B15)</f>
        <v/>
      </c>
      <c r="P15" s="9">
        <f>SUM(H15:O15)</f>
        <v/>
      </c>
      <c r="Q15" s="9">
        <f>IF(B15="","",F15-P15+E15)</f>
        <v/>
      </c>
      <c r="R15" s="12">
        <f>SUMIFS(Cash_Book!$G:$G,Cash_Book!$C:$C,"BEPAARI",Cash_Book!$D:$D,"PAYMENT",Cash_Book!$E:$E,B15)</f>
        <v/>
      </c>
      <c r="S15" s="12">
        <f>SUMIFS(JV_Entries!$G:$G,JV_Entries!$C:$C,"BEPAARI",JV_Entries!$D:$D,B15)-SUMIFS(JV_Entries!$G:$G,JV_Entries!$E:$E,"BEPAARI",JV_Entries!$F:$F,B15)</f>
        <v/>
      </c>
      <c r="T15" s="17">
        <f>IF(B15="","",Q15-R15+S15)</f>
        <v/>
      </c>
    </row>
    <row r="16">
      <c r="A16" t="n">
        <v>12</v>
      </c>
      <c r="B16">
        <f>IF(Masters!$B$14="","",Masters!$B$14)</f>
        <v/>
      </c>
      <c r="C16">
        <f>IF(B16="","",Masters!$C$14)</f>
        <v/>
      </c>
      <c r="D16" s="12">
        <f>IF(B16="","",IF(Masters!$D$14="","",Masters!$D$14))</f>
        <v/>
      </c>
      <c r="E16" s="12">
        <f>IF(B16="",0,Masters!$E$14)</f>
        <v/>
      </c>
      <c r="F16" s="12">
        <f>SUMIF(Daily_Sales!$C:$C,B16,Daily_Sales!$G:$G)</f>
        <v/>
      </c>
      <c r="G16" s="16">
        <f>SUMIF(Daily_Sales!$C:$C,B16,Daily_Sales!$E:$E)</f>
        <v/>
      </c>
      <c r="H16" s="12">
        <f>IF(B16="",0,IF(D16&lt;&gt;"",D16*G16,F16*C16/100))</f>
        <v/>
      </c>
      <c r="I16" s="9">
        <f>IF(G16&gt;0,Masters!$Y$3,0)</f>
        <v/>
      </c>
      <c r="J16" s="9">
        <f>G16*Masters!$Y$4</f>
        <v/>
      </c>
      <c r="K16" s="12">
        <f>SUMIFS(Cash_Book!$G:$G,Cash_Book!$C:$C,"BEPAARI",Cash_Book!$D:$D,"MOTOR",Cash_Book!$E:$E,B16)</f>
        <v/>
      </c>
      <c r="L16" s="12">
        <f>SUMIFS(Cash_Book!$G:$G,Cash_Book!$C:$C,"BEPAARI",Cash_Book!$D:$D,"BHUSSA",Cash_Book!$E:$E,B16)</f>
        <v/>
      </c>
      <c r="M16" s="12">
        <f>SUMIFS(Cash_Book!$G:$G,Cash_Book!$C:$C,"BEPAARI",Cash_Book!$D:$D,"GAWALI",Cash_Book!$E:$E,B16)</f>
        <v/>
      </c>
      <c r="N16" s="12">
        <f>SUMIFS(Cash_Book!$G:$G,Cash_Book!$C:$C,"BEPAARI",Cash_Book!$D:$D,"CASH_ADV",Cash_Book!$E:$E,B16)</f>
        <v/>
      </c>
      <c r="O16" s="12">
        <f>SUMIFS(Cash_Book!$G:$G,Cash_Book!$C:$C,"BEPAARI",Cash_Book!$D:$D,"OTHER",Cash_Book!$E:$E,B16)</f>
        <v/>
      </c>
      <c r="P16" s="9">
        <f>SUM(H16:O16)</f>
        <v/>
      </c>
      <c r="Q16" s="9">
        <f>IF(B16="","",F16-P16+E16)</f>
        <v/>
      </c>
      <c r="R16" s="12">
        <f>SUMIFS(Cash_Book!$G:$G,Cash_Book!$C:$C,"BEPAARI",Cash_Book!$D:$D,"PAYMENT",Cash_Book!$E:$E,B16)</f>
        <v/>
      </c>
      <c r="S16" s="12">
        <f>SUMIFS(JV_Entries!$G:$G,JV_Entries!$C:$C,"BEPAARI",JV_Entries!$D:$D,B16)-SUMIFS(JV_Entries!$G:$G,JV_Entries!$E:$E,"BEPAARI",JV_Entries!$F:$F,B16)</f>
        <v/>
      </c>
      <c r="T16" s="17">
        <f>IF(B16="","",Q16-R16+S16)</f>
        <v/>
      </c>
    </row>
    <row r="17">
      <c r="A17" t="n">
        <v>13</v>
      </c>
      <c r="B17">
        <f>IF(Masters!$B$15="","",Masters!$B$15)</f>
        <v/>
      </c>
      <c r="C17">
        <f>IF(B17="","",Masters!$C$15)</f>
        <v/>
      </c>
      <c r="D17" s="12">
        <f>IF(B17="","",IF(Masters!$D$15="","",Masters!$D$15))</f>
        <v/>
      </c>
      <c r="E17" s="12">
        <f>IF(B17="",0,Masters!$E$15)</f>
        <v/>
      </c>
      <c r="F17" s="12">
        <f>SUMIF(Daily_Sales!$C:$C,B17,Daily_Sales!$G:$G)</f>
        <v/>
      </c>
      <c r="G17" s="16">
        <f>SUMIF(Daily_Sales!$C:$C,B17,Daily_Sales!$E:$E)</f>
        <v/>
      </c>
      <c r="H17" s="12">
        <f>IF(B17="",0,IF(D17&lt;&gt;"",D17*G17,F17*C17/100))</f>
        <v/>
      </c>
      <c r="I17" s="9">
        <f>IF(G17&gt;0,Masters!$Y$3,0)</f>
        <v/>
      </c>
      <c r="J17" s="9">
        <f>G17*Masters!$Y$4</f>
        <v/>
      </c>
      <c r="K17" s="12">
        <f>SUMIFS(Cash_Book!$G:$G,Cash_Book!$C:$C,"BEPAARI",Cash_Book!$D:$D,"MOTOR",Cash_Book!$E:$E,B17)</f>
        <v/>
      </c>
      <c r="L17" s="12">
        <f>SUMIFS(Cash_Book!$G:$G,Cash_Book!$C:$C,"BEPAARI",Cash_Book!$D:$D,"BHUSSA",Cash_Book!$E:$E,B17)</f>
        <v/>
      </c>
      <c r="M17" s="12">
        <f>SUMIFS(Cash_Book!$G:$G,Cash_Book!$C:$C,"BEPAARI",Cash_Book!$D:$D,"GAWALI",Cash_Book!$E:$E,B17)</f>
        <v/>
      </c>
      <c r="N17" s="12">
        <f>SUMIFS(Cash_Book!$G:$G,Cash_Book!$C:$C,"BEPAARI",Cash_Book!$D:$D,"CASH_ADV",Cash_Book!$E:$E,B17)</f>
        <v/>
      </c>
      <c r="O17" s="12">
        <f>SUMIFS(Cash_Book!$G:$G,Cash_Book!$C:$C,"BEPAARI",Cash_Book!$D:$D,"OTHER",Cash_Book!$E:$E,B17)</f>
        <v/>
      </c>
      <c r="P17" s="9">
        <f>SUM(H17:O17)</f>
        <v/>
      </c>
      <c r="Q17" s="9">
        <f>IF(B17="","",F17-P17+E17)</f>
        <v/>
      </c>
      <c r="R17" s="12">
        <f>SUMIFS(Cash_Book!$G:$G,Cash_Book!$C:$C,"BEPAARI",Cash_Book!$D:$D,"PAYMENT",Cash_Book!$E:$E,B17)</f>
        <v/>
      </c>
      <c r="S17" s="12">
        <f>SUMIFS(JV_Entries!$G:$G,JV_Entries!$C:$C,"BEPAARI",JV_Entries!$D:$D,B17)-SUMIFS(JV_Entries!$G:$G,JV_Entries!$E:$E,"BEPAARI",JV_Entries!$F:$F,B17)</f>
        <v/>
      </c>
      <c r="T17" s="17">
        <f>IF(B17="","",Q17-R17+S17)</f>
        <v/>
      </c>
    </row>
    <row r="18">
      <c r="A18" t="n">
        <v>14</v>
      </c>
      <c r="B18">
        <f>IF(Masters!$B$16="","",Masters!$B$16)</f>
        <v/>
      </c>
      <c r="C18">
        <f>IF(B18="","",Masters!$C$16)</f>
        <v/>
      </c>
      <c r="D18" s="12">
        <f>IF(B18="","",IF(Masters!$D$16="","",Masters!$D$16))</f>
        <v/>
      </c>
      <c r="E18" s="12">
        <f>IF(B18="",0,Masters!$E$16)</f>
        <v/>
      </c>
      <c r="F18" s="12">
        <f>SUMIF(Daily_Sales!$C:$C,B18,Daily_Sales!$G:$G)</f>
        <v/>
      </c>
      <c r="G18" s="16">
        <f>SUMIF(Daily_Sales!$C:$C,B18,Daily_Sales!$E:$E)</f>
        <v/>
      </c>
      <c r="H18" s="12">
        <f>IF(B18="",0,IF(D18&lt;&gt;"",D18*G18,F18*C18/100))</f>
        <v/>
      </c>
      <c r="I18" s="9">
        <f>IF(G18&gt;0,Masters!$Y$3,0)</f>
        <v/>
      </c>
      <c r="J18" s="9">
        <f>G18*Masters!$Y$4</f>
        <v/>
      </c>
      <c r="K18" s="12">
        <f>SUMIFS(Cash_Book!$G:$G,Cash_Book!$C:$C,"BEPAARI",Cash_Book!$D:$D,"MOTOR",Cash_Book!$E:$E,B18)</f>
        <v/>
      </c>
      <c r="L18" s="12">
        <f>SUMIFS(Cash_Book!$G:$G,Cash_Book!$C:$C,"BEPAARI",Cash_Book!$D:$D,"BHUSSA",Cash_Book!$E:$E,B18)</f>
        <v/>
      </c>
      <c r="M18" s="12">
        <f>SUMIFS(Cash_Book!$G:$G,Cash_Book!$C:$C,"BEPAARI",Cash_Book!$D:$D,"GAWALI",Cash_Book!$E:$E,B18)</f>
        <v/>
      </c>
      <c r="N18" s="12">
        <f>SUMIFS(Cash_Book!$G:$G,Cash_Book!$C:$C,"BEPAARI",Cash_Book!$D:$D,"CASH_ADV",Cash_Book!$E:$E,B18)</f>
        <v/>
      </c>
      <c r="O18" s="12">
        <f>SUMIFS(Cash_Book!$G:$G,Cash_Book!$C:$C,"BEPAARI",Cash_Book!$D:$D,"OTHER",Cash_Book!$E:$E,B18)</f>
        <v/>
      </c>
      <c r="P18" s="9">
        <f>SUM(H18:O18)</f>
        <v/>
      </c>
      <c r="Q18" s="9">
        <f>IF(B18="","",F18-P18+E18)</f>
        <v/>
      </c>
      <c r="R18" s="12">
        <f>SUMIFS(Cash_Book!$G:$G,Cash_Book!$C:$C,"BEPAARI",Cash_Book!$D:$D,"PAYMENT",Cash_Book!$E:$E,B18)</f>
        <v/>
      </c>
      <c r="S18" s="12">
        <f>SUMIFS(JV_Entries!$G:$G,JV_Entries!$C:$C,"BEPAARI",JV_Entries!$D:$D,B18)-SUMIFS(JV_Entries!$G:$G,JV_Entries!$E:$E,"BEPAARI",JV_Entries!$F:$F,B18)</f>
        <v/>
      </c>
      <c r="T18" s="17">
        <f>IF(B18="","",Q18-R18+S18)</f>
        <v/>
      </c>
    </row>
    <row r="19">
      <c r="A19" t="n">
        <v>15</v>
      </c>
      <c r="B19">
        <f>IF(Masters!$B$17="","",Masters!$B$17)</f>
        <v/>
      </c>
      <c r="C19">
        <f>IF(B19="","",Masters!$C$17)</f>
        <v/>
      </c>
      <c r="D19" s="12">
        <f>IF(B19="","",IF(Masters!$D$17="","",Masters!$D$17))</f>
        <v/>
      </c>
      <c r="E19" s="12">
        <f>IF(B19="",0,Masters!$E$17)</f>
        <v/>
      </c>
      <c r="F19" s="12">
        <f>SUMIF(Daily_Sales!$C:$C,B19,Daily_Sales!$G:$G)</f>
        <v/>
      </c>
      <c r="G19" s="16">
        <f>SUMIF(Daily_Sales!$C:$C,B19,Daily_Sales!$E:$E)</f>
        <v/>
      </c>
      <c r="H19" s="12">
        <f>IF(B19="",0,IF(D19&lt;&gt;"",D19*G19,F19*C19/100))</f>
        <v/>
      </c>
      <c r="I19" s="9">
        <f>IF(G19&gt;0,Masters!$Y$3,0)</f>
        <v/>
      </c>
      <c r="J19" s="9">
        <f>G19*Masters!$Y$4</f>
        <v/>
      </c>
      <c r="K19" s="12">
        <f>SUMIFS(Cash_Book!$G:$G,Cash_Book!$C:$C,"BEPAARI",Cash_Book!$D:$D,"MOTOR",Cash_Book!$E:$E,B19)</f>
        <v/>
      </c>
      <c r="L19" s="12">
        <f>SUMIFS(Cash_Book!$G:$G,Cash_Book!$C:$C,"BEPAARI",Cash_Book!$D:$D,"BHUSSA",Cash_Book!$E:$E,B19)</f>
        <v/>
      </c>
      <c r="M19" s="12">
        <f>SUMIFS(Cash_Book!$G:$G,Cash_Book!$C:$C,"BEPAARI",Cash_Book!$D:$D,"GAWALI",Cash_Book!$E:$E,B19)</f>
        <v/>
      </c>
      <c r="N19" s="12">
        <f>SUMIFS(Cash_Book!$G:$G,Cash_Book!$C:$C,"BEPAARI",Cash_Book!$D:$D,"CASH_ADV",Cash_Book!$E:$E,B19)</f>
        <v/>
      </c>
      <c r="O19" s="12">
        <f>SUMIFS(Cash_Book!$G:$G,Cash_Book!$C:$C,"BEPAARI",Cash_Book!$D:$D,"OTHER",Cash_Book!$E:$E,B19)</f>
        <v/>
      </c>
      <c r="P19" s="9">
        <f>SUM(H19:O19)</f>
        <v/>
      </c>
      <c r="Q19" s="9">
        <f>IF(B19="","",F19-P19+E19)</f>
        <v/>
      </c>
      <c r="R19" s="12">
        <f>SUMIFS(Cash_Book!$G:$G,Cash_Book!$C:$C,"BEPAARI",Cash_Book!$D:$D,"PAYMENT",Cash_Book!$E:$E,B19)</f>
        <v/>
      </c>
      <c r="S19" s="12">
        <f>SUMIFS(JV_Entries!$G:$G,JV_Entries!$C:$C,"BEPAARI",JV_Entries!$D:$D,B19)-SUMIFS(JV_Entries!$G:$G,JV_Entries!$E:$E,"BEPAARI",JV_Entries!$F:$F,B19)</f>
        <v/>
      </c>
      <c r="T19" s="17">
        <f>IF(B19="","",Q19-R19+S19)</f>
        <v/>
      </c>
    </row>
    <row r="20">
      <c r="A20" t="n">
        <v>16</v>
      </c>
      <c r="B20">
        <f>IF(Masters!$B$18="","",Masters!$B$18)</f>
        <v/>
      </c>
      <c r="C20">
        <f>IF(B20="","",Masters!$C$18)</f>
        <v/>
      </c>
      <c r="D20" s="12">
        <f>IF(B20="","",IF(Masters!$D$18="","",Masters!$D$18))</f>
        <v/>
      </c>
      <c r="E20" s="12">
        <f>IF(B20="",0,Masters!$E$18)</f>
        <v/>
      </c>
      <c r="F20" s="12">
        <f>SUMIF(Daily_Sales!$C:$C,B20,Daily_Sales!$G:$G)</f>
        <v/>
      </c>
      <c r="G20" s="16">
        <f>SUMIF(Daily_Sales!$C:$C,B20,Daily_Sales!$E:$E)</f>
        <v/>
      </c>
      <c r="H20" s="12">
        <f>IF(B20="",0,IF(D20&lt;&gt;"",D20*G20,F20*C20/100))</f>
        <v/>
      </c>
      <c r="I20" s="9">
        <f>IF(G20&gt;0,Masters!$Y$3,0)</f>
        <v/>
      </c>
      <c r="J20" s="9">
        <f>G20*Masters!$Y$4</f>
        <v/>
      </c>
      <c r="K20" s="12">
        <f>SUMIFS(Cash_Book!$G:$G,Cash_Book!$C:$C,"BEPAARI",Cash_Book!$D:$D,"MOTOR",Cash_Book!$E:$E,B20)</f>
        <v/>
      </c>
      <c r="L20" s="12">
        <f>SUMIFS(Cash_Book!$G:$G,Cash_Book!$C:$C,"BEPAARI",Cash_Book!$D:$D,"BHUSSA",Cash_Book!$E:$E,B20)</f>
        <v/>
      </c>
      <c r="M20" s="12">
        <f>SUMIFS(Cash_Book!$G:$G,Cash_Book!$C:$C,"BEPAARI",Cash_Book!$D:$D,"GAWALI",Cash_Book!$E:$E,B20)</f>
        <v/>
      </c>
      <c r="N20" s="12">
        <f>SUMIFS(Cash_Book!$G:$G,Cash_Book!$C:$C,"BEPAARI",Cash_Book!$D:$D,"CASH_ADV",Cash_Book!$E:$E,B20)</f>
        <v/>
      </c>
      <c r="O20" s="12">
        <f>SUMIFS(Cash_Book!$G:$G,Cash_Book!$C:$C,"BEPAARI",Cash_Book!$D:$D,"OTHER",Cash_Book!$E:$E,B20)</f>
        <v/>
      </c>
      <c r="P20" s="9">
        <f>SUM(H20:O20)</f>
        <v/>
      </c>
      <c r="Q20" s="9">
        <f>IF(B20="","",F20-P20+E20)</f>
        <v/>
      </c>
      <c r="R20" s="12">
        <f>SUMIFS(Cash_Book!$G:$G,Cash_Book!$C:$C,"BEPAARI",Cash_Book!$D:$D,"PAYMENT",Cash_Book!$E:$E,B20)</f>
        <v/>
      </c>
      <c r="S20" s="12">
        <f>SUMIFS(JV_Entries!$G:$G,JV_Entries!$C:$C,"BEPAARI",JV_Entries!$D:$D,B20)-SUMIFS(JV_Entries!$G:$G,JV_Entries!$E:$E,"BEPAARI",JV_Entries!$F:$F,B20)</f>
        <v/>
      </c>
      <c r="T20" s="17">
        <f>IF(B20="","",Q20-R20+S20)</f>
        <v/>
      </c>
    </row>
    <row r="21">
      <c r="A21" t="n">
        <v>17</v>
      </c>
      <c r="B21">
        <f>IF(Masters!$B$19="","",Masters!$B$19)</f>
        <v/>
      </c>
      <c r="C21">
        <f>IF(B21="","",Masters!$C$19)</f>
        <v/>
      </c>
      <c r="D21" s="12">
        <f>IF(B21="","",IF(Masters!$D$19="","",Masters!$D$19))</f>
        <v/>
      </c>
      <c r="E21" s="12">
        <f>IF(B21="",0,Masters!$E$19)</f>
        <v/>
      </c>
      <c r="F21" s="12">
        <f>SUMIF(Daily_Sales!$C:$C,B21,Daily_Sales!$G:$G)</f>
        <v/>
      </c>
      <c r="G21" s="16">
        <f>SUMIF(Daily_Sales!$C:$C,B21,Daily_Sales!$E:$E)</f>
        <v/>
      </c>
      <c r="H21" s="12">
        <f>IF(B21="",0,IF(D21&lt;&gt;"",D21*G21,F21*C21/100))</f>
        <v/>
      </c>
      <c r="I21" s="9">
        <f>IF(G21&gt;0,Masters!$Y$3,0)</f>
        <v/>
      </c>
      <c r="J21" s="9">
        <f>G21*Masters!$Y$4</f>
        <v/>
      </c>
      <c r="K21" s="12">
        <f>SUMIFS(Cash_Book!$G:$G,Cash_Book!$C:$C,"BEPAARI",Cash_Book!$D:$D,"MOTOR",Cash_Book!$E:$E,B21)</f>
        <v/>
      </c>
      <c r="L21" s="12">
        <f>SUMIFS(Cash_Book!$G:$G,Cash_Book!$C:$C,"BEPAARI",Cash_Book!$D:$D,"BHUSSA",Cash_Book!$E:$E,B21)</f>
        <v/>
      </c>
      <c r="M21" s="12">
        <f>SUMIFS(Cash_Book!$G:$G,Cash_Book!$C:$C,"BEPAARI",Cash_Book!$D:$D,"GAWALI",Cash_Book!$E:$E,B21)</f>
        <v/>
      </c>
      <c r="N21" s="12">
        <f>SUMIFS(Cash_Book!$G:$G,Cash_Book!$C:$C,"BEPAARI",Cash_Book!$D:$D,"CASH_ADV",Cash_Book!$E:$E,B21)</f>
        <v/>
      </c>
      <c r="O21" s="12">
        <f>SUMIFS(Cash_Book!$G:$G,Cash_Book!$C:$C,"BEPAARI",Cash_Book!$D:$D,"OTHER",Cash_Book!$E:$E,B21)</f>
        <v/>
      </c>
      <c r="P21" s="9">
        <f>SUM(H21:O21)</f>
        <v/>
      </c>
      <c r="Q21" s="9">
        <f>IF(B21="","",F21-P21+E21)</f>
        <v/>
      </c>
      <c r="R21" s="12">
        <f>SUMIFS(Cash_Book!$G:$G,Cash_Book!$C:$C,"BEPAARI",Cash_Book!$D:$D,"PAYMENT",Cash_Book!$E:$E,B21)</f>
        <v/>
      </c>
      <c r="S21" s="12">
        <f>SUMIFS(JV_Entries!$G:$G,JV_Entries!$C:$C,"BEPAARI",JV_Entries!$D:$D,B21)-SUMIFS(JV_Entries!$G:$G,JV_Entries!$E:$E,"BEPAARI",JV_Entries!$F:$F,B21)</f>
        <v/>
      </c>
      <c r="T21" s="17">
        <f>IF(B21="","",Q21-R21+S21)</f>
        <v/>
      </c>
    </row>
    <row r="22">
      <c r="A22" t="n">
        <v>18</v>
      </c>
      <c r="B22">
        <f>IF(Masters!$B$20="","",Masters!$B$20)</f>
        <v/>
      </c>
      <c r="C22">
        <f>IF(B22="","",Masters!$C$20)</f>
        <v/>
      </c>
      <c r="D22" s="12">
        <f>IF(B22="","",IF(Masters!$D$20="","",Masters!$D$20))</f>
        <v/>
      </c>
      <c r="E22" s="12">
        <f>IF(B22="",0,Masters!$E$20)</f>
        <v/>
      </c>
      <c r="F22" s="12">
        <f>SUMIF(Daily_Sales!$C:$C,B22,Daily_Sales!$G:$G)</f>
        <v/>
      </c>
      <c r="G22" s="16">
        <f>SUMIF(Daily_Sales!$C:$C,B22,Daily_Sales!$E:$E)</f>
        <v/>
      </c>
      <c r="H22" s="12">
        <f>IF(B22="",0,IF(D22&lt;&gt;"",D22*G22,F22*C22/100))</f>
        <v/>
      </c>
      <c r="I22" s="9">
        <f>IF(G22&gt;0,Masters!$Y$3,0)</f>
        <v/>
      </c>
      <c r="J22" s="9">
        <f>G22*Masters!$Y$4</f>
        <v/>
      </c>
      <c r="K22" s="12">
        <f>SUMIFS(Cash_Book!$G:$G,Cash_Book!$C:$C,"BEPAARI",Cash_Book!$D:$D,"MOTOR",Cash_Book!$E:$E,B22)</f>
        <v/>
      </c>
      <c r="L22" s="12">
        <f>SUMIFS(Cash_Book!$G:$G,Cash_Book!$C:$C,"BEPAARI",Cash_Book!$D:$D,"BHUSSA",Cash_Book!$E:$E,B22)</f>
        <v/>
      </c>
      <c r="M22" s="12">
        <f>SUMIFS(Cash_Book!$G:$G,Cash_Book!$C:$C,"BEPAARI",Cash_Book!$D:$D,"GAWALI",Cash_Book!$E:$E,B22)</f>
        <v/>
      </c>
      <c r="N22" s="12">
        <f>SUMIFS(Cash_Book!$G:$G,Cash_Book!$C:$C,"BEPAARI",Cash_Book!$D:$D,"CASH_ADV",Cash_Book!$E:$E,B22)</f>
        <v/>
      </c>
      <c r="O22" s="12">
        <f>SUMIFS(Cash_Book!$G:$G,Cash_Book!$C:$C,"BEPAARI",Cash_Book!$D:$D,"OTHER",Cash_Book!$E:$E,B22)</f>
        <v/>
      </c>
      <c r="P22" s="9">
        <f>SUM(H22:O22)</f>
        <v/>
      </c>
      <c r="Q22" s="9">
        <f>IF(B22="","",F22-P22+E22)</f>
        <v/>
      </c>
      <c r="R22" s="12">
        <f>SUMIFS(Cash_Book!$G:$G,Cash_Book!$C:$C,"BEPAARI",Cash_Book!$D:$D,"PAYMENT",Cash_Book!$E:$E,B22)</f>
        <v/>
      </c>
      <c r="S22" s="12">
        <f>SUMIFS(JV_Entries!$G:$G,JV_Entries!$C:$C,"BEPAARI",JV_Entries!$D:$D,B22)-SUMIFS(JV_Entries!$G:$G,JV_Entries!$E:$E,"BEPAARI",JV_Entries!$F:$F,B22)</f>
        <v/>
      </c>
      <c r="T22" s="17">
        <f>IF(B22="","",Q22-R22+S22)</f>
        <v/>
      </c>
    </row>
    <row r="23">
      <c r="A23" t="n">
        <v>19</v>
      </c>
      <c r="B23">
        <f>IF(Masters!$B$21="","",Masters!$B$21)</f>
        <v/>
      </c>
      <c r="C23">
        <f>IF(B23="","",Masters!$C$21)</f>
        <v/>
      </c>
      <c r="D23" s="12">
        <f>IF(B23="","",IF(Masters!$D$21="","",Masters!$D$21))</f>
        <v/>
      </c>
      <c r="E23" s="12">
        <f>IF(B23="",0,Masters!$E$21)</f>
        <v/>
      </c>
      <c r="F23" s="12">
        <f>SUMIF(Daily_Sales!$C:$C,B23,Daily_Sales!$G:$G)</f>
        <v/>
      </c>
      <c r="G23" s="16">
        <f>SUMIF(Daily_Sales!$C:$C,B23,Daily_Sales!$E:$E)</f>
        <v/>
      </c>
      <c r="H23" s="12">
        <f>IF(B23="",0,IF(D23&lt;&gt;"",D23*G23,F23*C23/100))</f>
        <v/>
      </c>
      <c r="I23" s="9">
        <f>IF(G23&gt;0,Masters!$Y$3,0)</f>
        <v/>
      </c>
      <c r="J23" s="9">
        <f>G23*Masters!$Y$4</f>
        <v/>
      </c>
      <c r="K23" s="12">
        <f>SUMIFS(Cash_Book!$G:$G,Cash_Book!$C:$C,"BEPAARI",Cash_Book!$D:$D,"MOTOR",Cash_Book!$E:$E,B23)</f>
        <v/>
      </c>
      <c r="L23" s="12">
        <f>SUMIFS(Cash_Book!$G:$G,Cash_Book!$C:$C,"BEPAARI",Cash_Book!$D:$D,"BHUSSA",Cash_Book!$E:$E,B23)</f>
        <v/>
      </c>
      <c r="M23" s="12">
        <f>SUMIFS(Cash_Book!$G:$G,Cash_Book!$C:$C,"BEPAARI",Cash_Book!$D:$D,"GAWALI",Cash_Book!$E:$E,B23)</f>
        <v/>
      </c>
      <c r="N23" s="12">
        <f>SUMIFS(Cash_Book!$G:$G,Cash_Book!$C:$C,"BEPAARI",Cash_Book!$D:$D,"CASH_ADV",Cash_Book!$E:$E,B23)</f>
        <v/>
      </c>
      <c r="O23" s="12">
        <f>SUMIFS(Cash_Book!$G:$G,Cash_Book!$C:$C,"BEPAARI",Cash_Book!$D:$D,"OTHER",Cash_Book!$E:$E,B23)</f>
        <v/>
      </c>
      <c r="P23" s="9">
        <f>SUM(H23:O23)</f>
        <v/>
      </c>
      <c r="Q23" s="9">
        <f>IF(B23="","",F23-P23+E23)</f>
        <v/>
      </c>
      <c r="R23" s="12">
        <f>SUMIFS(Cash_Book!$G:$G,Cash_Book!$C:$C,"BEPAARI",Cash_Book!$D:$D,"PAYMENT",Cash_Book!$E:$E,B23)</f>
        <v/>
      </c>
      <c r="S23" s="12">
        <f>SUMIFS(JV_Entries!$G:$G,JV_Entries!$C:$C,"BEPAARI",JV_Entries!$D:$D,B23)-SUMIFS(JV_Entries!$G:$G,JV_Entries!$E:$E,"BEPAARI",JV_Entries!$F:$F,B23)</f>
        <v/>
      </c>
      <c r="T23" s="17">
        <f>IF(B23="","",Q23-R23+S23)</f>
        <v/>
      </c>
    </row>
    <row r="24">
      <c r="A24" t="n">
        <v>20</v>
      </c>
      <c r="B24">
        <f>IF(Masters!$B$22="","",Masters!$B$22)</f>
        <v/>
      </c>
      <c r="C24">
        <f>IF(B24="","",Masters!$C$22)</f>
        <v/>
      </c>
      <c r="D24" s="12">
        <f>IF(B24="","",IF(Masters!$D$22="","",Masters!$D$22))</f>
        <v/>
      </c>
      <c r="E24" s="12">
        <f>IF(B24="",0,Masters!$E$22)</f>
        <v/>
      </c>
      <c r="F24" s="12">
        <f>SUMIF(Daily_Sales!$C:$C,B24,Daily_Sales!$G:$G)</f>
        <v/>
      </c>
      <c r="G24" s="16">
        <f>SUMIF(Daily_Sales!$C:$C,B24,Daily_Sales!$E:$E)</f>
        <v/>
      </c>
      <c r="H24" s="12">
        <f>IF(B24="",0,IF(D24&lt;&gt;"",D24*G24,F24*C24/100))</f>
        <v/>
      </c>
      <c r="I24" s="9">
        <f>IF(G24&gt;0,Masters!$Y$3,0)</f>
        <v/>
      </c>
      <c r="J24" s="9">
        <f>G24*Masters!$Y$4</f>
        <v/>
      </c>
      <c r="K24" s="12">
        <f>SUMIFS(Cash_Book!$G:$G,Cash_Book!$C:$C,"BEPAARI",Cash_Book!$D:$D,"MOTOR",Cash_Book!$E:$E,B24)</f>
        <v/>
      </c>
      <c r="L24" s="12">
        <f>SUMIFS(Cash_Book!$G:$G,Cash_Book!$C:$C,"BEPAARI",Cash_Book!$D:$D,"BHUSSA",Cash_Book!$E:$E,B24)</f>
        <v/>
      </c>
      <c r="M24" s="12">
        <f>SUMIFS(Cash_Book!$G:$G,Cash_Book!$C:$C,"BEPAARI",Cash_Book!$D:$D,"GAWALI",Cash_Book!$E:$E,B24)</f>
        <v/>
      </c>
      <c r="N24" s="12">
        <f>SUMIFS(Cash_Book!$G:$G,Cash_Book!$C:$C,"BEPAARI",Cash_Book!$D:$D,"CASH_ADV",Cash_Book!$E:$E,B24)</f>
        <v/>
      </c>
      <c r="O24" s="12">
        <f>SUMIFS(Cash_Book!$G:$G,Cash_Book!$C:$C,"BEPAARI",Cash_Book!$D:$D,"OTHER",Cash_Book!$E:$E,B24)</f>
        <v/>
      </c>
      <c r="P24" s="9">
        <f>SUM(H24:O24)</f>
        <v/>
      </c>
      <c r="Q24" s="9">
        <f>IF(B24="","",F24-P24+E24)</f>
        <v/>
      </c>
      <c r="R24" s="12">
        <f>SUMIFS(Cash_Book!$G:$G,Cash_Book!$C:$C,"BEPAARI",Cash_Book!$D:$D,"PAYMENT",Cash_Book!$E:$E,B24)</f>
        <v/>
      </c>
      <c r="S24" s="12">
        <f>SUMIFS(JV_Entries!$G:$G,JV_Entries!$C:$C,"BEPAARI",JV_Entries!$D:$D,B24)-SUMIFS(JV_Entries!$G:$G,JV_Entries!$E:$E,"BEPAARI",JV_Entries!$F:$F,B24)</f>
        <v/>
      </c>
      <c r="T24" s="17">
        <f>IF(B24="","",Q24-R24+S24)</f>
        <v/>
      </c>
    </row>
    <row r="25">
      <c r="A25" t="n">
        <v>21</v>
      </c>
      <c r="B25">
        <f>IF(Masters!$B$23="","",Masters!$B$23)</f>
        <v/>
      </c>
      <c r="C25">
        <f>IF(B25="","",Masters!$C$23)</f>
        <v/>
      </c>
      <c r="D25" s="12">
        <f>IF(B25="","",IF(Masters!$D$23="","",Masters!$D$23))</f>
        <v/>
      </c>
      <c r="E25" s="12">
        <f>IF(B25="",0,Masters!$E$23)</f>
        <v/>
      </c>
      <c r="F25" s="12">
        <f>SUMIF(Daily_Sales!$C:$C,B25,Daily_Sales!$G:$G)</f>
        <v/>
      </c>
      <c r="G25" s="16">
        <f>SUMIF(Daily_Sales!$C:$C,B25,Daily_Sales!$E:$E)</f>
        <v/>
      </c>
      <c r="H25" s="12">
        <f>IF(B25="",0,IF(D25&lt;&gt;"",D25*G25,F25*C25/100))</f>
        <v/>
      </c>
      <c r="I25" s="9">
        <f>IF(G25&gt;0,Masters!$Y$3,0)</f>
        <v/>
      </c>
      <c r="J25" s="9">
        <f>G25*Masters!$Y$4</f>
        <v/>
      </c>
      <c r="K25" s="12">
        <f>SUMIFS(Cash_Book!$G:$G,Cash_Book!$C:$C,"BEPAARI",Cash_Book!$D:$D,"MOTOR",Cash_Book!$E:$E,B25)</f>
        <v/>
      </c>
      <c r="L25" s="12">
        <f>SUMIFS(Cash_Book!$G:$G,Cash_Book!$C:$C,"BEPAARI",Cash_Book!$D:$D,"BHUSSA",Cash_Book!$E:$E,B25)</f>
        <v/>
      </c>
      <c r="M25" s="12">
        <f>SUMIFS(Cash_Book!$G:$G,Cash_Book!$C:$C,"BEPAARI",Cash_Book!$D:$D,"GAWALI",Cash_Book!$E:$E,B25)</f>
        <v/>
      </c>
      <c r="N25" s="12">
        <f>SUMIFS(Cash_Book!$G:$G,Cash_Book!$C:$C,"BEPAARI",Cash_Book!$D:$D,"CASH_ADV",Cash_Book!$E:$E,B25)</f>
        <v/>
      </c>
      <c r="O25" s="12">
        <f>SUMIFS(Cash_Book!$G:$G,Cash_Book!$C:$C,"BEPAARI",Cash_Book!$D:$D,"OTHER",Cash_Book!$E:$E,B25)</f>
        <v/>
      </c>
      <c r="P25" s="9">
        <f>SUM(H25:O25)</f>
        <v/>
      </c>
      <c r="Q25" s="9">
        <f>IF(B25="","",F25-P25+E25)</f>
        <v/>
      </c>
      <c r="R25" s="12">
        <f>SUMIFS(Cash_Book!$G:$G,Cash_Book!$C:$C,"BEPAARI",Cash_Book!$D:$D,"PAYMENT",Cash_Book!$E:$E,B25)</f>
        <v/>
      </c>
      <c r="S25" s="12">
        <f>SUMIFS(JV_Entries!$G:$G,JV_Entries!$C:$C,"BEPAARI",JV_Entries!$D:$D,B25)-SUMIFS(JV_Entries!$G:$G,JV_Entries!$E:$E,"BEPAARI",JV_Entries!$F:$F,B25)</f>
        <v/>
      </c>
      <c r="T25" s="17">
        <f>IF(B25="","",Q25-R25+S25)</f>
        <v/>
      </c>
    </row>
    <row r="26">
      <c r="A26" t="n">
        <v>22</v>
      </c>
      <c r="B26">
        <f>IF(Masters!$B$24="","",Masters!$B$24)</f>
        <v/>
      </c>
      <c r="C26">
        <f>IF(B26="","",Masters!$C$24)</f>
        <v/>
      </c>
      <c r="D26" s="12">
        <f>IF(B26="","",IF(Masters!$D$24="","",Masters!$D$24))</f>
        <v/>
      </c>
      <c r="E26" s="12">
        <f>IF(B26="",0,Masters!$E$24)</f>
        <v/>
      </c>
      <c r="F26" s="12">
        <f>SUMIF(Daily_Sales!$C:$C,B26,Daily_Sales!$G:$G)</f>
        <v/>
      </c>
      <c r="G26" s="16">
        <f>SUMIF(Daily_Sales!$C:$C,B26,Daily_Sales!$E:$E)</f>
        <v/>
      </c>
      <c r="H26" s="12">
        <f>IF(B26="",0,IF(D26&lt;&gt;"",D26*G26,F26*C26/100))</f>
        <v/>
      </c>
      <c r="I26" s="9">
        <f>IF(G26&gt;0,Masters!$Y$3,0)</f>
        <v/>
      </c>
      <c r="J26" s="9">
        <f>G26*Masters!$Y$4</f>
        <v/>
      </c>
      <c r="K26" s="12">
        <f>SUMIFS(Cash_Book!$G:$G,Cash_Book!$C:$C,"BEPAARI",Cash_Book!$D:$D,"MOTOR",Cash_Book!$E:$E,B26)</f>
        <v/>
      </c>
      <c r="L26" s="12">
        <f>SUMIFS(Cash_Book!$G:$G,Cash_Book!$C:$C,"BEPAARI",Cash_Book!$D:$D,"BHUSSA",Cash_Book!$E:$E,B26)</f>
        <v/>
      </c>
      <c r="M26" s="12">
        <f>SUMIFS(Cash_Book!$G:$G,Cash_Book!$C:$C,"BEPAARI",Cash_Book!$D:$D,"GAWALI",Cash_Book!$E:$E,B26)</f>
        <v/>
      </c>
      <c r="N26" s="12">
        <f>SUMIFS(Cash_Book!$G:$G,Cash_Book!$C:$C,"BEPAARI",Cash_Book!$D:$D,"CASH_ADV",Cash_Book!$E:$E,B26)</f>
        <v/>
      </c>
      <c r="O26" s="12">
        <f>SUMIFS(Cash_Book!$G:$G,Cash_Book!$C:$C,"BEPAARI",Cash_Book!$D:$D,"OTHER",Cash_Book!$E:$E,B26)</f>
        <v/>
      </c>
      <c r="P26" s="9">
        <f>SUM(H26:O26)</f>
        <v/>
      </c>
      <c r="Q26" s="9">
        <f>IF(B26="","",F26-P26+E26)</f>
        <v/>
      </c>
      <c r="R26" s="12">
        <f>SUMIFS(Cash_Book!$G:$G,Cash_Book!$C:$C,"BEPAARI",Cash_Book!$D:$D,"PAYMENT",Cash_Book!$E:$E,B26)</f>
        <v/>
      </c>
      <c r="S26" s="12">
        <f>SUMIFS(JV_Entries!$G:$G,JV_Entries!$C:$C,"BEPAARI",JV_Entries!$D:$D,B26)-SUMIFS(JV_Entries!$G:$G,JV_Entries!$E:$E,"BEPAARI",JV_Entries!$F:$F,B26)</f>
        <v/>
      </c>
      <c r="T26" s="17">
        <f>IF(B26="","",Q26-R26+S26)</f>
        <v/>
      </c>
    </row>
    <row r="27">
      <c r="A27" t="n">
        <v>23</v>
      </c>
      <c r="B27">
        <f>IF(Masters!$B$25="","",Masters!$B$25)</f>
        <v/>
      </c>
      <c r="C27">
        <f>IF(B27="","",Masters!$C$25)</f>
        <v/>
      </c>
      <c r="D27" s="12">
        <f>IF(B27="","",IF(Masters!$D$25="","",Masters!$D$25))</f>
        <v/>
      </c>
      <c r="E27" s="12">
        <f>IF(B27="",0,Masters!$E$25)</f>
        <v/>
      </c>
      <c r="F27" s="12">
        <f>SUMIF(Daily_Sales!$C:$C,B27,Daily_Sales!$G:$G)</f>
        <v/>
      </c>
      <c r="G27" s="16">
        <f>SUMIF(Daily_Sales!$C:$C,B27,Daily_Sales!$E:$E)</f>
        <v/>
      </c>
      <c r="H27" s="12">
        <f>IF(B27="",0,IF(D27&lt;&gt;"",D27*G27,F27*C27/100))</f>
        <v/>
      </c>
      <c r="I27" s="9">
        <f>IF(G27&gt;0,Masters!$Y$3,0)</f>
        <v/>
      </c>
      <c r="J27" s="9">
        <f>G27*Masters!$Y$4</f>
        <v/>
      </c>
      <c r="K27" s="12">
        <f>SUMIFS(Cash_Book!$G:$G,Cash_Book!$C:$C,"BEPAARI",Cash_Book!$D:$D,"MOTOR",Cash_Book!$E:$E,B27)</f>
        <v/>
      </c>
      <c r="L27" s="12">
        <f>SUMIFS(Cash_Book!$G:$G,Cash_Book!$C:$C,"BEPAARI",Cash_Book!$D:$D,"BHUSSA",Cash_Book!$E:$E,B27)</f>
        <v/>
      </c>
      <c r="M27" s="12">
        <f>SUMIFS(Cash_Book!$G:$G,Cash_Book!$C:$C,"BEPAARI",Cash_Book!$D:$D,"GAWALI",Cash_Book!$E:$E,B27)</f>
        <v/>
      </c>
      <c r="N27" s="12">
        <f>SUMIFS(Cash_Book!$G:$G,Cash_Book!$C:$C,"BEPAARI",Cash_Book!$D:$D,"CASH_ADV",Cash_Book!$E:$E,B27)</f>
        <v/>
      </c>
      <c r="O27" s="12">
        <f>SUMIFS(Cash_Book!$G:$G,Cash_Book!$C:$C,"BEPAARI",Cash_Book!$D:$D,"OTHER",Cash_Book!$E:$E,B27)</f>
        <v/>
      </c>
      <c r="P27" s="9">
        <f>SUM(H27:O27)</f>
        <v/>
      </c>
      <c r="Q27" s="9">
        <f>IF(B27="","",F27-P27+E27)</f>
        <v/>
      </c>
      <c r="R27" s="12">
        <f>SUMIFS(Cash_Book!$G:$G,Cash_Book!$C:$C,"BEPAARI",Cash_Book!$D:$D,"PAYMENT",Cash_Book!$E:$E,B27)</f>
        <v/>
      </c>
      <c r="S27" s="12">
        <f>SUMIFS(JV_Entries!$G:$G,JV_Entries!$C:$C,"BEPAARI",JV_Entries!$D:$D,B27)-SUMIFS(JV_Entries!$G:$G,JV_Entries!$E:$E,"BEPAARI",JV_Entries!$F:$F,B27)</f>
        <v/>
      </c>
      <c r="T27" s="17">
        <f>IF(B27="","",Q27-R27+S27)</f>
        <v/>
      </c>
    </row>
    <row r="28">
      <c r="A28" t="n">
        <v>24</v>
      </c>
      <c r="B28">
        <f>IF(Masters!$B$26="","",Masters!$B$26)</f>
        <v/>
      </c>
      <c r="C28">
        <f>IF(B28="","",Masters!$C$26)</f>
        <v/>
      </c>
      <c r="D28" s="12">
        <f>IF(B28="","",IF(Masters!$D$26="","",Masters!$D$26))</f>
        <v/>
      </c>
      <c r="E28" s="12">
        <f>IF(B28="",0,Masters!$E$26)</f>
        <v/>
      </c>
      <c r="F28" s="12">
        <f>SUMIF(Daily_Sales!$C:$C,B28,Daily_Sales!$G:$G)</f>
        <v/>
      </c>
      <c r="G28" s="16">
        <f>SUMIF(Daily_Sales!$C:$C,B28,Daily_Sales!$E:$E)</f>
        <v/>
      </c>
      <c r="H28" s="12">
        <f>IF(B28="",0,IF(D28&lt;&gt;"",D28*G28,F28*C28/100))</f>
        <v/>
      </c>
      <c r="I28" s="9">
        <f>IF(G28&gt;0,Masters!$Y$3,0)</f>
        <v/>
      </c>
      <c r="J28" s="9">
        <f>G28*Masters!$Y$4</f>
        <v/>
      </c>
      <c r="K28" s="12">
        <f>SUMIFS(Cash_Book!$G:$G,Cash_Book!$C:$C,"BEPAARI",Cash_Book!$D:$D,"MOTOR",Cash_Book!$E:$E,B28)</f>
        <v/>
      </c>
      <c r="L28" s="12">
        <f>SUMIFS(Cash_Book!$G:$G,Cash_Book!$C:$C,"BEPAARI",Cash_Book!$D:$D,"BHUSSA",Cash_Book!$E:$E,B28)</f>
        <v/>
      </c>
      <c r="M28" s="12">
        <f>SUMIFS(Cash_Book!$G:$G,Cash_Book!$C:$C,"BEPAARI",Cash_Book!$D:$D,"GAWALI",Cash_Book!$E:$E,B28)</f>
        <v/>
      </c>
      <c r="N28" s="12">
        <f>SUMIFS(Cash_Book!$G:$G,Cash_Book!$C:$C,"BEPAARI",Cash_Book!$D:$D,"CASH_ADV",Cash_Book!$E:$E,B28)</f>
        <v/>
      </c>
      <c r="O28" s="12">
        <f>SUMIFS(Cash_Book!$G:$G,Cash_Book!$C:$C,"BEPAARI",Cash_Book!$D:$D,"OTHER",Cash_Book!$E:$E,B28)</f>
        <v/>
      </c>
      <c r="P28" s="9">
        <f>SUM(H28:O28)</f>
        <v/>
      </c>
      <c r="Q28" s="9">
        <f>IF(B28="","",F28-P28+E28)</f>
        <v/>
      </c>
      <c r="R28" s="12">
        <f>SUMIFS(Cash_Book!$G:$G,Cash_Book!$C:$C,"BEPAARI",Cash_Book!$D:$D,"PAYMENT",Cash_Book!$E:$E,B28)</f>
        <v/>
      </c>
      <c r="S28" s="12">
        <f>SUMIFS(JV_Entries!$G:$G,JV_Entries!$C:$C,"BEPAARI",JV_Entries!$D:$D,B28)-SUMIFS(JV_Entries!$G:$G,JV_Entries!$E:$E,"BEPAARI",JV_Entries!$F:$F,B28)</f>
        <v/>
      </c>
      <c r="T28" s="17">
        <f>IF(B28="","",Q28-R28+S28)</f>
        <v/>
      </c>
    </row>
    <row r="29">
      <c r="A29" t="n">
        <v>25</v>
      </c>
      <c r="B29">
        <f>IF(Masters!$B$27="","",Masters!$B$27)</f>
        <v/>
      </c>
      <c r="C29">
        <f>IF(B29="","",Masters!$C$27)</f>
        <v/>
      </c>
      <c r="D29" s="12">
        <f>IF(B29="","",IF(Masters!$D$27="","",Masters!$D$27))</f>
        <v/>
      </c>
      <c r="E29" s="12">
        <f>IF(B29="",0,Masters!$E$27)</f>
        <v/>
      </c>
      <c r="F29" s="12">
        <f>SUMIF(Daily_Sales!$C:$C,B29,Daily_Sales!$G:$G)</f>
        <v/>
      </c>
      <c r="G29" s="16">
        <f>SUMIF(Daily_Sales!$C:$C,B29,Daily_Sales!$E:$E)</f>
        <v/>
      </c>
      <c r="H29" s="12">
        <f>IF(B29="",0,IF(D29&lt;&gt;"",D29*G29,F29*C29/100))</f>
        <v/>
      </c>
      <c r="I29" s="9">
        <f>IF(G29&gt;0,Masters!$Y$3,0)</f>
        <v/>
      </c>
      <c r="J29" s="9">
        <f>G29*Masters!$Y$4</f>
        <v/>
      </c>
      <c r="K29" s="12">
        <f>SUMIFS(Cash_Book!$G:$G,Cash_Book!$C:$C,"BEPAARI",Cash_Book!$D:$D,"MOTOR",Cash_Book!$E:$E,B29)</f>
        <v/>
      </c>
      <c r="L29" s="12">
        <f>SUMIFS(Cash_Book!$G:$G,Cash_Book!$C:$C,"BEPAARI",Cash_Book!$D:$D,"BHUSSA",Cash_Book!$E:$E,B29)</f>
        <v/>
      </c>
      <c r="M29" s="12">
        <f>SUMIFS(Cash_Book!$G:$G,Cash_Book!$C:$C,"BEPAARI",Cash_Book!$D:$D,"GAWALI",Cash_Book!$E:$E,B29)</f>
        <v/>
      </c>
      <c r="N29" s="12">
        <f>SUMIFS(Cash_Book!$G:$G,Cash_Book!$C:$C,"BEPAARI",Cash_Book!$D:$D,"CASH_ADV",Cash_Book!$E:$E,B29)</f>
        <v/>
      </c>
      <c r="O29" s="12">
        <f>SUMIFS(Cash_Book!$G:$G,Cash_Book!$C:$C,"BEPAARI",Cash_Book!$D:$D,"OTHER",Cash_Book!$E:$E,B29)</f>
        <v/>
      </c>
      <c r="P29" s="9">
        <f>SUM(H29:O29)</f>
        <v/>
      </c>
      <c r="Q29" s="9">
        <f>IF(B29="","",F29-P29+E29)</f>
        <v/>
      </c>
      <c r="R29" s="12">
        <f>SUMIFS(Cash_Book!$G:$G,Cash_Book!$C:$C,"BEPAARI",Cash_Book!$D:$D,"PAYMENT",Cash_Book!$E:$E,B29)</f>
        <v/>
      </c>
      <c r="S29" s="12">
        <f>SUMIFS(JV_Entries!$G:$G,JV_Entries!$C:$C,"BEPAARI",JV_Entries!$D:$D,B29)-SUMIFS(JV_Entries!$G:$G,JV_Entries!$E:$E,"BEPAARI",JV_Entries!$F:$F,B29)</f>
        <v/>
      </c>
      <c r="T29" s="17">
        <f>IF(B29="","",Q29-R29+S29)</f>
        <v/>
      </c>
    </row>
    <row r="30">
      <c r="A30" t="n">
        <v>26</v>
      </c>
      <c r="B30">
        <f>IF(Masters!$B$28="","",Masters!$B$28)</f>
        <v/>
      </c>
      <c r="C30">
        <f>IF(B30="","",Masters!$C$28)</f>
        <v/>
      </c>
      <c r="D30" s="12">
        <f>IF(B30="","",IF(Masters!$D$28="","",Masters!$D$28))</f>
        <v/>
      </c>
      <c r="E30" s="12">
        <f>IF(B30="",0,Masters!$E$28)</f>
        <v/>
      </c>
      <c r="F30" s="12">
        <f>SUMIF(Daily_Sales!$C:$C,B30,Daily_Sales!$G:$G)</f>
        <v/>
      </c>
      <c r="G30" s="16">
        <f>SUMIF(Daily_Sales!$C:$C,B30,Daily_Sales!$E:$E)</f>
        <v/>
      </c>
      <c r="H30" s="12">
        <f>IF(B30="",0,IF(D30&lt;&gt;"",D30*G30,F30*C30/100))</f>
        <v/>
      </c>
      <c r="I30" s="9">
        <f>IF(G30&gt;0,Masters!$Y$3,0)</f>
        <v/>
      </c>
      <c r="J30" s="9">
        <f>G30*Masters!$Y$4</f>
        <v/>
      </c>
      <c r="K30" s="12">
        <f>SUMIFS(Cash_Book!$G:$G,Cash_Book!$C:$C,"BEPAARI",Cash_Book!$D:$D,"MOTOR",Cash_Book!$E:$E,B30)</f>
        <v/>
      </c>
      <c r="L30" s="12">
        <f>SUMIFS(Cash_Book!$G:$G,Cash_Book!$C:$C,"BEPAARI",Cash_Book!$D:$D,"BHUSSA",Cash_Book!$E:$E,B30)</f>
        <v/>
      </c>
      <c r="M30" s="12">
        <f>SUMIFS(Cash_Book!$G:$G,Cash_Book!$C:$C,"BEPAARI",Cash_Book!$D:$D,"GAWALI",Cash_Book!$E:$E,B30)</f>
        <v/>
      </c>
      <c r="N30" s="12">
        <f>SUMIFS(Cash_Book!$G:$G,Cash_Book!$C:$C,"BEPAARI",Cash_Book!$D:$D,"CASH_ADV",Cash_Book!$E:$E,B30)</f>
        <v/>
      </c>
      <c r="O30" s="12">
        <f>SUMIFS(Cash_Book!$G:$G,Cash_Book!$C:$C,"BEPAARI",Cash_Book!$D:$D,"OTHER",Cash_Book!$E:$E,B30)</f>
        <v/>
      </c>
      <c r="P30" s="9">
        <f>SUM(H30:O30)</f>
        <v/>
      </c>
      <c r="Q30" s="9">
        <f>IF(B30="","",F30-P30+E30)</f>
        <v/>
      </c>
      <c r="R30" s="12">
        <f>SUMIFS(Cash_Book!$G:$G,Cash_Book!$C:$C,"BEPAARI",Cash_Book!$D:$D,"PAYMENT",Cash_Book!$E:$E,B30)</f>
        <v/>
      </c>
      <c r="S30" s="12">
        <f>SUMIFS(JV_Entries!$G:$G,JV_Entries!$C:$C,"BEPAARI",JV_Entries!$D:$D,B30)-SUMIFS(JV_Entries!$G:$G,JV_Entries!$E:$E,"BEPAARI",JV_Entries!$F:$F,B30)</f>
        <v/>
      </c>
      <c r="T30" s="17">
        <f>IF(B30="","",Q30-R30+S30)</f>
        <v/>
      </c>
    </row>
    <row r="31">
      <c r="A31" t="n">
        <v>27</v>
      </c>
      <c r="B31">
        <f>IF(Masters!$B$29="","",Masters!$B$29)</f>
        <v/>
      </c>
      <c r="C31">
        <f>IF(B31="","",Masters!$C$29)</f>
        <v/>
      </c>
      <c r="D31" s="12">
        <f>IF(B31="","",IF(Masters!$D$29="","",Masters!$D$29))</f>
        <v/>
      </c>
      <c r="E31" s="12">
        <f>IF(B31="",0,Masters!$E$29)</f>
        <v/>
      </c>
      <c r="F31" s="12">
        <f>SUMIF(Daily_Sales!$C:$C,B31,Daily_Sales!$G:$G)</f>
        <v/>
      </c>
      <c r="G31" s="16">
        <f>SUMIF(Daily_Sales!$C:$C,B31,Daily_Sales!$E:$E)</f>
        <v/>
      </c>
      <c r="H31" s="12">
        <f>IF(B31="",0,IF(D31&lt;&gt;"",D31*G31,F31*C31/100))</f>
        <v/>
      </c>
      <c r="I31" s="9">
        <f>IF(G31&gt;0,Masters!$Y$3,0)</f>
        <v/>
      </c>
      <c r="J31" s="9">
        <f>G31*Masters!$Y$4</f>
        <v/>
      </c>
      <c r="K31" s="12">
        <f>SUMIFS(Cash_Book!$G:$G,Cash_Book!$C:$C,"BEPAARI",Cash_Book!$D:$D,"MOTOR",Cash_Book!$E:$E,B31)</f>
        <v/>
      </c>
      <c r="L31" s="12">
        <f>SUMIFS(Cash_Book!$G:$G,Cash_Book!$C:$C,"BEPAARI",Cash_Book!$D:$D,"BHUSSA",Cash_Book!$E:$E,B31)</f>
        <v/>
      </c>
      <c r="M31" s="12">
        <f>SUMIFS(Cash_Book!$G:$G,Cash_Book!$C:$C,"BEPAARI",Cash_Book!$D:$D,"GAWALI",Cash_Book!$E:$E,B31)</f>
        <v/>
      </c>
      <c r="N31" s="12">
        <f>SUMIFS(Cash_Book!$G:$G,Cash_Book!$C:$C,"BEPAARI",Cash_Book!$D:$D,"CASH_ADV",Cash_Book!$E:$E,B31)</f>
        <v/>
      </c>
      <c r="O31" s="12">
        <f>SUMIFS(Cash_Book!$G:$G,Cash_Book!$C:$C,"BEPAARI",Cash_Book!$D:$D,"OTHER",Cash_Book!$E:$E,B31)</f>
        <v/>
      </c>
      <c r="P31" s="9">
        <f>SUM(H31:O31)</f>
        <v/>
      </c>
      <c r="Q31" s="9">
        <f>IF(B31="","",F31-P31+E31)</f>
        <v/>
      </c>
      <c r="R31" s="12">
        <f>SUMIFS(Cash_Book!$G:$G,Cash_Book!$C:$C,"BEPAARI",Cash_Book!$D:$D,"PAYMENT",Cash_Book!$E:$E,B31)</f>
        <v/>
      </c>
      <c r="S31" s="12">
        <f>SUMIFS(JV_Entries!$G:$G,JV_Entries!$C:$C,"BEPAARI",JV_Entries!$D:$D,B31)-SUMIFS(JV_Entries!$G:$G,JV_Entries!$E:$E,"BEPAARI",JV_Entries!$F:$F,B31)</f>
        <v/>
      </c>
      <c r="T31" s="17">
        <f>IF(B31="","",Q31-R31+S31)</f>
        <v/>
      </c>
    </row>
    <row r="32">
      <c r="A32" t="n">
        <v>28</v>
      </c>
      <c r="B32">
        <f>IF(Masters!$B$30="","",Masters!$B$30)</f>
        <v/>
      </c>
      <c r="C32">
        <f>IF(B32="","",Masters!$C$30)</f>
        <v/>
      </c>
      <c r="D32" s="12">
        <f>IF(B32="","",IF(Masters!$D$30="","",Masters!$D$30))</f>
        <v/>
      </c>
      <c r="E32" s="12">
        <f>IF(B32="",0,Masters!$E$30)</f>
        <v/>
      </c>
      <c r="F32" s="12">
        <f>SUMIF(Daily_Sales!$C:$C,B32,Daily_Sales!$G:$G)</f>
        <v/>
      </c>
      <c r="G32" s="16">
        <f>SUMIF(Daily_Sales!$C:$C,B32,Daily_Sales!$E:$E)</f>
        <v/>
      </c>
      <c r="H32" s="12">
        <f>IF(B32="",0,IF(D32&lt;&gt;"",D32*G32,F32*C32/100))</f>
        <v/>
      </c>
      <c r="I32" s="9">
        <f>IF(G32&gt;0,Masters!$Y$3,0)</f>
        <v/>
      </c>
      <c r="J32" s="9">
        <f>G32*Masters!$Y$4</f>
        <v/>
      </c>
      <c r="K32" s="12">
        <f>SUMIFS(Cash_Book!$G:$G,Cash_Book!$C:$C,"BEPAARI",Cash_Book!$D:$D,"MOTOR",Cash_Book!$E:$E,B32)</f>
        <v/>
      </c>
      <c r="L32" s="12">
        <f>SUMIFS(Cash_Book!$G:$G,Cash_Book!$C:$C,"BEPAARI",Cash_Book!$D:$D,"BHUSSA",Cash_Book!$E:$E,B32)</f>
        <v/>
      </c>
      <c r="M32" s="12">
        <f>SUMIFS(Cash_Book!$G:$G,Cash_Book!$C:$C,"BEPAARI",Cash_Book!$D:$D,"GAWALI",Cash_Book!$E:$E,B32)</f>
        <v/>
      </c>
      <c r="N32" s="12">
        <f>SUMIFS(Cash_Book!$G:$G,Cash_Book!$C:$C,"BEPAARI",Cash_Book!$D:$D,"CASH_ADV",Cash_Book!$E:$E,B32)</f>
        <v/>
      </c>
      <c r="O32" s="12">
        <f>SUMIFS(Cash_Book!$G:$G,Cash_Book!$C:$C,"BEPAARI",Cash_Book!$D:$D,"OTHER",Cash_Book!$E:$E,B32)</f>
        <v/>
      </c>
      <c r="P32" s="9">
        <f>SUM(H32:O32)</f>
        <v/>
      </c>
      <c r="Q32" s="9">
        <f>IF(B32="","",F32-P32+E32)</f>
        <v/>
      </c>
      <c r="R32" s="12">
        <f>SUMIFS(Cash_Book!$G:$G,Cash_Book!$C:$C,"BEPAARI",Cash_Book!$D:$D,"PAYMENT",Cash_Book!$E:$E,B32)</f>
        <v/>
      </c>
      <c r="S32" s="12">
        <f>SUMIFS(JV_Entries!$G:$G,JV_Entries!$C:$C,"BEPAARI",JV_Entries!$D:$D,B32)-SUMIFS(JV_Entries!$G:$G,JV_Entries!$E:$E,"BEPAARI",JV_Entries!$F:$F,B32)</f>
        <v/>
      </c>
      <c r="T32" s="17">
        <f>IF(B32="","",Q32-R32+S32)</f>
        <v/>
      </c>
    </row>
    <row r="33">
      <c r="A33" t="n">
        <v>29</v>
      </c>
      <c r="B33">
        <f>IF(Masters!$B$31="","",Masters!$B$31)</f>
        <v/>
      </c>
      <c r="C33">
        <f>IF(B33="","",Masters!$C$31)</f>
        <v/>
      </c>
      <c r="D33" s="12">
        <f>IF(B33="","",IF(Masters!$D$31="","",Masters!$D$31))</f>
        <v/>
      </c>
      <c r="E33" s="12">
        <f>IF(B33="",0,Masters!$E$31)</f>
        <v/>
      </c>
      <c r="F33" s="12">
        <f>SUMIF(Daily_Sales!$C:$C,B33,Daily_Sales!$G:$G)</f>
        <v/>
      </c>
      <c r="G33" s="16">
        <f>SUMIF(Daily_Sales!$C:$C,B33,Daily_Sales!$E:$E)</f>
        <v/>
      </c>
      <c r="H33" s="12">
        <f>IF(B33="",0,IF(D33&lt;&gt;"",D33*G33,F33*C33/100))</f>
        <v/>
      </c>
      <c r="I33" s="9">
        <f>IF(G33&gt;0,Masters!$Y$3,0)</f>
        <v/>
      </c>
      <c r="J33" s="9">
        <f>G33*Masters!$Y$4</f>
        <v/>
      </c>
      <c r="K33" s="12">
        <f>SUMIFS(Cash_Book!$G:$G,Cash_Book!$C:$C,"BEPAARI",Cash_Book!$D:$D,"MOTOR",Cash_Book!$E:$E,B33)</f>
        <v/>
      </c>
      <c r="L33" s="12">
        <f>SUMIFS(Cash_Book!$G:$G,Cash_Book!$C:$C,"BEPAARI",Cash_Book!$D:$D,"BHUSSA",Cash_Book!$E:$E,B33)</f>
        <v/>
      </c>
      <c r="M33" s="12">
        <f>SUMIFS(Cash_Book!$G:$G,Cash_Book!$C:$C,"BEPAARI",Cash_Book!$D:$D,"GAWALI",Cash_Book!$E:$E,B33)</f>
        <v/>
      </c>
      <c r="N33" s="12">
        <f>SUMIFS(Cash_Book!$G:$G,Cash_Book!$C:$C,"BEPAARI",Cash_Book!$D:$D,"CASH_ADV",Cash_Book!$E:$E,B33)</f>
        <v/>
      </c>
      <c r="O33" s="12">
        <f>SUMIFS(Cash_Book!$G:$G,Cash_Book!$C:$C,"BEPAARI",Cash_Book!$D:$D,"OTHER",Cash_Book!$E:$E,B33)</f>
        <v/>
      </c>
      <c r="P33" s="9">
        <f>SUM(H33:O33)</f>
        <v/>
      </c>
      <c r="Q33" s="9">
        <f>IF(B33="","",F33-P33+E33)</f>
        <v/>
      </c>
      <c r="R33" s="12">
        <f>SUMIFS(Cash_Book!$G:$G,Cash_Book!$C:$C,"BEPAARI",Cash_Book!$D:$D,"PAYMENT",Cash_Book!$E:$E,B33)</f>
        <v/>
      </c>
      <c r="S33" s="12">
        <f>SUMIFS(JV_Entries!$G:$G,JV_Entries!$C:$C,"BEPAARI",JV_Entries!$D:$D,B33)-SUMIFS(JV_Entries!$G:$G,JV_Entries!$E:$E,"BEPAARI",JV_Entries!$F:$F,B33)</f>
        <v/>
      </c>
      <c r="T33" s="17">
        <f>IF(B33="","",Q33-R33+S33)</f>
        <v/>
      </c>
    </row>
    <row r="34">
      <c r="A34" t="n">
        <v>30</v>
      </c>
      <c r="B34">
        <f>IF(Masters!$B$32="","",Masters!$B$32)</f>
        <v/>
      </c>
      <c r="C34">
        <f>IF(B34="","",Masters!$C$32)</f>
        <v/>
      </c>
      <c r="D34" s="12">
        <f>IF(B34="","",IF(Masters!$D$32="","",Masters!$D$32))</f>
        <v/>
      </c>
      <c r="E34" s="12">
        <f>IF(B34="",0,Masters!$E$32)</f>
        <v/>
      </c>
      <c r="F34" s="12">
        <f>SUMIF(Daily_Sales!$C:$C,B34,Daily_Sales!$G:$G)</f>
        <v/>
      </c>
      <c r="G34" s="16">
        <f>SUMIF(Daily_Sales!$C:$C,B34,Daily_Sales!$E:$E)</f>
        <v/>
      </c>
      <c r="H34" s="12">
        <f>IF(B34="",0,IF(D34&lt;&gt;"",D34*G34,F34*C34/100))</f>
        <v/>
      </c>
      <c r="I34" s="9">
        <f>IF(G34&gt;0,Masters!$Y$3,0)</f>
        <v/>
      </c>
      <c r="J34" s="9">
        <f>G34*Masters!$Y$4</f>
        <v/>
      </c>
      <c r="K34" s="12">
        <f>SUMIFS(Cash_Book!$G:$G,Cash_Book!$C:$C,"BEPAARI",Cash_Book!$D:$D,"MOTOR",Cash_Book!$E:$E,B34)</f>
        <v/>
      </c>
      <c r="L34" s="12">
        <f>SUMIFS(Cash_Book!$G:$G,Cash_Book!$C:$C,"BEPAARI",Cash_Book!$D:$D,"BHUSSA",Cash_Book!$E:$E,B34)</f>
        <v/>
      </c>
      <c r="M34" s="12">
        <f>SUMIFS(Cash_Book!$G:$G,Cash_Book!$C:$C,"BEPAARI",Cash_Book!$D:$D,"GAWALI",Cash_Book!$E:$E,B34)</f>
        <v/>
      </c>
      <c r="N34" s="12">
        <f>SUMIFS(Cash_Book!$G:$G,Cash_Book!$C:$C,"BEPAARI",Cash_Book!$D:$D,"CASH_ADV",Cash_Book!$E:$E,B34)</f>
        <v/>
      </c>
      <c r="O34" s="12">
        <f>SUMIFS(Cash_Book!$G:$G,Cash_Book!$C:$C,"BEPAARI",Cash_Book!$D:$D,"OTHER",Cash_Book!$E:$E,B34)</f>
        <v/>
      </c>
      <c r="P34" s="9">
        <f>SUM(H34:O34)</f>
        <v/>
      </c>
      <c r="Q34" s="9">
        <f>IF(B34="","",F34-P34+E34)</f>
        <v/>
      </c>
      <c r="R34" s="12">
        <f>SUMIFS(Cash_Book!$G:$G,Cash_Book!$C:$C,"BEPAARI",Cash_Book!$D:$D,"PAYMENT",Cash_Book!$E:$E,B34)</f>
        <v/>
      </c>
      <c r="S34" s="12">
        <f>SUMIFS(JV_Entries!$G:$G,JV_Entries!$C:$C,"BEPAARI",JV_Entries!$D:$D,B34)-SUMIFS(JV_Entries!$G:$G,JV_Entries!$E:$E,"BEPAARI",JV_Entries!$F:$F,B34)</f>
        <v/>
      </c>
      <c r="T34" s="17">
        <f>IF(B34="","",Q34-R34+S34)</f>
        <v/>
      </c>
    </row>
    <row r="35">
      <c r="A35" t="n">
        <v>31</v>
      </c>
      <c r="B35">
        <f>IF(Masters!$B$33="","",Masters!$B$33)</f>
        <v/>
      </c>
      <c r="C35">
        <f>IF(B35="","",Masters!$C$33)</f>
        <v/>
      </c>
      <c r="D35" s="12">
        <f>IF(B35="","",IF(Masters!$D$33="","",Masters!$D$33))</f>
        <v/>
      </c>
      <c r="E35" s="12">
        <f>IF(B35="",0,Masters!$E$33)</f>
        <v/>
      </c>
      <c r="F35" s="12">
        <f>SUMIF(Daily_Sales!$C:$C,B35,Daily_Sales!$G:$G)</f>
        <v/>
      </c>
      <c r="G35" s="16">
        <f>SUMIF(Daily_Sales!$C:$C,B35,Daily_Sales!$E:$E)</f>
        <v/>
      </c>
      <c r="H35" s="12">
        <f>IF(B35="",0,IF(D35&lt;&gt;"",D35*G35,F35*C35/100))</f>
        <v/>
      </c>
      <c r="I35" s="9">
        <f>IF(G35&gt;0,Masters!$Y$3,0)</f>
        <v/>
      </c>
      <c r="J35" s="9">
        <f>G35*Masters!$Y$4</f>
        <v/>
      </c>
      <c r="K35" s="12">
        <f>SUMIFS(Cash_Book!$G:$G,Cash_Book!$C:$C,"BEPAARI",Cash_Book!$D:$D,"MOTOR",Cash_Book!$E:$E,B35)</f>
        <v/>
      </c>
      <c r="L35" s="12">
        <f>SUMIFS(Cash_Book!$G:$G,Cash_Book!$C:$C,"BEPAARI",Cash_Book!$D:$D,"BHUSSA",Cash_Book!$E:$E,B35)</f>
        <v/>
      </c>
      <c r="M35" s="12">
        <f>SUMIFS(Cash_Book!$G:$G,Cash_Book!$C:$C,"BEPAARI",Cash_Book!$D:$D,"GAWALI",Cash_Book!$E:$E,B35)</f>
        <v/>
      </c>
      <c r="N35" s="12">
        <f>SUMIFS(Cash_Book!$G:$G,Cash_Book!$C:$C,"BEPAARI",Cash_Book!$D:$D,"CASH_ADV",Cash_Book!$E:$E,B35)</f>
        <v/>
      </c>
      <c r="O35" s="12">
        <f>SUMIFS(Cash_Book!$G:$G,Cash_Book!$C:$C,"BEPAARI",Cash_Book!$D:$D,"OTHER",Cash_Book!$E:$E,B35)</f>
        <v/>
      </c>
      <c r="P35" s="9">
        <f>SUM(H35:O35)</f>
        <v/>
      </c>
      <c r="Q35" s="9">
        <f>IF(B35="","",F35-P35+E35)</f>
        <v/>
      </c>
      <c r="R35" s="12">
        <f>SUMIFS(Cash_Book!$G:$G,Cash_Book!$C:$C,"BEPAARI",Cash_Book!$D:$D,"PAYMENT",Cash_Book!$E:$E,B35)</f>
        <v/>
      </c>
      <c r="S35" s="12">
        <f>SUMIFS(JV_Entries!$G:$G,JV_Entries!$C:$C,"BEPAARI",JV_Entries!$D:$D,B35)-SUMIFS(JV_Entries!$G:$G,JV_Entries!$E:$E,"BEPAARI",JV_Entries!$F:$F,B35)</f>
        <v/>
      </c>
      <c r="T35" s="17">
        <f>IF(B35="","",Q35-R35+S35)</f>
        <v/>
      </c>
    </row>
    <row r="36">
      <c r="A36" t="n">
        <v>32</v>
      </c>
      <c r="B36">
        <f>IF(Masters!$B$34="","",Masters!$B$34)</f>
        <v/>
      </c>
      <c r="C36">
        <f>IF(B36="","",Masters!$C$34)</f>
        <v/>
      </c>
      <c r="D36" s="12">
        <f>IF(B36="","",IF(Masters!$D$34="","",Masters!$D$34))</f>
        <v/>
      </c>
      <c r="E36" s="12">
        <f>IF(B36="",0,Masters!$E$34)</f>
        <v/>
      </c>
      <c r="F36" s="12">
        <f>SUMIF(Daily_Sales!$C:$C,B36,Daily_Sales!$G:$G)</f>
        <v/>
      </c>
      <c r="G36" s="16">
        <f>SUMIF(Daily_Sales!$C:$C,B36,Daily_Sales!$E:$E)</f>
        <v/>
      </c>
      <c r="H36" s="12">
        <f>IF(B36="",0,IF(D36&lt;&gt;"",D36*G36,F36*C36/100))</f>
        <v/>
      </c>
      <c r="I36" s="9">
        <f>IF(G36&gt;0,Masters!$Y$3,0)</f>
        <v/>
      </c>
      <c r="J36" s="9">
        <f>G36*Masters!$Y$4</f>
        <v/>
      </c>
      <c r="K36" s="12">
        <f>SUMIFS(Cash_Book!$G:$G,Cash_Book!$C:$C,"BEPAARI",Cash_Book!$D:$D,"MOTOR",Cash_Book!$E:$E,B36)</f>
        <v/>
      </c>
      <c r="L36" s="12">
        <f>SUMIFS(Cash_Book!$G:$G,Cash_Book!$C:$C,"BEPAARI",Cash_Book!$D:$D,"BHUSSA",Cash_Book!$E:$E,B36)</f>
        <v/>
      </c>
      <c r="M36" s="12">
        <f>SUMIFS(Cash_Book!$G:$G,Cash_Book!$C:$C,"BEPAARI",Cash_Book!$D:$D,"GAWALI",Cash_Book!$E:$E,B36)</f>
        <v/>
      </c>
      <c r="N36" s="12">
        <f>SUMIFS(Cash_Book!$G:$G,Cash_Book!$C:$C,"BEPAARI",Cash_Book!$D:$D,"CASH_ADV",Cash_Book!$E:$E,B36)</f>
        <v/>
      </c>
      <c r="O36" s="12">
        <f>SUMIFS(Cash_Book!$G:$G,Cash_Book!$C:$C,"BEPAARI",Cash_Book!$D:$D,"OTHER",Cash_Book!$E:$E,B36)</f>
        <v/>
      </c>
      <c r="P36" s="9">
        <f>SUM(H36:O36)</f>
        <v/>
      </c>
      <c r="Q36" s="9">
        <f>IF(B36="","",F36-P36+E36)</f>
        <v/>
      </c>
      <c r="R36" s="12">
        <f>SUMIFS(Cash_Book!$G:$G,Cash_Book!$C:$C,"BEPAARI",Cash_Book!$D:$D,"PAYMENT",Cash_Book!$E:$E,B36)</f>
        <v/>
      </c>
      <c r="S36" s="12">
        <f>SUMIFS(JV_Entries!$G:$G,JV_Entries!$C:$C,"BEPAARI",JV_Entries!$D:$D,B36)-SUMIFS(JV_Entries!$G:$G,JV_Entries!$E:$E,"BEPAARI",JV_Entries!$F:$F,B36)</f>
        <v/>
      </c>
      <c r="T36" s="17">
        <f>IF(B36="","",Q36-R36+S36)</f>
        <v/>
      </c>
    </row>
    <row r="37">
      <c r="A37" t="n">
        <v>33</v>
      </c>
      <c r="B37">
        <f>IF(Masters!$B$35="","",Masters!$B$35)</f>
        <v/>
      </c>
      <c r="C37">
        <f>IF(B37="","",Masters!$C$35)</f>
        <v/>
      </c>
      <c r="D37" s="12">
        <f>IF(B37="","",IF(Masters!$D$35="","",Masters!$D$35))</f>
        <v/>
      </c>
      <c r="E37" s="12">
        <f>IF(B37="",0,Masters!$E$35)</f>
        <v/>
      </c>
      <c r="F37" s="12">
        <f>SUMIF(Daily_Sales!$C:$C,B37,Daily_Sales!$G:$G)</f>
        <v/>
      </c>
      <c r="G37" s="16">
        <f>SUMIF(Daily_Sales!$C:$C,B37,Daily_Sales!$E:$E)</f>
        <v/>
      </c>
      <c r="H37" s="12">
        <f>IF(B37="",0,IF(D37&lt;&gt;"",D37*G37,F37*C37/100))</f>
        <v/>
      </c>
      <c r="I37" s="9">
        <f>IF(G37&gt;0,Masters!$Y$3,0)</f>
        <v/>
      </c>
      <c r="J37" s="9">
        <f>G37*Masters!$Y$4</f>
        <v/>
      </c>
      <c r="K37" s="12">
        <f>SUMIFS(Cash_Book!$G:$G,Cash_Book!$C:$C,"BEPAARI",Cash_Book!$D:$D,"MOTOR",Cash_Book!$E:$E,B37)</f>
        <v/>
      </c>
      <c r="L37" s="12">
        <f>SUMIFS(Cash_Book!$G:$G,Cash_Book!$C:$C,"BEPAARI",Cash_Book!$D:$D,"BHUSSA",Cash_Book!$E:$E,B37)</f>
        <v/>
      </c>
      <c r="M37" s="12">
        <f>SUMIFS(Cash_Book!$G:$G,Cash_Book!$C:$C,"BEPAARI",Cash_Book!$D:$D,"GAWALI",Cash_Book!$E:$E,B37)</f>
        <v/>
      </c>
      <c r="N37" s="12">
        <f>SUMIFS(Cash_Book!$G:$G,Cash_Book!$C:$C,"BEPAARI",Cash_Book!$D:$D,"CASH_ADV",Cash_Book!$E:$E,B37)</f>
        <v/>
      </c>
      <c r="O37" s="12">
        <f>SUMIFS(Cash_Book!$G:$G,Cash_Book!$C:$C,"BEPAARI",Cash_Book!$D:$D,"OTHER",Cash_Book!$E:$E,B37)</f>
        <v/>
      </c>
      <c r="P37" s="9">
        <f>SUM(H37:O37)</f>
        <v/>
      </c>
      <c r="Q37" s="9">
        <f>IF(B37="","",F37-P37+E37)</f>
        <v/>
      </c>
      <c r="R37" s="12">
        <f>SUMIFS(Cash_Book!$G:$G,Cash_Book!$C:$C,"BEPAARI",Cash_Book!$D:$D,"PAYMENT",Cash_Book!$E:$E,B37)</f>
        <v/>
      </c>
      <c r="S37" s="12">
        <f>SUMIFS(JV_Entries!$G:$G,JV_Entries!$C:$C,"BEPAARI",JV_Entries!$D:$D,B37)-SUMIFS(JV_Entries!$G:$G,JV_Entries!$E:$E,"BEPAARI",JV_Entries!$F:$F,B37)</f>
        <v/>
      </c>
      <c r="T37" s="17">
        <f>IF(B37="","",Q37-R37+S37)</f>
        <v/>
      </c>
    </row>
    <row r="38">
      <c r="A38" t="n">
        <v>34</v>
      </c>
      <c r="B38">
        <f>IF(Masters!$B$36="","",Masters!$B$36)</f>
        <v/>
      </c>
      <c r="C38">
        <f>IF(B38="","",Masters!$C$36)</f>
        <v/>
      </c>
      <c r="D38" s="12">
        <f>IF(B38="","",IF(Masters!$D$36="","",Masters!$D$36))</f>
        <v/>
      </c>
      <c r="E38" s="12">
        <f>IF(B38="",0,Masters!$E$36)</f>
        <v/>
      </c>
      <c r="F38" s="12">
        <f>SUMIF(Daily_Sales!$C:$C,B38,Daily_Sales!$G:$G)</f>
        <v/>
      </c>
      <c r="G38" s="16">
        <f>SUMIF(Daily_Sales!$C:$C,B38,Daily_Sales!$E:$E)</f>
        <v/>
      </c>
      <c r="H38" s="12">
        <f>IF(B38="",0,IF(D38&lt;&gt;"",D38*G38,F38*C38/100))</f>
        <v/>
      </c>
      <c r="I38" s="9">
        <f>IF(G38&gt;0,Masters!$Y$3,0)</f>
        <v/>
      </c>
      <c r="J38" s="9">
        <f>G38*Masters!$Y$4</f>
        <v/>
      </c>
      <c r="K38" s="12">
        <f>SUMIFS(Cash_Book!$G:$G,Cash_Book!$C:$C,"BEPAARI",Cash_Book!$D:$D,"MOTOR",Cash_Book!$E:$E,B38)</f>
        <v/>
      </c>
      <c r="L38" s="12">
        <f>SUMIFS(Cash_Book!$G:$G,Cash_Book!$C:$C,"BEPAARI",Cash_Book!$D:$D,"BHUSSA",Cash_Book!$E:$E,B38)</f>
        <v/>
      </c>
      <c r="M38" s="12">
        <f>SUMIFS(Cash_Book!$G:$G,Cash_Book!$C:$C,"BEPAARI",Cash_Book!$D:$D,"GAWALI",Cash_Book!$E:$E,B38)</f>
        <v/>
      </c>
      <c r="N38" s="12">
        <f>SUMIFS(Cash_Book!$G:$G,Cash_Book!$C:$C,"BEPAARI",Cash_Book!$D:$D,"CASH_ADV",Cash_Book!$E:$E,B38)</f>
        <v/>
      </c>
      <c r="O38" s="12">
        <f>SUMIFS(Cash_Book!$G:$G,Cash_Book!$C:$C,"BEPAARI",Cash_Book!$D:$D,"OTHER",Cash_Book!$E:$E,B38)</f>
        <v/>
      </c>
      <c r="P38" s="9">
        <f>SUM(H38:O38)</f>
        <v/>
      </c>
      <c r="Q38" s="9">
        <f>IF(B38="","",F38-P38+E38)</f>
        <v/>
      </c>
      <c r="R38" s="12">
        <f>SUMIFS(Cash_Book!$G:$G,Cash_Book!$C:$C,"BEPAARI",Cash_Book!$D:$D,"PAYMENT",Cash_Book!$E:$E,B38)</f>
        <v/>
      </c>
      <c r="S38" s="12">
        <f>SUMIFS(JV_Entries!$G:$G,JV_Entries!$C:$C,"BEPAARI",JV_Entries!$D:$D,B38)-SUMIFS(JV_Entries!$G:$G,JV_Entries!$E:$E,"BEPAARI",JV_Entries!$F:$F,B38)</f>
        <v/>
      </c>
      <c r="T38" s="17">
        <f>IF(B38="","",Q38-R38+S38)</f>
        <v/>
      </c>
    </row>
    <row r="39">
      <c r="A39" t="n">
        <v>35</v>
      </c>
      <c r="B39">
        <f>IF(Masters!$B$37="","",Masters!$B$37)</f>
        <v/>
      </c>
      <c r="C39">
        <f>IF(B39="","",Masters!$C$37)</f>
        <v/>
      </c>
      <c r="D39" s="12">
        <f>IF(B39="","",IF(Masters!$D$37="","",Masters!$D$37))</f>
        <v/>
      </c>
      <c r="E39" s="12">
        <f>IF(B39="",0,Masters!$E$37)</f>
        <v/>
      </c>
      <c r="F39" s="12">
        <f>SUMIF(Daily_Sales!$C:$C,B39,Daily_Sales!$G:$G)</f>
        <v/>
      </c>
      <c r="G39" s="16">
        <f>SUMIF(Daily_Sales!$C:$C,B39,Daily_Sales!$E:$E)</f>
        <v/>
      </c>
      <c r="H39" s="12">
        <f>IF(B39="",0,IF(D39&lt;&gt;"",D39*G39,F39*C39/100))</f>
        <v/>
      </c>
      <c r="I39" s="9">
        <f>IF(G39&gt;0,Masters!$Y$3,0)</f>
        <v/>
      </c>
      <c r="J39" s="9">
        <f>G39*Masters!$Y$4</f>
        <v/>
      </c>
      <c r="K39" s="12">
        <f>SUMIFS(Cash_Book!$G:$G,Cash_Book!$C:$C,"BEPAARI",Cash_Book!$D:$D,"MOTOR",Cash_Book!$E:$E,B39)</f>
        <v/>
      </c>
      <c r="L39" s="12">
        <f>SUMIFS(Cash_Book!$G:$G,Cash_Book!$C:$C,"BEPAARI",Cash_Book!$D:$D,"BHUSSA",Cash_Book!$E:$E,B39)</f>
        <v/>
      </c>
      <c r="M39" s="12">
        <f>SUMIFS(Cash_Book!$G:$G,Cash_Book!$C:$C,"BEPAARI",Cash_Book!$D:$D,"GAWALI",Cash_Book!$E:$E,B39)</f>
        <v/>
      </c>
      <c r="N39" s="12">
        <f>SUMIFS(Cash_Book!$G:$G,Cash_Book!$C:$C,"BEPAARI",Cash_Book!$D:$D,"CASH_ADV",Cash_Book!$E:$E,B39)</f>
        <v/>
      </c>
      <c r="O39" s="12">
        <f>SUMIFS(Cash_Book!$G:$G,Cash_Book!$C:$C,"BEPAARI",Cash_Book!$D:$D,"OTHER",Cash_Book!$E:$E,B39)</f>
        <v/>
      </c>
      <c r="P39" s="9">
        <f>SUM(H39:O39)</f>
        <v/>
      </c>
      <c r="Q39" s="9">
        <f>IF(B39="","",F39-P39+E39)</f>
        <v/>
      </c>
      <c r="R39" s="12">
        <f>SUMIFS(Cash_Book!$G:$G,Cash_Book!$C:$C,"BEPAARI",Cash_Book!$D:$D,"PAYMENT",Cash_Book!$E:$E,B39)</f>
        <v/>
      </c>
      <c r="S39" s="12">
        <f>SUMIFS(JV_Entries!$G:$G,JV_Entries!$C:$C,"BEPAARI",JV_Entries!$D:$D,B39)-SUMIFS(JV_Entries!$G:$G,JV_Entries!$E:$E,"BEPAARI",JV_Entries!$F:$F,B39)</f>
        <v/>
      </c>
      <c r="T39" s="17">
        <f>IF(B39="","",Q39-R39+S39)</f>
        <v/>
      </c>
    </row>
    <row r="40">
      <c r="A40" t="n">
        <v>36</v>
      </c>
      <c r="B40">
        <f>IF(Masters!$B$38="","",Masters!$B$38)</f>
        <v/>
      </c>
      <c r="C40">
        <f>IF(B40="","",Masters!$C$38)</f>
        <v/>
      </c>
      <c r="D40" s="12">
        <f>IF(B40="","",IF(Masters!$D$38="","",Masters!$D$38))</f>
        <v/>
      </c>
      <c r="E40" s="12">
        <f>IF(B40="",0,Masters!$E$38)</f>
        <v/>
      </c>
      <c r="F40" s="12">
        <f>SUMIF(Daily_Sales!$C:$C,B40,Daily_Sales!$G:$G)</f>
        <v/>
      </c>
      <c r="G40" s="16">
        <f>SUMIF(Daily_Sales!$C:$C,B40,Daily_Sales!$E:$E)</f>
        <v/>
      </c>
      <c r="H40" s="12">
        <f>IF(B40="",0,IF(D40&lt;&gt;"",D40*G40,F40*C40/100))</f>
        <v/>
      </c>
      <c r="I40" s="9">
        <f>IF(G40&gt;0,Masters!$Y$3,0)</f>
        <v/>
      </c>
      <c r="J40" s="9">
        <f>G40*Masters!$Y$4</f>
        <v/>
      </c>
      <c r="K40" s="12">
        <f>SUMIFS(Cash_Book!$G:$G,Cash_Book!$C:$C,"BEPAARI",Cash_Book!$D:$D,"MOTOR",Cash_Book!$E:$E,B40)</f>
        <v/>
      </c>
      <c r="L40" s="12">
        <f>SUMIFS(Cash_Book!$G:$G,Cash_Book!$C:$C,"BEPAARI",Cash_Book!$D:$D,"BHUSSA",Cash_Book!$E:$E,B40)</f>
        <v/>
      </c>
      <c r="M40" s="12">
        <f>SUMIFS(Cash_Book!$G:$G,Cash_Book!$C:$C,"BEPAARI",Cash_Book!$D:$D,"GAWALI",Cash_Book!$E:$E,B40)</f>
        <v/>
      </c>
      <c r="N40" s="12">
        <f>SUMIFS(Cash_Book!$G:$G,Cash_Book!$C:$C,"BEPAARI",Cash_Book!$D:$D,"CASH_ADV",Cash_Book!$E:$E,B40)</f>
        <v/>
      </c>
      <c r="O40" s="12">
        <f>SUMIFS(Cash_Book!$G:$G,Cash_Book!$C:$C,"BEPAARI",Cash_Book!$D:$D,"OTHER",Cash_Book!$E:$E,B40)</f>
        <v/>
      </c>
      <c r="P40" s="9">
        <f>SUM(H40:O40)</f>
        <v/>
      </c>
      <c r="Q40" s="9">
        <f>IF(B40="","",F40-P40+E40)</f>
        <v/>
      </c>
      <c r="R40" s="12">
        <f>SUMIFS(Cash_Book!$G:$G,Cash_Book!$C:$C,"BEPAARI",Cash_Book!$D:$D,"PAYMENT",Cash_Book!$E:$E,B40)</f>
        <v/>
      </c>
      <c r="S40" s="12">
        <f>SUMIFS(JV_Entries!$G:$G,JV_Entries!$C:$C,"BEPAARI",JV_Entries!$D:$D,B40)-SUMIFS(JV_Entries!$G:$G,JV_Entries!$E:$E,"BEPAARI",JV_Entries!$F:$F,B40)</f>
        <v/>
      </c>
      <c r="T40" s="17">
        <f>IF(B40="","",Q40-R40+S40)</f>
        <v/>
      </c>
    </row>
    <row r="41">
      <c r="A41" t="n">
        <v>37</v>
      </c>
      <c r="B41">
        <f>IF(Masters!$B$39="","",Masters!$B$39)</f>
        <v/>
      </c>
      <c r="C41">
        <f>IF(B41="","",Masters!$C$39)</f>
        <v/>
      </c>
      <c r="D41" s="12">
        <f>IF(B41="","",IF(Masters!$D$39="","",Masters!$D$39))</f>
        <v/>
      </c>
      <c r="E41" s="12">
        <f>IF(B41="",0,Masters!$E$39)</f>
        <v/>
      </c>
      <c r="F41" s="12">
        <f>SUMIF(Daily_Sales!$C:$C,B41,Daily_Sales!$G:$G)</f>
        <v/>
      </c>
      <c r="G41" s="16">
        <f>SUMIF(Daily_Sales!$C:$C,B41,Daily_Sales!$E:$E)</f>
        <v/>
      </c>
      <c r="H41" s="12">
        <f>IF(B41="",0,IF(D41&lt;&gt;"",D41*G41,F41*C41/100))</f>
        <v/>
      </c>
      <c r="I41" s="9">
        <f>IF(G41&gt;0,Masters!$Y$3,0)</f>
        <v/>
      </c>
      <c r="J41" s="9">
        <f>G41*Masters!$Y$4</f>
        <v/>
      </c>
      <c r="K41" s="12">
        <f>SUMIFS(Cash_Book!$G:$G,Cash_Book!$C:$C,"BEPAARI",Cash_Book!$D:$D,"MOTOR",Cash_Book!$E:$E,B41)</f>
        <v/>
      </c>
      <c r="L41" s="12">
        <f>SUMIFS(Cash_Book!$G:$G,Cash_Book!$C:$C,"BEPAARI",Cash_Book!$D:$D,"BHUSSA",Cash_Book!$E:$E,B41)</f>
        <v/>
      </c>
      <c r="M41" s="12">
        <f>SUMIFS(Cash_Book!$G:$G,Cash_Book!$C:$C,"BEPAARI",Cash_Book!$D:$D,"GAWALI",Cash_Book!$E:$E,B41)</f>
        <v/>
      </c>
      <c r="N41" s="12">
        <f>SUMIFS(Cash_Book!$G:$G,Cash_Book!$C:$C,"BEPAARI",Cash_Book!$D:$D,"CASH_ADV",Cash_Book!$E:$E,B41)</f>
        <v/>
      </c>
      <c r="O41" s="12">
        <f>SUMIFS(Cash_Book!$G:$G,Cash_Book!$C:$C,"BEPAARI",Cash_Book!$D:$D,"OTHER",Cash_Book!$E:$E,B41)</f>
        <v/>
      </c>
      <c r="P41" s="9">
        <f>SUM(H41:O41)</f>
        <v/>
      </c>
      <c r="Q41" s="9">
        <f>IF(B41="","",F41-P41+E41)</f>
        <v/>
      </c>
      <c r="R41" s="12">
        <f>SUMIFS(Cash_Book!$G:$G,Cash_Book!$C:$C,"BEPAARI",Cash_Book!$D:$D,"PAYMENT",Cash_Book!$E:$E,B41)</f>
        <v/>
      </c>
      <c r="S41" s="12">
        <f>SUMIFS(JV_Entries!$G:$G,JV_Entries!$C:$C,"BEPAARI",JV_Entries!$D:$D,B41)-SUMIFS(JV_Entries!$G:$G,JV_Entries!$E:$E,"BEPAARI",JV_Entries!$F:$F,B41)</f>
        <v/>
      </c>
      <c r="T41" s="17">
        <f>IF(B41="","",Q41-R41+S41)</f>
        <v/>
      </c>
    </row>
    <row r="42">
      <c r="A42" t="n">
        <v>38</v>
      </c>
      <c r="B42">
        <f>IF(Masters!$B$40="","",Masters!$B$40)</f>
        <v/>
      </c>
      <c r="C42">
        <f>IF(B42="","",Masters!$C$40)</f>
        <v/>
      </c>
      <c r="D42" s="12">
        <f>IF(B42="","",IF(Masters!$D$40="","",Masters!$D$40))</f>
        <v/>
      </c>
      <c r="E42" s="12">
        <f>IF(B42="",0,Masters!$E$40)</f>
        <v/>
      </c>
      <c r="F42" s="12">
        <f>SUMIF(Daily_Sales!$C:$C,B42,Daily_Sales!$G:$G)</f>
        <v/>
      </c>
      <c r="G42" s="16">
        <f>SUMIF(Daily_Sales!$C:$C,B42,Daily_Sales!$E:$E)</f>
        <v/>
      </c>
      <c r="H42" s="12">
        <f>IF(B42="",0,IF(D42&lt;&gt;"",D42*G42,F42*C42/100))</f>
        <v/>
      </c>
      <c r="I42" s="9">
        <f>IF(G42&gt;0,Masters!$Y$3,0)</f>
        <v/>
      </c>
      <c r="J42" s="9">
        <f>G42*Masters!$Y$4</f>
        <v/>
      </c>
      <c r="K42" s="12">
        <f>SUMIFS(Cash_Book!$G:$G,Cash_Book!$C:$C,"BEPAARI",Cash_Book!$D:$D,"MOTOR",Cash_Book!$E:$E,B42)</f>
        <v/>
      </c>
      <c r="L42" s="12">
        <f>SUMIFS(Cash_Book!$G:$G,Cash_Book!$C:$C,"BEPAARI",Cash_Book!$D:$D,"BHUSSA",Cash_Book!$E:$E,B42)</f>
        <v/>
      </c>
      <c r="M42" s="12">
        <f>SUMIFS(Cash_Book!$G:$G,Cash_Book!$C:$C,"BEPAARI",Cash_Book!$D:$D,"GAWALI",Cash_Book!$E:$E,B42)</f>
        <v/>
      </c>
      <c r="N42" s="12">
        <f>SUMIFS(Cash_Book!$G:$G,Cash_Book!$C:$C,"BEPAARI",Cash_Book!$D:$D,"CASH_ADV",Cash_Book!$E:$E,B42)</f>
        <v/>
      </c>
      <c r="O42" s="12">
        <f>SUMIFS(Cash_Book!$G:$G,Cash_Book!$C:$C,"BEPAARI",Cash_Book!$D:$D,"OTHER",Cash_Book!$E:$E,B42)</f>
        <v/>
      </c>
      <c r="P42" s="9">
        <f>SUM(H42:O42)</f>
        <v/>
      </c>
      <c r="Q42" s="9">
        <f>IF(B42="","",F42-P42+E42)</f>
        <v/>
      </c>
      <c r="R42" s="12">
        <f>SUMIFS(Cash_Book!$G:$G,Cash_Book!$C:$C,"BEPAARI",Cash_Book!$D:$D,"PAYMENT",Cash_Book!$E:$E,B42)</f>
        <v/>
      </c>
      <c r="S42" s="12">
        <f>SUMIFS(JV_Entries!$G:$G,JV_Entries!$C:$C,"BEPAARI",JV_Entries!$D:$D,B42)-SUMIFS(JV_Entries!$G:$G,JV_Entries!$E:$E,"BEPAARI",JV_Entries!$F:$F,B42)</f>
        <v/>
      </c>
      <c r="T42" s="17">
        <f>IF(B42="","",Q42-R42+S42)</f>
        <v/>
      </c>
    </row>
    <row r="43">
      <c r="A43" t="n">
        <v>39</v>
      </c>
      <c r="B43">
        <f>IF(Masters!$B$41="","",Masters!$B$41)</f>
        <v/>
      </c>
      <c r="C43">
        <f>IF(B43="","",Masters!$C$41)</f>
        <v/>
      </c>
      <c r="D43" s="12">
        <f>IF(B43="","",IF(Masters!$D$41="","",Masters!$D$41))</f>
        <v/>
      </c>
      <c r="E43" s="12">
        <f>IF(B43="",0,Masters!$E$41)</f>
        <v/>
      </c>
      <c r="F43" s="12">
        <f>SUMIF(Daily_Sales!$C:$C,B43,Daily_Sales!$G:$G)</f>
        <v/>
      </c>
      <c r="G43" s="16">
        <f>SUMIF(Daily_Sales!$C:$C,B43,Daily_Sales!$E:$E)</f>
        <v/>
      </c>
      <c r="H43" s="12">
        <f>IF(B43="",0,IF(D43&lt;&gt;"",D43*G43,F43*C43/100))</f>
        <v/>
      </c>
      <c r="I43" s="9">
        <f>IF(G43&gt;0,Masters!$Y$3,0)</f>
        <v/>
      </c>
      <c r="J43" s="9">
        <f>G43*Masters!$Y$4</f>
        <v/>
      </c>
      <c r="K43" s="12">
        <f>SUMIFS(Cash_Book!$G:$G,Cash_Book!$C:$C,"BEPAARI",Cash_Book!$D:$D,"MOTOR",Cash_Book!$E:$E,B43)</f>
        <v/>
      </c>
      <c r="L43" s="12">
        <f>SUMIFS(Cash_Book!$G:$G,Cash_Book!$C:$C,"BEPAARI",Cash_Book!$D:$D,"BHUSSA",Cash_Book!$E:$E,B43)</f>
        <v/>
      </c>
      <c r="M43" s="12">
        <f>SUMIFS(Cash_Book!$G:$G,Cash_Book!$C:$C,"BEPAARI",Cash_Book!$D:$D,"GAWALI",Cash_Book!$E:$E,B43)</f>
        <v/>
      </c>
      <c r="N43" s="12">
        <f>SUMIFS(Cash_Book!$G:$G,Cash_Book!$C:$C,"BEPAARI",Cash_Book!$D:$D,"CASH_ADV",Cash_Book!$E:$E,B43)</f>
        <v/>
      </c>
      <c r="O43" s="12">
        <f>SUMIFS(Cash_Book!$G:$G,Cash_Book!$C:$C,"BEPAARI",Cash_Book!$D:$D,"OTHER",Cash_Book!$E:$E,B43)</f>
        <v/>
      </c>
      <c r="P43" s="9">
        <f>SUM(H43:O43)</f>
        <v/>
      </c>
      <c r="Q43" s="9">
        <f>IF(B43="","",F43-P43+E43)</f>
        <v/>
      </c>
      <c r="R43" s="12">
        <f>SUMIFS(Cash_Book!$G:$G,Cash_Book!$C:$C,"BEPAARI",Cash_Book!$D:$D,"PAYMENT",Cash_Book!$E:$E,B43)</f>
        <v/>
      </c>
      <c r="S43" s="12">
        <f>SUMIFS(JV_Entries!$G:$G,JV_Entries!$C:$C,"BEPAARI",JV_Entries!$D:$D,B43)-SUMIFS(JV_Entries!$G:$G,JV_Entries!$E:$E,"BEPAARI",JV_Entries!$F:$F,B43)</f>
        <v/>
      </c>
      <c r="T43" s="17">
        <f>IF(B43="","",Q43-R43+S43)</f>
        <v/>
      </c>
    </row>
    <row r="44">
      <c r="A44" t="n">
        <v>40</v>
      </c>
      <c r="B44">
        <f>IF(Masters!$B$42="","",Masters!$B$42)</f>
        <v/>
      </c>
      <c r="C44">
        <f>IF(B44="","",Masters!$C$42)</f>
        <v/>
      </c>
      <c r="D44" s="12">
        <f>IF(B44="","",IF(Masters!$D$42="","",Masters!$D$42))</f>
        <v/>
      </c>
      <c r="E44" s="12">
        <f>IF(B44="",0,Masters!$E$42)</f>
        <v/>
      </c>
      <c r="F44" s="12">
        <f>SUMIF(Daily_Sales!$C:$C,B44,Daily_Sales!$G:$G)</f>
        <v/>
      </c>
      <c r="G44" s="16">
        <f>SUMIF(Daily_Sales!$C:$C,B44,Daily_Sales!$E:$E)</f>
        <v/>
      </c>
      <c r="H44" s="12">
        <f>IF(B44="",0,IF(D44&lt;&gt;"",D44*G44,F44*C44/100))</f>
        <v/>
      </c>
      <c r="I44" s="9">
        <f>IF(G44&gt;0,Masters!$Y$3,0)</f>
        <v/>
      </c>
      <c r="J44" s="9">
        <f>G44*Masters!$Y$4</f>
        <v/>
      </c>
      <c r="K44" s="12">
        <f>SUMIFS(Cash_Book!$G:$G,Cash_Book!$C:$C,"BEPAARI",Cash_Book!$D:$D,"MOTOR",Cash_Book!$E:$E,B44)</f>
        <v/>
      </c>
      <c r="L44" s="12">
        <f>SUMIFS(Cash_Book!$G:$G,Cash_Book!$C:$C,"BEPAARI",Cash_Book!$D:$D,"BHUSSA",Cash_Book!$E:$E,B44)</f>
        <v/>
      </c>
      <c r="M44" s="12">
        <f>SUMIFS(Cash_Book!$G:$G,Cash_Book!$C:$C,"BEPAARI",Cash_Book!$D:$D,"GAWALI",Cash_Book!$E:$E,B44)</f>
        <v/>
      </c>
      <c r="N44" s="12">
        <f>SUMIFS(Cash_Book!$G:$G,Cash_Book!$C:$C,"BEPAARI",Cash_Book!$D:$D,"CASH_ADV",Cash_Book!$E:$E,B44)</f>
        <v/>
      </c>
      <c r="O44" s="12">
        <f>SUMIFS(Cash_Book!$G:$G,Cash_Book!$C:$C,"BEPAARI",Cash_Book!$D:$D,"OTHER",Cash_Book!$E:$E,B44)</f>
        <v/>
      </c>
      <c r="P44" s="9">
        <f>SUM(H44:O44)</f>
        <v/>
      </c>
      <c r="Q44" s="9">
        <f>IF(B44="","",F44-P44+E44)</f>
        <v/>
      </c>
      <c r="R44" s="12">
        <f>SUMIFS(Cash_Book!$G:$G,Cash_Book!$C:$C,"BEPAARI",Cash_Book!$D:$D,"PAYMENT",Cash_Book!$E:$E,B44)</f>
        <v/>
      </c>
      <c r="S44" s="12">
        <f>SUMIFS(JV_Entries!$G:$G,JV_Entries!$C:$C,"BEPAARI",JV_Entries!$D:$D,B44)-SUMIFS(JV_Entries!$G:$G,JV_Entries!$E:$E,"BEPAARI",JV_Entries!$F:$F,B44)</f>
        <v/>
      </c>
      <c r="T44" s="17">
        <f>IF(B44="","",Q44-R44+S44)</f>
        <v/>
      </c>
    </row>
    <row r="45">
      <c r="A45" t="n">
        <v>41</v>
      </c>
      <c r="B45">
        <f>IF(Masters!$B$43="","",Masters!$B$43)</f>
        <v/>
      </c>
      <c r="C45">
        <f>IF(B45="","",Masters!$C$43)</f>
        <v/>
      </c>
      <c r="D45" s="12">
        <f>IF(B45="","",IF(Masters!$D$43="","",Masters!$D$43))</f>
        <v/>
      </c>
      <c r="E45" s="12">
        <f>IF(B45="",0,Masters!$E$43)</f>
        <v/>
      </c>
      <c r="F45" s="12">
        <f>SUMIF(Daily_Sales!$C:$C,B45,Daily_Sales!$G:$G)</f>
        <v/>
      </c>
      <c r="G45" s="16">
        <f>SUMIF(Daily_Sales!$C:$C,B45,Daily_Sales!$E:$E)</f>
        <v/>
      </c>
      <c r="H45" s="12">
        <f>IF(B45="",0,IF(D45&lt;&gt;"",D45*G45,F45*C45/100))</f>
        <v/>
      </c>
      <c r="I45" s="9">
        <f>IF(G45&gt;0,Masters!$Y$3,0)</f>
        <v/>
      </c>
      <c r="J45" s="9">
        <f>G45*Masters!$Y$4</f>
        <v/>
      </c>
      <c r="K45" s="12">
        <f>SUMIFS(Cash_Book!$G:$G,Cash_Book!$C:$C,"BEPAARI",Cash_Book!$D:$D,"MOTOR",Cash_Book!$E:$E,B45)</f>
        <v/>
      </c>
      <c r="L45" s="12">
        <f>SUMIFS(Cash_Book!$G:$G,Cash_Book!$C:$C,"BEPAARI",Cash_Book!$D:$D,"BHUSSA",Cash_Book!$E:$E,B45)</f>
        <v/>
      </c>
      <c r="M45" s="12">
        <f>SUMIFS(Cash_Book!$G:$G,Cash_Book!$C:$C,"BEPAARI",Cash_Book!$D:$D,"GAWALI",Cash_Book!$E:$E,B45)</f>
        <v/>
      </c>
      <c r="N45" s="12">
        <f>SUMIFS(Cash_Book!$G:$G,Cash_Book!$C:$C,"BEPAARI",Cash_Book!$D:$D,"CASH_ADV",Cash_Book!$E:$E,B45)</f>
        <v/>
      </c>
      <c r="O45" s="12">
        <f>SUMIFS(Cash_Book!$G:$G,Cash_Book!$C:$C,"BEPAARI",Cash_Book!$D:$D,"OTHER",Cash_Book!$E:$E,B45)</f>
        <v/>
      </c>
      <c r="P45" s="9">
        <f>SUM(H45:O45)</f>
        <v/>
      </c>
      <c r="Q45" s="9">
        <f>IF(B45="","",F45-P45+E45)</f>
        <v/>
      </c>
      <c r="R45" s="12">
        <f>SUMIFS(Cash_Book!$G:$G,Cash_Book!$C:$C,"BEPAARI",Cash_Book!$D:$D,"PAYMENT",Cash_Book!$E:$E,B45)</f>
        <v/>
      </c>
      <c r="S45" s="12">
        <f>SUMIFS(JV_Entries!$G:$G,JV_Entries!$C:$C,"BEPAARI",JV_Entries!$D:$D,B45)-SUMIFS(JV_Entries!$G:$G,JV_Entries!$E:$E,"BEPAARI",JV_Entries!$F:$F,B45)</f>
        <v/>
      </c>
      <c r="T45" s="17">
        <f>IF(B45="","",Q45-R45+S45)</f>
        <v/>
      </c>
    </row>
    <row r="46">
      <c r="A46" t="n">
        <v>42</v>
      </c>
      <c r="B46">
        <f>IF(Masters!$B$44="","",Masters!$B$44)</f>
        <v/>
      </c>
      <c r="C46">
        <f>IF(B46="","",Masters!$C$44)</f>
        <v/>
      </c>
      <c r="D46" s="12">
        <f>IF(B46="","",IF(Masters!$D$44="","",Masters!$D$44))</f>
        <v/>
      </c>
      <c r="E46" s="12">
        <f>IF(B46="",0,Masters!$E$44)</f>
        <v/>
      </c>
      <c r="F46" s="12">
        <f>SUMIF(Daily_Sales!$C:$C,B46,Daily_Sales!$G:$G)</f>
        <v/>
      </c>
      <c r="G46" s="16">
        <f>SUMIF(Daily_Sales!$C:$C,B46,Daily_Sales!$E:$E)</f>
        <v/>
      </c>
      <c r="H46" s="12">
        <f>IF(B46="",0,IF(D46&lt;&gt;"",D46*G46,F46*C46/100))</f>
        <v/>
      </c>
      <c r="I46" s="9">
        <f>IF(G46&gt;0,Masters!$Y$3,0)</f>
        <v/>
      </c>
      <c r="J46" s="9">
        <f>G46*Masters!$Y$4</f>
        <v/>
      </c>
      <c r="K46" s="12">
        <f>SUMIFS(Cash_Book!$G:$G,Cash_Book!$C:$C,"BEPAARI",Cash_Book!$D:$D,"MOTOR",Cash_Book!$E:$E,B46)</f>
        <v/>
      </c>
      <c r="L46" s="12">
        <f>SUMIFS(Cash_Book!$G:$G,Cash_Book!$C:$C,"BEPAARI",Cash_Book!$D:$D,"BHUSSA",Cash_Book!$E:$E,B46)</f>
        <v/>
      </c>
      <c r="M46" s="12">
        <f>SUMIFS(Cash_Book!$G:$G,Cash_Book!$C:$C,"BEPAARI",Cash_Book!$D:$D,"GAWALI",Cash_Book!$E:$E,B46)</f>
        <v/>
      </c>
      <c r="N46" s="12">
        <f>SUMIFS(Cash_Book!$G:$G,Cash_Book!$C:$C,"BEPAARI",Cash_Book!$D:$D,"CASH_ADV",Cash_Book!$E:$E,B46)</f>
        <v/>
      </c>
      <c r="O46" s="12">
        <f>SUMIFS(Cash_Book!$G:$G,Cash_Book!$C:$C,"BEPAARI",Cash_Book!$D:$D,"OTHER",Cash_Book!$E:$E,B46)</f>
        <v/>
      </c>
      <c r="P46" s="9">
        <f>SUM(H46:O46)</f>
        <v/>
      </c>
      <c r="Q46" s="9">
        <f>IF(B46="","",F46-P46+E46)</f>
        <v/>
      </c>
      <c r="R46" s="12">
        <f>SUMIFS(Cash_Book!$G:$G,Cash_Book!$C:$C,"BEPAARI",Cash_Book!$D:$D,"PAYMENT",Cash_Book!$E:$E,B46)</f>
        <v/>
      </c>
      <c r="S46" s="12">
        <f>SUMIFS(JV_Entries!$G:$G,JV_Entries!$C:$C,"BEPAARI",JV_Entries!$D:$D,B46)-SUMIFS(JV_Entries!$G:$G,JV_Entries!$E:$E,"BEPAARI",JV_Entries!$F:$F,B46)</f>
        <v/>
      </c>
      <c r="T46" s="17">
        <f>IF(B46="","",Q46-R46+S46)</f>
        <v/>
      </c>
    </row>
    <row r="47">
      <c r="A47" t="n">
        <v>43</v>
      </c>
      <c r="B47">
        <f>IF(Masters!$B$45="","",Masters!$B$45)</f>
        <v/>
      </c>
      <c r="C47">
        <f>IF(B47="","",Masters!$C$45)</f>
        <v/>
      </c>
      <c r="D47" s="12">
        <f>IF(B47="","",IF(Masters!$D$45="","",Masters!$D$45))</f>
        <v/>
      </c>
      <c r="E47" s="12">
        <f>IF(B47="",0,Masters!$E$45)</f>
        <v/>
      </c>
      <c r="F47" s="12">
        <f>SUMIF(Daily_Sales!$C:$C,B47,Daily_Sales!$G:$G)</f>
        <v/>
      </c>
      <c r="G47" s="16">
        <f>SUMIF(Daily_Sales!$C:$C,B47,Daily_Sales!$E:$E)</f>
        <v/>
      </c>
      <c r="H47" s="12">
        <f>IF(B47="",0,IF(D47&lt;&gt;"",D47*G47,F47*C47/100))</f>
        <v/>
      </c>
      <c r="I47" s="9">
        <f>IF(G47&gt;0,Masters!$Y$3,0)</f>
        <v/>
      </c>
      <c r="J47" s="9">
        <f>G47*Masters!$Y$4</f>
        <v/>
      </c>
      <c r="K47" s="12">
        <f>SUMIFS(Cash_Book!$G:$G,Cash_Book!$C:$C,"BEPAARI",Cash_Book!$D:$D,"MOTOR",Cash_Book!$E:$E,B47)</f>
        <v/>
      </c>
      <c r="L47" s="12">
        <f>SUMIFS(Cash_Book!$G:$G,Cash_Book!$C:$C,"BEPAARI",Cash_Book!$D:$D,"BHUSSA",Cash_Book!$E:$E,B47)</f>
        <v/>
      </c>
      <c r="M47" s="12">
        <f>SUMIFS(Cash_Book!$G:$G,Cash_Book!$C:$C,"BEPAARI",Cash_Book!$D:$D,"GAWALI",Cash_Book!$E:$E,B47)</f>
        <v/>
      </c>
      <c r="N47" s="12">
        <f>SUMIFS(Cash_Book!$G:$G,Cash_Book!$C:$C,"BEPAARI",Cash_Book!$D:$D,"CASH_ADV",Cash_Book!$E:$E,B47)</f>
        <v/>
      </c>
      <c r="O47" s="12">
        <f>SUMIFS(Cash_Book!$G:$G,Cash_Book!$C:$C,"BEPAARI",Cash_Book!$D:$D,"OTHER",Cash_Book!$E:$E,B47)</f>
        <v/>
      </c>
      <c r="P47" s="9">
        <f>SUM(H47:O47)</f>
        <v/>
      </c>
      <c r="Q47" s="9">
        <f>IF(B47="","",F47-P47+E47)</f>
        <v/>
      </c>
      <c r="R47" s="12">
        <f>SUMIFS(Cash_Book!$G:$G,Cash_Book!$C:$C,"BEPAARI",Cash_Book!$D:$D,"PAYMENT",Cash_Book!$E:$E,B47)</f>
        <v/>
      </c>
      <c r="S47" s="12">
        <f>SUMIFS(JV_Entries!$G:$G,JV_Entries!$C:$C,"BEPAARI",JV_Entries!$D:$D,B47)-SUMIFS(JV_Entries!$G:$G,JV_Entries!$E:$E,"BEPAARI",JV_Entries!$F:$F,B47)</f>
        <v/>
      </c>
      <c r="T47" s="17">
        <f>IF(B47="","",Q47-R47+S47)</f>
        <v/>
      </c>
    </row>
    <row r="48">
      <c r="A48" t="n">
        <v>44</v>
      </c>
      <c r="B48">
        <f>IF(Masters!$B$46="","",Masters!$B$46)</f>
        <v/>
      </c>
      <c r="C48">
        <f>IF(B48="","",Masters!$C$46)</f>
        <v/>
      </c>
      <c r="D48" s="12">
        <f>IF(B48="","",IF(Masters!$D$46="","",Masters!$D$46))</f>
        <v/>
      </c>
      <c r="E48" s="12">
        <f>IF(B48="",0,Masters!$E$46)</f>
        <v/>
      </c>
      <c r="F48" s="12">
        <f>SUMIF(Daily_Sales!$C:$C,B48,Daily_Sales!$G:$G)</f>
        <v/>
      </c>
      <c r="G48" s="16">
        <f>SUMIF(Daily_Sales!$C:$C,B48,Daily_Sales!$E:$E)</f>
        <v/>
      </c>
      <c r="H48" s="12">
        <f>IF(B48="",0,IF(D48&lt;&gt;"",D48*G48,F48*C48/100))</f>
        <v/>
      </c>
      <c r="I48" s="9">
        <f>IF(G48&gt;0,Masters!$Y$3,0)</f>
        <v/>
      </c>
      <c r="J48" s="9">
        <f>G48*Masters!$Y$4</f>
        <v/>
      </c>
      <c r="K48" s="12">
        <f>SUMIFS(Cash_Book!$G:$G,Cash_Book!$C:$C,"BEPAARI",Cash_Book!$D:$D,"MOTOR",Cash_Book!$E:$E,B48)</f>
        <v/>
      </c>
      <c r="L48" s="12">
        <f>SUMIFS(Cash_Book!$G:$G,Cash_Book!$C:$C,"BEPAARI",Cash_Book!$D:$D,"BHUSSA",Cash_Book!$E:$E,B48)</f>
        <v/>
      </c>
      <c r="M48" s="12">
        <f>SUMIFS(Cash_Book!$G:$G,Cash_Book!$C:$C,"BEPAARI",Cash_Book!$D:$D,"GAWALI",Cash_Book!$E:$E,B48)</f>
        <v/>
      </c>
      <c r="N48" s="12">
        <f>SUMIFS(Cash_Book!$G:$G,Cash_Book!$C:$C,"BEPAARI",Cash_Book!$D:$D,"CASH_ADV",Cash_Book!$E:$E,B48)</f>
        <v/>
      </c>
      <c r="O48" s="12">
        <f>SUMIFS(Cash_Book!$G:$G,Cash_Book!$C:$C,"BEPAARI",Cash_Book!$D:$D,"OTHER",Cash_Book!$E:$E,B48)</f>
        <v/>
      </c>
      <c r="P48" s="9">
        <f>SUM(H48:O48)</f>
        <v/>
      </c>
      <c r="Q48" s="9">
        <f>IF(B48="","",F48-P48+E48)</f>
        <v/>
      </c>
      <c r="R48" s="12">
        <f>SUMIFS(Cash_Book!$G:$G,Cash_Book!$C:$C,"BEPAARI",Cash_Book!$D:$D,"PAYMENT",Cash_Book!$E:$E,B48)</f>
        <v/>
      </c>
      <c r="S48" s="12">
        <f>SUMIFS(JV_Entries!$G:$G,JV_Entries!$C:$C,"BEPAARI",JV_Entries!$D:$D,B48)-SUMIFS(JV_Entries!$G:$G,JV_Entries!$E:$E,"BEPAARI",JV_Entries!$F:$F,B48)</f>
        <v/>
      </c>
      <c r="T48" s="17">
        <f>IF(B48="","",Q48-R48+S48)</f>
        <v/>
      </c>
    </row>
    <row r="49">
      <c r="A49" t="n">
        <v>45</v>
      </c>
      <c r="B49">
        <f>IF(Masters!$B$47="","",Masters!$B$47)</f>
        <v/>
      </c>
      <c r="C49">
        <f>IF(B49="","",Masters!$C$47)</f>
        <v/>
      </c>
      <c r="D49" s="12">
        <f>IF(B49="","",IF(Masters!$D$47="","",Masters!$D$47))</f>
        <v/>
      </c>
      <c r="E49" s="12">
        <f>IF(B49="",0,Masters!$E$47)</f>
        <v/>
      </c>
      <c r="F49" s="12">
        <f>SUMIF(Daily_Sales!$C:$C,B49,Daily_Sales!$G:$G)</f>
        <v/>
      </c>
      <c r="G49" s="16">
        <f>SUMIF(Daily_Sales!$C:$C,B49,Daily_Sales!$E:$E)</f>
        <v/>
      </c>
      <c r="H49" s="12">
        <f>IF(B49="",0,IF(D49&lt;&gt;"",D49*G49,F49*C49/100))</f>
        <v/>
      </c>
      <c r="I49" s="9">
        <f>IF(G49&gt;0,Masters!$Y$3,0)</f>
        <v/>
      </c>
      <c r="J49" s="9">
        <f>G49*Masters!$Y$4</f>
        <v/>
      </c>
      <c r="K49" s="12">
        <f>SUMIFS(Cash_Book!$G:$G,Cash_Book!$C:$C,"BEPAARI",Cash_Book!$D:$D,"MOTOR",Cash_Book!$E:$E,B49)</f>
        <v/>
      </c>
      <c r="L49" s="12">
        <f>SUMIFS(Cash_Book!$G:$G,Cash_Book!$C:$C,"BEPAARI",Cash_Book!$D:$D,"BHUSSA",Cash_Book!$E:$E,B49)</f>
        <v/>
      </c>
      <c r="M49" s="12">
        <f>SUMIFS(Cash_Book!$G:$G,Cash_Book!$C:$C,"BEPAARI",Cash_Book!$D:$D,"GAWALI",Cash_Book!$E:$E,B49)</f>
        <v/>
      </c>
      <c r="N49" s="12">
        <f>SUMIFS(Cash_Book!$G:$G,Cash_Book!$C:$C,"BEPAARI",Cash_Book!$D:$D,"CASH_ADV",Cash_Book!$E:$E,B49)</f>
        <v/>
      </c>
      <c r="O49" s="12">
        <f>SUMIFS(Cash_Book!$G:$G,Cash_Book!$C:$C,"BEPAARI",Cash_Book!$D:$D,"OTHER",Cash_Book!$E:$E,B49)</f>
        <v/>
      </c>
      <c r="P49" s="9">
        <f>SUM(H49:O49)</f>
        <v/>
      </c>
      <c r="Q49" s="9">
        <f>IF(B49="","",F49-P49+E49)</f>
        <v/>
      </c>
      <c r="R49" s="12">
        <f>SUMIFS(Cash_Book!$G:$G,Cash_Book!$C:$C,"BEPAARI",Cash_Book!$D:$D,"PAYMENT",Cash_Book!$E:$E,B49)</f>
        <v/>
      </c>
      <c r="S49" s="12">
        <f>SUMIFS(JV_Entries!$G:$G,JV_Entries!$C:$C,"BEPAARI",JV_Entries!$D:$D,B49)-SUMIFS(JV_Entries!$G:$G,JV_Entries!$E:$E,"BEPAARI",JV_Entries!$F:$F,B49)</f>
        <v/>
      </c>
      <c r="T49" s="17">
        <f>IF(B49="","",Q49-R49+S49)</f>
        <v/>
      </c>
    </row>
    <row r="50">
      <c r="A50" t="n">
        <v>46</v>
      </c>
      <c r="B50">
        <f>IF(Masters!$B$48="","",Masters!$B$48)</f>
        <v/>
      </c>
      <c r="C50">
        <f>IF(B50="","",Masters!$C$48)</f>
        <v/>
      </c>
      <c r="D50" s="12">
        <f>IF(B50="","",IF(Masters!$D$48="","",Masters!$D$48))</f>
        <v/>
      </c>
      <c r="E50" s="12">
        <f>IF(B50="",0,Masters!$E$48)</f>
        <v/>
      </c>
      <c r="F50" s="12">
        <f>SUMIF(Daily_Sales!$C:$C,B50,Daily_Sales!$G:$G)</f>
        <v/>
      </c>
      <c r="G50" s="16">
        <f>SUMIF(Daily_Sales!$C:$C,B50,Daily_Sales!$E:$E)</f>
        <v/>
      </c>
      <c r="H50" s="12">
        <f>IF(B50="",0,IF(D50&lt;&gt;"",D50*G50,F50*C50/100))</f>
        <v/>
      </c>
      <c r="I50" s="9">
        <f>IF(G50&gt;0,Masters!$Y$3,0)</f>
        <v/>
      </c>
      <c r="J50" s="9">
        <f>G50*Masters!$Y$4</f>
        <v/>
      </c>
      <c r="K50" s="12">
        <f>SUMIFS(Cash_Book!$G:$G,Cash_Book!$C:$C,"BEPAARI",Cash_Book!$D:$D,"MOTOR",Cash_Book!$E:$E,B50)</f>
        <v/>
      </c>
      <c r="L50" s="12">
        <f>SUMIFS(Cash_Book!$G:$G,Cash_Book!$C:$C,"BEPAARI",Cash_Book!$D:$D,"BHUSSA",Cash_Book!$E:$E,B50)</f>
        <v/>
      </c>
      <c r="M50" s="12">
        <f>SUMIFS(Cash_Book!$G:$G,Cash_Book!$C:$C,"BEPAARI",Cash_Book!$D:$D,"GAWALI",Cash_Book!$E:$E,B50)</f>
        <v/>
      </c>
      <c r="N50" s="12">
        <f>SUMIFS(Cash_Book!$G:$G,Cash_Book!$C:$C,"BEPAARI",Cash_Book!$D:$D,"CASH_ADV",Cash_Book!$E:$E,B50)</f>
        <v/>
      </c>
      <c r="O50" s="12">
        <f>SUMIFS(Cash_Book!$G:$G,Cash_Book!$C:$C,"BEPAARI",Cash_Book!$D:$D,"OTHER",Cash_Book!$E:$E,B50)</f>
        <v/>
      </c>
      <c r="P50" s="9">
        <f>SUM(H50:O50)</f>
        <v/>
      </c>
      <c r="Q50" s="9">
        <f>IF(B50="","",F50-P50+E50)</f>
        <v/>
      </c>
      <c r="R50" s="12">
        <f>SUMIFS(Cash_Book!$G:$G,Cash_Book!$C:$C,"BEPAARI",Cash_Book!$D:$D,"PAYMENT",Cash_Book!$E:$E,B50)</f>
        <v/>
      </c>
      <c r="S50" s="12">
        <f>SUMIFS(JV_Entries!$G:$G,JV_Entries!$C:$C,"BEPAARI",JV_Entries!$D:$D,B50)-SUMIFS(JV_Entries!$G:$G,JV_Entries!$E:$E,"BEPAARI",JV_Entries!$F:$F,B50)</f>
        <v/>
      </c>
      <c r="T50" s="17">
        <f>IF(B50="","",Q50-R50+S50)</f>
        <v/>
      </c>
    </row>
    <row r="51">
      <c r="A51" t="n">
        <v>47</v>
      </c>
      <c r="B51">
        <f>IF(Masters!$B$49="","",Masters!$B$49)</f>
        <v/>
      </c>
      <c r="C51">
        <f>IF(B51="","",Masters!$C$49)</f>
        <v/>
      </c>
      <c r="D51" s="12">
        <f>IF(B51="","",IF(Masters!$D$49="","",Masters!$D$49))</f>
        <v/>
      </c>
      <c r="E51" s="12">
        <f>IF(B51="",0,Masters!$E$49)</f>
        <v/>
      </c>
      <c r="F51" s="12">
        <f>SUMIF(Daily_Sales!$C:$C,B51,Daily_Sales!$G:$G)</f>
        <v/>
      </c>
      <c r="G51" s="16">
        <f>SUMIF(Daily_Sales!$C:$C,B51,Daily_Sales!$E:$E)</f>
        <v/>
      </c>
      <c r="H51" s="12">
        <f>IF(B51="",0,IF(D51&lt;&gt;"",D51*G51,F51*C51/100))</f>
        <v/>
      </c>
      <c r="I51" s="9">
        <f>IF(G51&gt;0,Masters!$Y$3,0)</f>
        <v/>
      </c>
      <c r="J51" s="9">
        <f>G51*Masters!$Y$4</f>
        <v/>
      </c>
      <c r="K51" s="12">
        <f>SUMIFS(Cash_Book!$G:$G,Cash_Book!$C:$C,"BEPAARI",Cash_Book!$D:$D,"MOTOR",Cash_Book!$E:$E,B51)</f>
        <v/>
      </c>
      <c r="L51" s="12">
        <f>SUMIFS(Cash_Book!$G:$G,Cash_Book!$C:$C,"BEPAARI",Cash_Book!$D:$D,"BHUSSA",Cash_Book!$E:$E,B51)</f>
        <v/>
      </c>
      <c r="M51" s="12">
        <f>SUMIFS(Cash_Book!$G:$G,Cash_Book!$C:$C,"BEPAARI",Cash_Book!$D:$D,"GAWALI",Cash_Book!$E:$E,B51)</f>
        <v/>
      </c>
      <c r="N51" s="12">
        <f>SUMIFS(Cash_Book!$G:$G,Cash_Book!$C:$C,"BEPAARI",Cash_Book!$D:$D,"CASH_ADV",Cash_Book!$E:$E,B51)</f>
        <v/>
      </c>
      <c r="O51" s="12">
        <f>SUMIFS(Cash_Book!$G:$G,Cash_Book!$C:$C,"BEPAARI",Cash_Book!$D:$D,"OTHER",Cash_Book!$E:$E,B51)</f>
        <v/>
      </c>
      <c r="P51" s="9">
        <f>SUM(H51:O51)</f>
        <v/>
      </c>
      <c r="Q51" s="9">
        <f>IF(B51="","",F51-P51+E51)</f>
        <v/>
      </c>
      <c r="R51" s="12">
        <f>SUMIFS(Cash_Book!$G:$G,Cash_Book!$C:$C,"BEPAARI",Cash_Book!$D:$D,"PAYMENT",Cash_Book!$E:$E,B51)</f>
        <v/>
      </c>
      <c r="S51" s="12">
        <f>SUMIFS(JV_Entries!$G:$G,JV_Entries!$C:$C,"BEPAARI",JV_Entries!$D:$D,B51)-SUMIFS(JV_Entries!$G:$G,JV_Entries!$E:$E,"BEPAARI",JV_Entries!$F:$F,B51)</f>
        <v/>
      </c>
      <c r="T51" s="17">
        <f>IF(B51="","",Q51-R51+S51)</f>
        <v/>
      </c>
    </row>
    <row r="52">
      <c r="A52" t="n">
        <v>48</v>
      </c>
      <c r="B52">
        <f>IF(Masters!$B$50="","",Masters!$B$50)</f>
        <v/>
      </c>
      <c r="C52">
        <f>IF(B52="","",Masters!$C$50)</f>
        <v/>
      </c>
      <c r="D52" s="12">
        <f>IF(B52="","",IF(Masters!$D$50="","",Masters!$D$50))</f>
        <v/>
      </c>
      <c r="E52" s="12">
        <f>IF(B52="",0,Masters!$E$50)</f>
        <v/>
      </c>
      <c r="F52" s="12">
        <f>SUMIF(Daily_Sales!$C:$C,B52,Daily_Sales!$G:$G)</f>
        <v/>
      </c>
      <c r="G52" s="16">
        <f>SUMIF(Daily_Sales!$C:$C,B52,Daily_Sales!$E:$E)</f>
        <v/>
      </c>
      <c r="H52" s="12">
        <f>IF(B52="",0,IF(D52&lt;&gt;"",D52*G52,F52*C52/100))</f>
        <v/>
      </c>
      <c r="I52" s="9">
        <f>IF(G52&gt;0,Masters!$Y$3,0)</f>
        <v/>
      </c>
      <c r="J52" s="9">
        <f>G52*Masters!$Y$4</f>
        <v/>
      </c>
      <c r="K52" s="12">
        <f>SUMIFS(Cash_Book!$G:$G,Cash_Book!$C:$C,"BEPAARI",Cash_Book!$D:$D,"MOTOR",Cash_Book!$E:$E,B52)</f>
        <v/>
      </c>
      <c r="L52" s="12">
        <f>SUMIFS(Cash_Book!$G:$G,Cash_Book!$C:$C,"BEPAARI",Cash_Book!$D:$D,"BHUSSA",Cash_Book!$E:$E,B52)</f>
        <v/>
      </c>
      <c r="M52" s="12">
        <f>SUMIFS(Cash_Book!$G:$G,Cash_Book!$C:$C,"BEPAARI",Cash_Book!$D:$D,"GAWALI",Cash_Book!$E:$E,B52)</f>
        <v/>
      </c>
      <c r="N52" s="12">
        <f>SUMIFS(Cash_Book!$G:$G,Cash_Book!$C:$C,"BEPAARI",Cash_Book!$D:$D,"CASH_ADV",Cash_Book!$E:$E,B52)</f>
        <v/>
      </c>
      <c r="O52" s="12">
        <f>SUMIFS(Cash_Book!$G:$G,Cash_Book!$C:$C,"BEPAARI",Cash_Book!$D:$D,"OTHER",Cash_Book!$E:$E,B52)</f>
        <v/>
      </c>
      <c r="P52" s="9">
        <f>SUM(H52:O52)</f>
        <v/>
      </c>
      <c r="Q52" s="9">
        <f>IF(B52="","",F52-P52+E52)</f>
        <v/>
      </c>
      <c r="R52" s="12">
        <f>SUMIFS(Cash_Book!$G:$G,Cash_Book!$C:$C,"BEPAARI",Cash_Book!$D:$D,"PAYMENT",Cash_Book!$E:$E,B52)</f>
        <v/>
      </c>
      <c r="S52" s="12">
        <f>SUMIFS(JV_Entries!$G:$G,JV_Entries!$C:$C,"BEPAARI",JV_Entries!$D:$D,B52)-SUMIFS(JV_Entries!$G:$G,JV_Entries!$E:$E,"BEPAARI",JV_Entries!$F:$F,B52)</f>
        <v/>
      </c>
      <c r="T52" s="17">
        <f>IF(B52="","",Q52-R52+S52)</f>
        <v/>
      </c>
    </row>
    <row r="53">
      <c r="A53" t="n">
        <v>49</v>
      </c>
      <c r="B53">
        <f>IF(Masters!$B$51="","",Masters!$B$51)</f>
        <v/>
      </c>
      <c r="C53">
        <f>IF(B53="","",Masters!$C$51)</f>
        <v/>
      </c>
      <c r="D53" s="12">
        <f>IF(B53="","",IF(Masters!$D$51="","",Masters!$D$51))</f>
        <v/>
      </c>
      <c r="E53" s="12">
        <f>IF(B53="",0,Masters!$E$51)</f>
        <v/>
      </c>
      <c r="F53" s="12">
        <f>SUMIF(Daily_Sales!$C:$C,B53,Daily_Sales!$G:$G)</f>
        <v/>
      </c>
      <c r="G53" s="16">
        <f>SUMIF(Daily_Sales!$C:$C,B53,Daily_Sales!$E:$E)</f>
        <v/>
      </c>
      <c r="H53" s="12">
        <f>IF(B53="",0,IF(D53&lt;&gt;"",D53*G53,F53*C53/100))</f>
        <v/>
      </c>
      <c r="I53" s="9">
        <f>IF(G53&gt;0,Masters!$Y$3,0)</f>
        <v/>
      </c>
      <c r="J53" s="9">
        <f>G53*Masters!$Y$4</f>
        <v/>
      </c>
      <c r="K53" s="12">
        <f>SUMIFS(Cash_Book!$G:$G,Cash_Book!$C:$C,"BEPAARI",Cash_Book!$D:$D,"MOTOR",Cash_Book!$E:$E,B53)</f>
        <v/>
      </c>
      <c r="L53" s="12">
        <f>SUMIFS(Cash_Book!$G:$G,Cash_Book!$C:$C,"BEPAARI",Cash_Book!$D:$D,"BHUSSA",Cash_Book!$E:$E,B53)</f>
        <v/>
      </c>
      <c r="M53" s="12">
        <f>SUMIFS(Cash_Book!$G:$G,Cash_Book!$C:$C,"BEPAARI",Cash_Book!$D:$D,"GAWALI",Cash_Book!$E:$E,B53)</f>
        <v/>
      </c>
      <c r="N53" s="12">
        <f>SUMIFS(Cash_Book!$G:$G,Cash_Book!$C:$C,"BEPAARI",Cash_Book!$D:$D,"CASH_ADV",Cash_Book!$E:$E,B53)</f>
        <v/>
      </c>
      <c r="O53" s="12">
        <f>SUMIFS(Cash_Book!$G:$G,Cash_Book!$C:$C,"BEPAARI",Cash_Book!$D:$D,"OTHER",Cash_Book!$E:$E,B53)</f>
        <v/>
      </c>
      <c r="P53" s="9">
        <f>SUM(H53:O53)</f>
        <v/>
      </c>
      <c r="Q53" s="9">
        <f>IF(B53="","",F53-P53+E53)</f>
        <v/>
      </c>
      <c r="R53" s="12">
        <f>SUMIFS(Cash_Book!$G:$G,Cash_Book!$C:$C,"BEPAARI",Cash_Book!$D:$D,"PAYMENT",Cash_Book!$E:$E,B53)</f>
        <v/>
      </c>
      <c r="S53" s="12">
        <f>SUMIFS(JV_Entries!$G:$G,JV_Entries!$C:$C,"BEPAARI",JV_Entries!$D:$D,B53)-SUMIFS(JV_Entries!$G:$G,JV_Entries!$E:$E,"BEPAARI",JV_Entries!$F:$F,B53)</f>
        <v/>
      </c>
      <c r="T53" s="17">
        <f>IF(B53="","",Q53-R53+S53)</f>
        <v/>
      </c>
    </row>
    <row r="54">
      <c r="A54" t="n">
        <v>50</v>
      </c>
      <c r="B54">
        <f>IF(Masters!$B$52="","",Masters!$B$52)</f>
        <v/>
      </c>
      <c r="C54">
        <f>IF(B54="","",Masters!$C$52)</f>
        <v/>
      </c>
      <c r="D54" s="12">
        <f>IF(B54="","",IF(Masters!$D$52="","",Masters!$D$52))</f>
        <v/>
      </c>
      <c r="E54" s="12">
        <f>IF(B54="",0,Masters!$E$52)</f>
        <v/>
      </c>
      <c r="F54" s="12">
        <f>SUMIF(Daily_Sales!$C:$C,B54,Daily_Sales!$G:$G)</f>
        <v/>
      </c>
      <c r="G54" s="16">
        <f>SUMIF(Daily_Sales!$C:$C,B54,Daily_Sales!$E:$E)</f>
        <v/>
      </c>
      <c r="H54" s="12">
        <f>IF(B54="",0,IF(D54&lt;&gt;"",D54*G54,F54*C54/100))</f>
        <v/>
      </c>
      <c r="I54" s="9">
        <f>IF(G54&gt;0,Masters!$Y$3,0)</f>
        <v/>
      </c>
      <c r="J54" s="9">
        <f>G54*Masters!$Y$4</f>
        <v/>
      </c>
      <c r="K54" s="12">
        <f>SUMIFS(Cash_Book!$G:$G,Cash_Book!$C:$C,"BEPAARI",Cash_Book!$D:$D,"MOTOR",Cash_Book!$E:$E,B54)</f>
        <v/>
      </c>
      <c r="L54" s="12">
        <f>SUMIFS(Cash_Book!$G:$G,Cash_Book!$C:$C,"BEPAARI",Cash_Book!$D:$D,"BHUSSA",Cash_Book!$E:$E,B54)</f>
        <v/>
      </c>
      <c r="M54" s="12">
        <f>SUMIFS(Cash_Book!$G:$G,Cash_Book!$C:$C,"BEPAARI",Cash_Book!$D:$D,"GAWALI",Cash_Book!$E:$E,B54)</f>
        <v/>
      </c>
      <c r="N54" s="12">
        <f>SUMIFS(Cash_Book!$G:$G,Cash_Book!$C:$C,"BEPAARI",Cash_Book!$D:$D,"CASH_ADV",Cash_Book!$E:$E,B54)</f>
        <v/>
      </c>
      <c r="O54" s="12">
        <f>SUMIFS(Cash_Book!$G:$G,Cash_Book!$C:$C,"BEPAARI",Cash_Book!$D:$D,"OTHER",Cash_Book!$E:$E,B54)</f>
        <v/>
      </c>
      <c r="P54" s="9">
        <f>SUM(H54:O54)</f>
        <v/>
      </c>
      <c r="Q54" s="9">
        <f>IF(B54="","",F54-P54+E54)</f>
        <v/>
      </c>
      <c r="R54" s="12">
        <f>SUMIFS(Cash_Book!$G:$G,Cash_Book!$C:$C,"BEPAARI",Cash_Book!$D:$D,"PAYMENT",Cash_Book!$E:$E,B54)</f>
        <v/>
      </c>
      <c r="S54" s="12">
        <f>SUMIFS(JV_Entries!$G:$G,JV_Entries!$C:$C,"BEPAARI",JV_Entries!$D:$D,B54)-SUMIFS(JV_Entries!$G:$G,JV_Entries!$E:$E,"BEPAARI",JV_Entries!$F:$F,B54)</f>
        <v/>
      </c>
      <c r="T54" s="17">
        <f>IF(B54="","",Q54-R54+S54)</f>
        <v/>
      </c>
    </row>
    <row r="55">
      <c r="A55" s="2" t="inlineStr">
        <is>
          <t>TOTAL</t>
        </is>
      </c>
      <c r="E55" s="17">
        <f>SUM(E5:E54)</f>
        <v/>
      </c>
      <c r="F55" s="17">
        <f>SUM(F5:F54)</f>
        <v/>
      </c>
      <c r="G55" s="17">
        <f>SUM(G5:G54)</f>
        <v/>
      </c>
      <c r="H55" s="17">
        <f>SUM(H5:H54)</f>
        <v/>
      </c>
      <c r="I55" s="17">
        <f>SUM(I5:I54)</f>
        <v/>
      </c>
      <c r="J55" s="17">
        <f>SUM(J5:J54)</f>
        <v/>
      </c>
      <c r="K55" s="17">
        <f>SUM(K5:K54)</f>
        <v/>
      </c>
      <c r="L55" s="17">
        <f>SUM(L5:L54)</f>
        <v/>
      </c>
      <c r="M55" s="17">
        <f>SUM(M5:M54)</f>
        <v/>
      </c>
      <c r="N55" s="17">
        <f>SUM(N5:N54)</f>
        <v/>
      </c>
      <c r="O55" s="17">
        <f>SUM(O5:O54)</f>
        <v/>
      </c>
      <c r="P55" s="17">
        <f>SUM(P5:P54)</f>
        <v/>
      </c>
      <c r="Q55" s="17">
        <f>SUM(Q5:Q54)</f>
        <v/>
      </c>
      <c r="R55" s="17">
        <f>SUM(R5:R54)</f>
        <v/>
      </c>
      <c r="S55" s="17">
        <f>SUM(S5:S54)</f>
        <v/>
      </c>
      <c r="T55" s="17">
        <f>SUM(T5:T54)</f>
        <v/>
      </c>
    </row>
    <row r="57">
      <c r="P57" s="18" t="inlineStr">
        <is>
          <t>For Balance Sheet:</t>
        </is>
      </c>
    </row>
    <row r="58">
      <c r="Q58" t="inlineStr">
        <is>
          <t>Bepaari Payable (we owe)</t>
        </is>
      </c>
      <c r="T58" s="9">
        <f>SUMIF(T5:T54,"&gt;0",T5:T54)</f>
        <v/>
      </c>
    </row>
    <row r="59">
      <c r="Q59" t="inlineStr">
        <is>
          <t>Bepaari Overpaid (they owe)</t>
        </is>
      </c>
      <c r="T59" s="9">
        <f>-SUMIF(T5:T54,"&lt;0",T5:T54)</f>
        <v/>
      </c>
    </row>
  </sheetData>
  <pageMargins left="0.75" right="0.75" top="1" bottom="1" header="0.5" footer="0.5"/>
</worksheet>
</file>

<file path=xl/worksheets/sheet8.xml><?xml version="1.0" encoding="utf-8"?>
<worksheet xmlns="http://schemas.openxmlformats.org/spreadsheetml/2006/main">
  <sheetPr>
    <tabColor rgb="00E91E63"/>
    <outlinePr summaryBelow="1" summaryRight="1"/>
    <pageSetUpPr/>
  </sheetPr>
  <dimension ref="A1:I58"/>
  <sheetViews>
    <sheetView workbookViewId="0">
      <selection activeCell="A1" sqref="A1"/>
    </sheetView>
  </sheetViews>
  <sheetFormatPr baseColWidth="8" defaultRowHeight="15"/>
  <cols>
    <col width="4" customWidth="1" min="1" max="1"/>
    <col width="22" customWidth="1" min="2" max="2"/>
    <col width="12" customWidth="1" min="3" max="3"/>
    <col width="14" customWidth="1" min="4" max="4"/>
    <col width="12" customWidth="1" min="5" max="5"/>
    <col width="14" customWidth="1" min="6" max="6"/>
    <col width="12" customWidth="1" min="7" max="7"/>
    <col width="10" customWidth="1" min="8" max="8"/>
    <col width="14" customWidth="1" min="9" max="9"/>
  </cols>
  <sheetData>
    <row r="1">
      <c r="A1" s="1" t="inlineStr">
        <is>
          <t>DUKANDAR LEDGER</t>
        </is>
      </c>
    </row>
    <row r="3">
      <c r="A3" s="3" t="inlineStr">
        <is>
          <t>Sr</t>
        </is>
      </c>
      <c r="B3" s="3" t="inlineStr">
        <is>
          <t>Dukandar</t>
        </is>
      </c>
      <c r="C3" s="3" t="inlineStr">
        <is>
          <t>Opening</t>
        </is>
      </c>
      <c r="D3" s="3" t="inlineStr">
        <is>
          <t>Purchases</t>
        </is>
      </c>
      <c r="E3" s="3" t="inlineStr">
        <is>
          <t>Discounts</t>
        </is>
      </c>
      <c r="F3" s="3" t="inlineStr">
        <is>
          <t>Net Receivable</t>
        </is>
      </c>
      <c r="G3" s="3" t="inlineStr">
        <is>
          <t>Receipts</t>
        </is>
      </c>
      <c r="H3" s="3" t="inlineStr">
        <is>
          <t>JV Adj</t>
        </is>
      </c>
      <c r="I3" s="3" t="inlineStr">
        <is>
          <t>BALANCE</t>
        </is>
      </c>
    </row>
    <row r="4">
      <c r="A4" t="n">
        <v>1</v>
      </c>
      <c r="B4">
        <f>IF(Masters!$J$3="","",Masters!$J$3)</f>
        <v/>
      </c>
      <c r="C4" s="12">
        <f>IF(B4="",0,Masters!$K$3)</f>
        <v/>
      </c>
      <c r="D4" s="12">
        <f>SUMIF(Daily_Sales!$D:$D,B4,Daily_Sales!$G:$G)</f>
        <v/>
      </c>
      <c r="E4" s="12">
        <f>SUMIF(Daily_Sales!$D:$D,B4,Daily_Sales!$H:$H)</f>
        <v/>
      </c>
      <c r="F4" s="9">
        <f>IF(B4="","",D4-E4+C4)</f>
        <v/>
      </c>
      <c r="G4" s="12">
        <f>SUMIFS(Cash_Book!$G:$G,Cash_Book!$C:$C,"DUKANDAR",Cash_Book!$D:$D,"RECEIPT",Cash_Book!$E:$E,B4)</f>
        <v/>
      </c>
      <c r="H4" s="12">
        <f>SUMIFS(JV_Entries!$G:$G,JV_Entries!$E:$E,"DUKANDAR",JV_Entries!$F:$F,B4)-SUMIFS(JV_Entries!$G:$G,JV_Entries!$C:$C,"DUKANDAR",JV_Entries!$D:$D,B4)</f>
        <v/>
      </c>
      <c r="I4" s="17">
        <f>IF(B4="","",F4-G4+H4)</f>
        <v/>
      </c>
    </row>
    <row r="5">
      <c r="A5" t="n">
        <v>2</v>
      </c>
      <c r="B5">
        <f>IF(Masters!$J$4="","",Masters!$J$4)</f>
        <v/>
      </c>
      <c r="C5" s="12">
        <f>IF(B5="",0,Masters!$K$4)</f>
        <v/>
      </c>
      <c r="D5" s="12">
        <f>SUMIF(Daily_Sales!$D:$D,B5,Daily_Sales!$G:$G)</f>
        <v/>
      </c>
      <c r="E5" s="12">
        <f>SUMIF(Daily_Sales!$D:$D,B5,Daily_Sales!$H:$H)</f>
        <v/>
      </c>
      <c r="F5" s="9">
        <f>IF(B5="","",D5-E5+C5)</f>
        <v/>
      </c>
      <c r="G5" s="12">
        <f>SUMIFS(Cash_Book!$G:$G,Cash_Book!$C:$C,"DUKANDAR",Cash_Book!$D:$D,"RECEIPT",Cash_Book!$E:$E,B5)</f>
        <v/>
      </c>
      <c r="H5" s="12">
        <f>SUMIFS(JV_Entries!$G:$G,JV_Entries!$E:$E,"DUKANDAR",JV_Entries!$F:$F,B5)-SUMIFS(JV_Entries!$G:$G,JV_Entries!$C:$C,"DUKANDAR",JV_Entries!$D:$D,B5)</f>
        <v/>
      </c>
      <c r="I5" s="17">
        <f>IF(B5="","",F5-G5+H5)</f>
        <v/>
      </c>
    </row>
    <row r="6">
      <c r="A6" t="n">
        <v>3</v>
      </c>
      <c r="B6">
        <f>IF(Masters!$J$5="","",Masters!$J$5)</f>
        <v/>
      </c>
      <c r="C6" s="12">
        <f>IF(B6="",0,Masters!$K$5)</f>
        <v/>
      </c>
      <c r="D6" s="12">
        <f>SUMIF(Daily_Sales!$D:$D,B6,Daily_Sales!$G:$G)</f>
        <v/>
      </c>
      <c r="E6" s="12">
        <f>SUMIF(Daily_Sales!$D:$D,B6,Daily_Sales!$H:$H)</f>
        <v/>
      </c>
      <c r="F6" s="9">
        <f>IF(B6="","",D6-E6+C6)</f>
        <v/>
      </c>
      <c r="G6" s="12">
        <f>SUMIFS(Cash_Book!$G:$G,Cash_Book!$C:$C,"DUKANDAR",Cash_Book!$D:$D,"RECEIPT",Cash_Book!$E:$E,B6)</f>
        <v/>
      </c>
      <c r="H6" s="12">
        <f>SUMIFS(JV_Entries!$G:$G,JV_Entries!$E:$E,"DUKANDAR",JV_Entries!$F:$F,B6)-SUMIFS(JV_Entries!$G:$G,JV_Entries!$C:$C,"DUKANDAR",JV_Entries!$D:$D,B6)</f>
        <v/>
      </c>
      <c r="I6" s="17">
        <f>IF(B6="","",F6-G6+H6)</f>
        <v/>
      </c>
    </row>
    <row r="7">
      <c r="A7" t="n">
        <v>4</v>
      </c>
      <c r="B7">
        <f>IF(Masters!$J$6="","",Masters!$J$6)</f>
        <v/>
      </c>
      <c r="C7" s="12">
        <f>IF(B7="",0,Masters!$K$6)</f>
        <v/>
      </c>
      <c r="D7" s="12">
        <f>SUMIF(Daily_Sales!$D:$D,B7,Daily_Sales!$G:$G)</f>
        <v/>
      </c>
      <c r="E7" s="12">
        <f>SUMIF(Daily_Sales!$D:$D,B7,Daily_Sales!$H:$H)</f>
        <v/>
      </c>
      <c r="F7" s="9">
        <f>IF(B7="","",D7-E7+C7)</f>
        <v/>
      </c>
      <c r="G7" s="12">
        <f>SUMIFS(Cash_Book!$G:$G,Cash_Book!$C:$C,"DUKANDAR",Cash_Book!$D:$D,"RECEIPT",Cash_Book!$E:$E,B7)</f>
        <v/>
      </c>
      <c r="H7" s="12">
        <f>SUMIFS(JV_Entries!$G:$G,JV_Entries!$E:$E,"DUKANDAR",JV_Entries!$F:$F,B7)-SUMIFS(JV_Entries!$G:$G,JV_Entries!$C:$C,"DUKANDAR",JV_Entries!$D:$D,B7)</f>
        <v/>
      </c>
      <c r="I7" s="17">
        <f>IF(B7="","",F7-G7+H7)</f>
        <v/>
      </c>
    </row>
    <row r="8">
      <c r="A8" t="n">
        <v>5</v>
      </c>
      <c r="B8">
        <f>IF(Masters!$J$7="","",Masters!$J$7)</f>
        <v/>
      </c>
      <c r="C8" s="12">
        <f>IF(B8="",0,Masters!$K$7)</f>
        <v/>
      </c>
      <c r="D8" s="12">
        <f>SUMIF(Daily_Sales!$D:$D,B8,Daily_Sales!$G:$G)</f>
        <v/>
      </c>
      <c r="E8" s="12">
        <f>SUMIF(Daily_Sales!$D:$D,B8,Daily_Sales!$H:$H)</f>
        <v/>
      </c>
      <c r="F8" s="9">
        <f>IF(B8="","",D8-E8+C8)</f>
        <v/>
      </c>
      <c r="G8" s="12">
        <f>SUMIFS(Cash_Book!$G:$G,Cash_Book!$C:$C,"DUKANDAR",Cash_Book!$D:$D,"RECEIPT",Cash_Book!$E:$E,B8)</f>
        <v/>
      </c>
      <c r="H8" s="12">
        <f>SUMIFS(JV_Entries!$G:$G,JV_Entries!$E:$E,"DUKANDAR",JV_Entries!$F:$F,B8)-SUMIFS(JV_Entries!$G:$G,JV_Entries!$C:$C,"DUKANDAR",JV_Entries!$D:$D,B8)</f>
        <v/>
      </c>
      <c r="I8" s="17">
        <f>IF(B8="","",F8-G8+H8)</f>
        <v/>
      </c>
    </row>
    <row r="9">
      <c r="A9" t="n">
        <v>6</v>
      </c>
      <c r="B9">
        <f>IF(Masters!$J$8="","",Masters!$J$8)</f>
        <v/>
      </c>
      <c r="C9" s="12">
        <f>IF(B9="",0,Masters!$K$8)</f>
        <v/>
      </c>
      <c r="D9" s="12">
        <f>SUMIF(Daily_Sales!$D:$D,B9,Daily_Sales!$G:$G)</f>
        <v/>
      </c>
      <c r="E9" s="12">
        <f>SUMIF(Daily_Sales!$D:$D,B9,Daily_Sales!$H:$H)</f>
        <v/>
      </c>
      <c r="F9" s="9">
        <f>IF(B9="","",D9-E9+C9)</f>
        <v/>
      </c>
      <c r="G9" s="12">
        <f>SUMIFS(Cash_Book!$G:$G,Cash_Book!$C:$C,"DUKANDAR",Cash_Book!$D:$D,"RECEIPT",Cash_Book!$E:$E,B9)</f>
        <v/>
      </c>
      <c r="H9" s="12">
        <f>SUMIFS(JV_Entries!$G:$G,JV_Entries!$E:$E,"DUKANDAR",JV_Entries!$F:$F,B9)-SUMIFS(JV_Entries!$G:$G,JV_Entries!$C:$C,"DUKANDAR",JV_Entries!$D:$D,B9)</f>
        <v/>
      </c>
      <c r="I9" s="17">
        <f>IF(B9="","",F9-G9+H9)</f>
        <v/>
      </c>
    </row>
    <row r="10">
      <c r="A10" t="n">
        <v>7</v>
      </c>
      <c r="B10">
        <f>IF(Masters!$J$9="","",Masters!$J$9)</f>
        <v/>
      </c>
      <c r="C10" s="12">
        <f>IF(B10="",0,Masters!$K$9)</f>
        <v/>
      </c>
      <c r="D10" s="12">
        <f>SUMIF(Daily_Sales!$D:$D,B10,Daily_Sales!$G:$G)</f>
        <v/>
      </c>
      <c r="E10" s="12">
        <f>SUMIF(Daily_Sales!$D:$D,B10,Daily_Sales!$H:$H)</f>
        <v/>
      </c>
      <c r="F10" s="9">
        <f>IF(B10="","",D10-E10+C10)</f>
        <v/>
      </c>
      <c r="G10" s="12">
        <f>SUMIFS(Cash_Book!$G:$G,Cash_Book!$C:$C,"DUKANDAR",Cash_Book!$D:$D,"RECEIPT",Cash_Book!$E:$E,B10)</f>
        <v/>
      </c>
      <c r="H10" s="12">
        <f>SUMIFS(JV_Entries!$G:$G,JV_Entries!$E:$E,"DUKANDAR",JV_Entries!$F:$F,B10)-SUMIFS(JV_Entries!$G:$G,JV_Entries!$C:$C,"DUKANDAR",JV_Entries!$D:$D,B10)</f>
        <v/>
      </c>
      <c r="I10" s="17">
        <f>IF(B10="","",F10-G10+H10)</f>
        <v/>
      </c>
    </row>
    <row r="11">
      <c r="A11" t="n">
        <v>8</v>
      </c>
      <c r="B11">
        <f>IF(Masters!$J$10="","",Masters!$J$10)</f>
        <v/>
      </c>
      <c r="C11" s="12">
        <f>IF(B11="",0,Masters!$K$10)</f>
        <v/>
      </c>
      <c r="D11" s="12">
        <f>SUMIF(Daily_Sales!$D:$D,B11,Daily_Sales!$G:$G)</f>
        <v/>
      </c>
      <c r="E11" s="12">
        <f>SUMIF(Daily_Sales!$D:$D,B11,Daily_Sales!$H:$H)</f>
        <v/>
      </c>
      <c r="F11" s="9">
        <f>IF(B11="","",D11-E11+C11)</f>
        <v/>
      </c>
      <c r="G11" s="12">
        <f>SUMIFS(Cash_Book!$G:$G,Cash_Book!$C:$C,"DUKANDAR",Cash_Book!$D:$D,"RECEIPT",Cash_Book!$E:$E,B11)</f>
        <v/>
      </c>
      <c r="H11" s="12">
        <f>SUMIFS(JV_Entries!$G:$G,JV_Entries!$E:$E,"DUKANDAR",JV_Entries!$F:$F,B11)-SUMIFS(JV_Entries!$G:$G,JV_Entries!$C:$C,"DUKANDAR",JV_Entries!$D:$D,B11)</f>
        <v/>
      </c>
      <c r="I11" s="17">
        <f>IF(B11="","",F11-G11+H11)</f>
        <v/>
      </c>
    </row>
    <row r="12">
      <c r="A12" t="n">
        <v>9</v>
      </c>
      <c r="B12">
        <f>IF(Masters!$J$11="","",Masters!$J$11)</f>
        <v/>
      </c>
      <c r="C12" s="12">
        <f>IF(B12="",0,Masters!$K$11)</f>
        <v/>
      </c>
      <c r="D12" s="12">
        <f>SUMIF(Daily_Sales!$D:$D,B12,Daily_Sales!$G:$G)</f>
        <v/>
      </c>
      <c r="E12" s="12">
        <f>SUMIF(Daily_Sales!$D:$D,B12,Daily_Sales!$H:$H)</f>
        <v/>
      </c>
      <c r="F12" s="9">
        <f>IF(B12="","",D12-E12+C12)</f>
        <v/>
      </c>
      <c r="G12" s="12">
        <f>SUMIFS(Cash_Book!$G:$G,Cash_Book!$C:$C,"DUKANDAR",Cash_Book!$D:$D,"RECEIPT",Cash_Book!$E:$E,B12)</f>
        <v/>
      </c>
      <c r="H12" s="12">
        <f>SUMIFS(JV_Entries!$G:$G,JV_Entries!$E:$E,"DUKANDAR",JV_Entries!$F:$F,B12)-SUMIFS(JV_Entries!$G:$G,JV_Entries!$C:$C,"DUKANDAR",JV_Entries!$D:$D,B12)</f>
        <v/>
      </c>
      <c r="I12" s="17">
        <f>IF(B12="","",F12-G12+H12)</f>
        <v/>
      </c>
    </row>
    <row r="13">
      <c r="A13" t="n">
        <v>10</v>
      </c>
      <c r="B13">
        <f>IF(Masters!$J$12="","",Masters!$J$12)</f>
        <v/>
      </c>
      <c r="C13" s="12">
        <f>IF(B13="",0,Masters!$K$12)</f>
        <v/>
      </c>
      <c r="D13" s="12">
        <f>SUMIF(Daily_Sales!$D:$D,B13,Daily_Sales!$G:$G)</f>
        <v/>
      </c>
      <c r="E13" s="12">
        <f>SUMIF(Daily_Sales!$D:$D,B13,Daily_Sales!$H:$H)</f>
        <v/>
      </c>
      <c r="F13" s="9">
        <f>IF(B13="","",D13-E13+C13)</f>
        <v/>
      </c>
      <c r="G13" s="12">
        <f>SUMIFS(Cash_Book!$G:$G,Cash_Book!$C:$C,"DUKANDAR",Cash_Book!$D:$D,"RECEIPT",Cash_Book!$E:$E,B13)</f>
        <v/>
      </c>
      <c r="H13" s="12">
        <f>SUMIFS(JV_Entries!$G:$G,JV_Entries!$E:$E,"DUKANDAR",JV_Entries!$F:$F,B13)-SUMIFS(JV_Entries!$G:$G,JV_Entries!$C:$C,"DUKANDAR",JV_Entries!$D:$D,B13)</f>
        <v/>
      </c>
      <c r="I13" s="17">
        <f>IF(B13="","",F13-G13+H13)</f>
        <v/>
      </c>
    </row>
    <row r="14">
      <c r="A14" t="n">
        <v>11</v>
      </c>
      <c r="B14">
        <f>IF(Masters!$J$13="","",Masters!$J$13)</f>
        <v/>
      </c>
      <c r="C14" s="12">
        <f>IF(B14="",0,Masters!$K$13)</f>
        <v/>
      </c>
      <c r="D14" s="12">
        <f>SUMIF(Daily_Sales!$D:$D,B14,Daily_Sales!$G:$G)</f>
        <v/>
      </c>
      <c r="E14" s="12">
        <f>SUMIF(Daily_Sales!$D:$D,B14,Daily_Sales!$H:$H)</f>
        <v/>
      </c>
      <c r="F14" s="9">
        <f>IF(B14="","",D14-E14+C14)</f>
        <v/>
      </c>
      <c r="G14" s="12">
        <f>SUMIFS(Cash_Book!$G:$G,Cash_Book!$C:$C,"DUKANDAR",Cash_Book!$D:$D,"RECEIPT",Cash_Book!$E:$E,B14)</f>
        <v/>
      </c>
      <c r="H14" s="12">
        <f>SUMIFS(JV_Entries!$G:$G,JV_Entries!$E:$E,"DUKANDAR",JV_Entries!$F:$F,B14)-SUMIFS(JV_Entries!$G:$G,JV_Entries!$C:$C,"DUKANDAR",JV_Entries!$D:$D,B14)</f>
        <v/>
      </c>
      <c r="I14" s="17">
        <f>IF(B14="","",F14-G14+H14)</f>
        <v/>
      </c>
    </row>
    <row r="15">
      <c r="A15" t="n">
        <v>12</v>
      </c>
      <c r="B15">
        <f>IF(Masters!$J$14="","",Masters!$J$14)</f>
        <v/>
      </c>
      <c r="C15" s="12">
        <f>IF(B15="",0,Masters!$K$14)</f>
        <v/>
      </c>
      <c r="D15" s="12">
        <f>SUMIF(Daily_Sales!$D:$D,B15,Daily_Sales!$G:$G)</f>
        <v/>
      </c>
      <c r="E15" s="12">
        <f>SUMIF(Daily_Sales!$D:$D,B15,Daily_Sales!$H:$H)</f>
        <v/>
      </c>
      <c r="F15" s="9">
        <f>IF(B15="","",D15-E15+C15)</f>
        <v/>
      </c>
      <c r="G15" s="12">
        <f>SUMIFS(Cash_Book!$G:$G,Cash_Book!$C:$C,"DUKANDAR",Cash_Book!$D:$D,"RECEIPT",Cash_Book!$E:$E,B15)</f>
        <v/>
      </c>
      <c r="H15" s="12">
        <f>SUMIFS(JV_Entries!$G:$G,JV_Entries!$E:$E,"DUKANDAR",JV_Entries!$F:$F,B15)-SUMIFS(JV_Entries!$G:$G,JV_Entries!$C:$C,"DUKANDAR",JV_Entries!$D:$D,B15)</f>
        <v/>
      </c>
      <c r="I15" s="17">
        <f>IF(B15="","",F15-G15+H15)</f>
        <v/>
      </c>
    </row>
    <row r="16">
      <c r="A16" t="n">
        <v>13</v>
      </c>
      <c r="B16">
        <f>IF(Masters!$J$15="","",Masters!$J$15)</f>
        <v/>
      </c>
      <c r="C16" s="12">
        <f>IF(B16="",0,Masters!$K$15)</f>
        <v/>
      </c>
      <c r="D16" s="12">
        <f>SUMIF(Daily_Sales!$D:$D,B16,Daily_Sales!$G:$G)</f>
        <v/>
      </c>
      <c r="E16" s="12">
        <f>SUMIF(Daily_Sales!$D:$D,B16,Daily_Sales!$H:$H)</f>
        <v/>
      </c>
      <c r="F16" s="9">
        <f>IF(B16="","",D16-E16+C16)</f>
        <v/>
      </c>
      <c r="G16" s="12">
        <f>SUMIFS(Cash_Book!$G:$G,Cash_Book!$C:$C,"DUKANDAR",Cash_Book!$D:$D,"RECEIPT",Cash_Book!$E:$E,B16)</f>
        <v/>
      </c>
      <c r="H16" s="12">
        <f>SUMIFS(JV_Entries!$G:$G,JV_Entries!$E:$E,"DUKANDAR",JV_Entries!$F:$F,B16)-SUMIFS(JV_Entries!$G:$G,JV_Entries!$C:$C,"DUKANDAR",JV_Entries!$D:$D,B16)</f>
        <v/>
      </c>
      <c r="I16" s="17">
        <f>IF(B16="","",F16-G16+H16)</f>
        <v/>
      </c>
    </row>
    <row r="17">
      <c r="A17" t="n">
        <v>14</v>
      </c>
      <c r="B17">
        <f>IF(Masters!$J$16="","",Masters!$J$16)</f>
        <v/>
      </c>
      <c r="C17" s="12">
        <f>IF(B17="",0,Masters!$K$16)</f>
        <v/>
      </c>
      <c r="D17" s="12">
        <f>SUMIF(Daily_Sales!$D:$D,B17,Daily_Sales!$G:$G)</f>
        <v/>
      </c>
      <c r="E17" s="12">
        <f>SUMIF(Daily_Sales!$D:$D,B17,Daily_Sales!$H:$H)</f>
        <v/>
      </c>
      <c r="F17" s="9">
        <f>IF(B17="","",D17-E17+C17)</f>
        <v/>
      </c>
      <c r="G17" s="12">
        <f>SUMIFS(Cash_Book!$G:$G,Cash_Book!$C:$C,"DUKANDAR",Cash_Book!$D:$D,"RECEIPT",Cash_Book!$E:$E,B17)</f>
        <v/>
      </c>
      <c r="H17" s="12">
        <f>SUMIFS(JV_Entries!$G:$G,JV_Entries!$E:$E,"DUKANDAR",JV_Entries!$F:$F,B17)-SUMIFS(JV_Entries!$G:$G,JV_Entries!$C:$C,"DUKANDAR",JV_Entries!$D:$D,B17)</f>
        <v/>
      </c>
      <c r="I17" s="17">
        <f>IF(B17="","",F17-G17+H17)</f>
        <v/>
      </c>
    </row>
    <row r="18">
      <c r="A18" t="n">
        <v>15</v>
      </c>
      <c r="B18">
        <f>IF(Masters!$J$17="","",Masters!$J$17)</f>
        <v/>
      </c>
      <c r="C18" s="12">
        <f>IF(B18="",0,Masters!$K$17)</f>
        <v/>
      </c>
      <c r="D18" s="12">
        <f>SUMIF(Daily_Sales!$D:$D,B18,Daily_Sales!$G:$G)</f>
        <v/>
      </c>
      <c r="E18" s="12">
        <f>SUMIF(Daily_Sales!$D:$D,B18,Daily_Sales!$H:$H)</f>
        <v/>
      </c>
      <c r="F18" s="9">
        <f>IF(B18="","",D18-E18+C18)</f>
        <v/>
      </c>
      <c r="G18" s="12">
        <f>SUMIFS(Cash_Book!$G:$G,Cash_Book!$C:$C,"DUKANDAR",Cash_Book!$D:$D,"RECEIPT",Cash_Book!$E:$E,B18)</f>
        <v/>
      </c>
      <c r="H18" s="12">
        <f>SUMIFS(JV_Entries!$G:$G,JV_Entries!$E:$E,"DUKANDAR",JV_Entries!$F:$F,B18)-SUMIFS(JV_Entries!$G:$G,JV_Entries!$C:$C,"DUKANDAR",JV_Entries!$D:$D,B18)</f>
        <v/>
      </c>
      <c r="I18" s="17">
        <f>IF(B18="","",F18-G18+H18)</f>
        <v/>
      </c>
    </row>
    <row r="19">
      <c r="A19" t="n">
        <v>16</v>
      </c>
      <c r="B19">
        <f>IF(Masters!$J$18="","",Masters!$J$18)</f>
        <v/>
      </c>
      <c r="C19" s="12">
        <f>IF(B19="",0,Masters!$K$18)</f>
        <v/>
      </c>
      <c r="D19" s="12">
        <f>SUMIF(Daily_Sales!$D:$D,B19,Daily_Sales!$G:$G)</f>
        <v/>
      </c>
      <c r="E19" s="12">
        <f>SUMIF(Daily_Sales!$D:$D,B19,Daily_Sales!$H:$H)</f>
        <v/>
      </c>
      <c r="F19" s="9">
        <f>IF(B19="","",D19-E19+C19)</f>
        <v/>
      </c>
      <c r="G19" s="12">
        <f>SUMIFS(Cash_Book!$G:$G,Cash_Book!$C:$C,"DUKANDAR",Cash_Book!$D:$D,"RECEIPT",Cash_Book!$E:$E,B19)</f>
        <v/>
      </c>
      <c r="H19" s="12">
        <f>SUMIFS(JV_Entries!$G:$G,JV_Entries!$E:$E,"DUKANDAR",JV_Entries!$F:$F,B19)-SUMIFS(JV_Entries!$G:$G,JV_Entries!$C:$C,"DUKANDAR",JV_Entries!$D:$D,B19)</f>
        <v/>
      </c>
      <c r="I19" s="17">
        <f>IF(B19="","",F19-G19+H19)</f>
        <v/>
      </c>
    </row>
    <row r="20">
      <c r="A20" t="n">
        <v>17</v>
      </c>
      <c r="B20">
        <f>IF(Masters!$J$19="","",Masters!$J$19)</f>
        <v/>
      </c>
      <c r="C20" s="12">
        <f>IF(B20="",0,Masters!$K$19)</f>
        <v/>
      </c>
      <c r="D20" s="12">
        <f>SUMIF(Daily_Sales!$D:$D,B20,Daily_Sales!$G:$G)</f>
        <v/>
      </c>
      <c r="E20" s="12">
        <f>SUMIF(Daily_Sales!$D:$D,B20,Daily_Sales!$H:$H)</f>
        <v/>
      </c>
      <c r="F20" s="9">
        <f>IF(B20="","",D20-E20+C20)</f>
        <v/>
      </c>
      <c r="G20" s="12">
        <f>SUMIFS(Cash_Book!$G:$G,Cash_Book!$C:$C,"DUKANDAR",Cash_Book!$D:$D,"RECEIPT",Cash_Book!$E:$E,B20)</f>
        <v/>
      </c>
      <c r="H20" s="12">
        <f>SUMIFS(JV_Entries!$G:$G,JV_Entries!$E:$E,"DUKANDAR",JV_Entries!$F:$F,B20)-SUMIFS(JV_Entries!$G:$G,JV_Entries!$C:$C,"DUKANDAR",JV_Entries!$D:$D,B20)</f>
        <v/>
      </c>
      <c r="I20" s="17">
        <f>IF(B20="","",F20-G20+H20)</f>
        <v/>
      </c>
    </row>
    <row r="21">
      <c r="A21" t="n">
        <v>18</v>
      </c>
      <c r="B21">
        <f>IF(Masters!$J$20="","",Masters!$J$20)</f>
        <v/>
      </c>
      <c r="C21" s="12">
        <f>IF(B21="",0,Masters!$K$20)</f>
        <v/>
      </c>
      <c r="D21" s="12">
        <f>SUMIF(Daily_Sales!$D:$D,B21,Daily_Sales!$G:$G)</f>
        <v/>
      </c>
      <c r="E21" s="12">
        <f>SUMIF(Daily_Sales!$D:$D,B21,Daily_Sales!$H:$H)</f>
        <v/>
      </c>
      <c r="F21" s="9">
        <f>IF(B21="","",D21-E21+C21)</f>
        <v/>
      </c>
      <c r="G21" s="12">
        <f>SUMIFS(Cash_Book!$G:$G,Cash_Book!$C:$C,"DUKANDAR",Cash_Book!$D:$D,"RECEIPT",Cash_Book!$E:$E,B21)</f>
        <v/>
      </c>
      <c r="H21" s="12">
        <f>SUMIFS(JV_Entries!$G:$G,JV_Entries!$E:$E,"DUKANDAR",JV_Entries!$F:$F,B21)-SUMIFS(JV_Entries!$G:$G,JV_Entries!$C:$C,"DUKANDAR",JV_Entries!$D:$D,B21)</f>
        <v/>
      </c>
      <c r="I21" s="17">
        <f>IF(B21="","",F21-G21+H21)</f>
        <v/>
      </c>
    </row>
    <row r="22">
      <c r="A22" t="n">
        <v>19</v>
      </c>
      <c r="B22">
        <f>IF(Masters!$J$21="","",Masters!$J$21)</f>
        <v/>
      </c>
      <c r="C22" s="12">
        <f>IF(B22="",0,Masters!$K$21)</f>
        <v/>
      </c>
      <c r="D22" s="12">
        <f>SUMIF(Daily_Sales!$D:$D,B22,Daily_Sales!$G:$G)</f>
        <v/>
      </c>
      <c r="E22" s="12">
        <f>SUMIF(Daily_Sales!$D:$D,B22,Daily_Sales!$H:$H)</f>
        <v/>
      </c>
      <c r="F22" s="9">
        <f>IF(B22="","",D22-E22+C22)</f>
        <v/>
      </c>
      <c r="G22" s="12">
        <f>SUMIFS(Cash_Book!$G:$G,Cash_Book!$C:$C,"DUKANDAR",Cash_Book!$D:$D,"RECEIPT",Cash_Book!$E:$E,B22)</f>
        <v/>
      </c>
      <c r="H22" s="12">
        <f>SUMIFS(JV_Entries!$G:$G,JV_Entries!$E:$E,"DUKANDAR",JV_Entries!$F:$F,B22)-SUMIFS(JV_Entries!$G:$G,JV_Entries!$C:$C,"DUKANDAR",JV_Entries!$D:$D,B22)</f>
        <v/>
      </c>
      <c r="I22" s="17">
        <f>IF(B22="","",F22-G22+H22)</f>
        <v/>
      </c>
    </row>
    <row r="23">
      <c r="A23" t="n">
        <v>20</v>
      </c>
      <c r="B23">
        <f>IF(Masters!$J$22="","",Masters!$J$22)</f>
        <v/>
      </c>
      <c r="C23" s="12">
        <f>IF(B23="",0,Masters!$K$22)</f>
        <v/>
      </c>
      <c r="D23" s="12">
        <f>SUMIF(Daily_Sales!$D:$D,B23,Daily_Sales!$G:$G)</f>
        <v/>
      </c>
      <c r="E23" s="12">
        <f>SUMIF(Daily_Sales!$D:$D,B23,Daily_Sales!$H:$H)</f>
        <v/>
      </c>
      <c r="F23" s="9">
        <f>IF(B23="","",D23-E23+C23)</f>
        <v/>
      </c>
      <c r="G23" s="12">
        <f>SUMIFS(Cash_Book!$G:$G,Cash_Book!$C:$C,"DUKANDAR",Cash_Book!$D:$D,"RECEIPT",Cash_Book!$E:$E,B23)</f>
        <v/>
      </c>
      <c r="H23" s="12">
        <f>SUMIFS(JV_Entries!$G:$G,JV_Entries!$E:$E,"DUKANDAR",JV_Entries!$F:$F,B23)-SUMIFS(JV_Entries!$G:$G,JV_Entries!$C:$C,"DUKANDAR",JV_Entries!$D:$D,B23)</f>
        <v/>
      </c>
      <c r="I23" s="17">
        <f>IF(B23="","",F23-G23+H23)</f>
        <v/>
      </c>
    </row>
    <row r="24">
      <c r="A24" t="n">
        <v>21</v>
      </c>
      <c r="B24">
        <f>IF(Masters!$J$23="","",Masters!$J$23)</f>
        <v/>
      </c>
      <c r="C24" s="12">
        <f>IF(B24="",0,Masters!$K$23)</f>
        <v/>
      </c>
      <c r="D24" s="12">
        <f>SUMIF(Daily_Sales!$D:$D,B24,Daily_Sales!$G:$G)</f>
        <v/>
      </c>
      <c r="E24" s="12">
        <f>SUMIF(Daily_Sales!$D:$D,B24,Daily_Sales!$H:$H)</f>
        <v/>
      </c>
      <c r="F24" s="9">
        <f>IF(B24="","",D24-E24+C24)</f>
        <v/>
      </c>
      <c r="G24" s="12">
        <f>SUMIFS(Cash_Book!$G:$G,Cash_Book!$C:$C,"DUKANDAR",Cash_Book!$D:$D,"RECEIPT",Cash_Book!$E:$E,B24)</f>
        <v/>
      </c>
      <c r="H24" s="12">
        <f>SUMIFS(JV_Entries!$G:$G,JV_Entries!$E:$E,"DUKANDAR",JV_Entries!$F:$F,B24)-SUMIFS(JV_Entries!$G:$G,JV_Entries!$C:$C,"DUKANDAR",JV_Entries!$D:$D,B24)</f>
        <v/>
      </c>
      <c r="I24" s="17">
        <f>IF(B24="","",F24-G24+H24)</f>
        <v/>
      </c>
    </row>
    <row r="25">
      <c r="A25" t="n">
        <v>22</v>
      </c>
      <c r="B25">
        <f>IF(Masters!$J$24="","",Masters!$J$24)</f>
        <v/>
      </c>
      <c r="C25" s="12">
        <f>IF(B25="",0,Masters!$K$24)</f>
        <v/>
      </c>
      <c r="D25" s="12">
        <f>SUMIF(Daily_Sales!$D:$D,B25,Daily_Sales!$G:$G)</f>
        <v/>
      </c>
      <c r="E25" s="12">
        <f>SUMIF(Daily_Sales!$D:$D,B25,Daily_Sales!$H:$H)</f>
        <v/>
      </c>
      <c r="F25" s="9">
        <f>IF(B25="","",D25-E25+C25)</f>
        <v/>
      </c>
      <c r="G25" s="12">
        <f>SUMIFS(Cash_Book!$G:$G,Cash_Book!$C:$C,"DUKANDAR",Cash_Book!$D:$D,"RECEIPT",Cash_Book!$E:$E,B25)</f>
        <v/>
      </c>
      <c r="H25" s="12">
        <f>SUMIFS(JV_Entries!$G:$G,JV_Entries!$E:$E,"DUKANDAR",JV_Entries!$F:$F,B25)-SUMIFS(JV_Entries!$G:$G,JV_Entries!$C:$C,"DUKANDAR",JV_Entries!$D:$D,B25)</f>
        <v/>
      </c>
      <c r="I25" s="17">
        <f>IF(B25="","",F25-G25+H25)</f>
        <v/>
      </c>
    </row>
    <row r="26">
      <c r="A26" t="n">
        <v>23</v>
      </c>
      <c r="B26">
        <f>IF(Masters!$J$25="","",Masters!$J$25)</f>
        <v/>
      </c>
      <c r="C26" s="12">
        <f>IF(B26="",0,Masters!$K$25)</f>
        <v/>
      </c>
      <c r="D26" s="12">
        <f>SUMIF(Daily_Sales!$D:$D,B26,Daily_Sales!$G:$G)</f>
        <v/>
      </c>
      <c r="E26" s="12">
        <f>SUMIF(Daily_Sales!$D:$D,B26,Daily_Sales!$H:$H)</f>
        <v/>
      </c>
      <c r="F26" s="9">
        <f>IF(B26="","",D26-E26+C26)</f>
        <v/>
      </c>
      <c r="G26" s="12">
        <f>SUMIFS(Cash_Book!$G:$G,Cash_Book!$C:$C,"DUKANDAR",Cash_Book!$D:$D,"RECEIPT",Cash_Book!$E:$E,B26)</f>
        <v/>
      </c>
      <c r="H26" s="12">
        <f>SUMIFS(JV_Entries!$G:$G,JV_Entries!$E:$E,"DUKANDAR",JV_Entries!$F:$F,B26)-SUMIFS(JV_Entries!$G:$G,JV_Entries!$C:$C,"DUKANDAR",JV_Entries!$D:$D,B26)</f>
        <v/>
      </c>
      <c r="I26" s="17">
        <f>IF(B26="","",F26-G26+H26)</f>
        <v/>
      </c>
    </row>
    <row r="27">
      <c r="A27" t="n">
        <v>24</v>
      </c>
      <c r="B27">
        <f>IF(Masters!$J$26="","",Masters!$J$26)</f>
        <v/>
      </c>
      <c r="C27" s="12">
        <f>IF(B27="",0,Masters!$K$26)</f>
        <v/>
      </c>
      <c r="D27" s="12">
        <f>SUMIF(Daily_Sales!$D:$D,B27,Daily_Sales!$G:$G)</f>
        <v/>
      </c>
      <c r="E27" s="12">
        <f>SUMIF(Daily_Sales!$D:$D,B27,Daily_Sales!$H:$H)</f>
        <v/>
      </c>
      <c r="F27" s="9">
        <f>IF(B27="","",D27-E27+C27)</f>
        <v/>
      </c>
      <c r="G27" s="12">
        <f>SUMIFS(Cash_Book!$G:$G,Cash_Book!$C:$C,"DUKANDAR",Cash_Book!$D:$D,"RECEIPT",Cash_Book!$E:$E,B27)</f>
        <v/>
      </c>
      <c r="H27" s="12">
        <f>SUMIFS(JV_Entries!$G:$G,JV_Entries!$E:$E,"DUKANDAR",JV_Entries!$F:$F,B27)-SUMIFS(JV_Entries!$G:$G,JV_Entries!$C:$C,"DUKANDAR",JV_Entries!$D:$D,B27)</f>
        <v/>
      </c>
      <c r="I27" s="17">
        <f>IF(B27="","",F27-G27+H27)</f>
        <v/>
      </c>
    </row>
    <row r="28">
      <c r="A28" t="n">
        <v>25</v>
      </c>
      <c r="B28">
        <f>IF(Masters!$J$27="","",Masters!$J$27)</f>
        <v/>
      </c>
      <c r="C28" s="12">
        <f>IF(B28="",0,Masters!$K$27)</f>
        <v/>
      </c>
      <c r="D28" s="12">
        <f>SUMIF(Daily_Sales!$D:$D,B28,Daily_Sales!$G:$G)</f>
        <v/>
      </c>
      <c r="E28" s="12">
        <f>SUMIF(Daily_Sales!$D:$D,B28,Daily_Sales!$H:$H)</f>
        <v/>
      </c>
      <c r="F28" s="9">
        <f>IF(B28="","",D28-E28+C28)</f>
        <v/>
      </c>
      <c r="G28" s="12">
        <f>SUMIFS(Cash_Book!$G:$G,Cash_Book!$C:$C,"DUKANDAR",Cash_Book!$D:$D,"RECEIPT",Cash_Book!$E:$E,B28)</f>
        <v/>
      </c>
      <c r="H28" s="12">
        <f>SUMIFS(JV_Entries!$G:$G,JV_Entries!$E:$E,"DUKANDAR",JV_Entries!$F:$F,B28)-SUMIFS(JV_Entries!$G:$G,JV_Entries!$C:$C,"DUKANDAR",JV_Entries!$D:$D,B28)</f>
        <v/>
      </c>
      <c r="I28" s="17">
        <f>IF(B28="","",F28-G28+H28)</f>
        <v/>
      </c>
    </row>
    <row r="29">
      <c r="A29" t="n">
        <v>26</v>
      </c>
      <c r="B29">
        <f>IF(Masters!$J$28="","",Masters!$J$28)</f>
        <v/>
      </c>
      <c r="C29" s="12">
        <f>IF(B29="",0,Masters!$K$28)</f>
        <v/>
      </c>
      <c r="D29" s="12">
        <f>SUMIF(Daily_Sales!$D:$D,B29,Daily_Sales!$G:$G)</f>
        <v/>
      </c>
      <c r="E29" s="12">
        <f>SUMIF(Daily_Sales!$D:$D,B29,Daily_Sales!$H:$H)</f>
        <v/>
      </c>
      <c r="F29" s="9">
        <f>IF(B29="","",D29-E29+C29)</f>
        <v/>
      </c>
      <c r="G29" s="12">
        <f>SUMIFS(Cash_Book!$G:$G,Cash_Book!$C:$C,"DUKANDAR",Cash_Book!$D:$D,"RECEIPT",Cash_Book!$E:$E,B29)</f>
        <v/>
      </c>
      <c r="H29" s="12">
        <f>SUMIFS(JV_Entries!$G:$G,JV_Entries!$E:$E,"DUKANDAR",JV_Entries!$F:$F,B29)-SUMIFS(JV_Entries!$G:$G,JV_Entries!$C:$C,"DUKANDAR",JV_Entries!$D:$D,B29)</f>
        <v/>
      </c>
      <c r="I29" s="17">
        <f>IF(B29="","",F29-G29+H29)</f>
        <v/>
      </c>
    </row>
    <row r="30">
      <c r="A30" t="n">
        <v>27</v>
      </c>
      <c r="B30">
        <f>IF(Masters!$J$29="","",Masters!$J$29)</f>
        <v/>
      </c>
      <c r="C30" s="12">
        <f>IF(B30="",0,Masters!$K$29)</f>
        <v/>
      </c>
      <c r="D30" s="12">
        <f>SUMIF(Daily_Sales!$D:$D,B30,Daily_Sales!$G:$G)</f>
        <v/>
      </c>
      <c r="E30" s="12">
        <f>SUMIF(Daily_Sales!$D:$D,B30,Daily_Sales!$H:$H)</f>
        <v/>
      </c>
      <c r="F30" s="9">
        <f>IF(B30="","",D30-E30+C30)</f>
        <v/>
      </c>
      <c r="G30" s="12">
        <f>SUMIFS(Cash_Book!$G:$G,Cash_Book!$C:$C,"DUKANDAR",Cash_Book!$D:$D,"RECEIPT",Cash_Book!$E:$E,B30)</f>
        <v/>
      </c>
      <c r="H30" s="12">
        <f>SUMIFS(JV_Entries!$G:$G,JV_Entries!$E:$E,"DUKANDAR",JV_Entries!$F:$F,B30)-SUMIFS(JV_Entries!$G:$G,JV_Entries!$C:$C,"DUKANDAR",JV_Entries!$D:$D,B30)</f>
        <v/>
      </c>
      <c r="I30" s="17">
        <f>IF(B30="","",F30-G30+H30)</f>
        <v/>
      </c>
    </row>
    <row r="31">
      <c r="A31" t="n">
        <v>28</v>
      </c>
      <c r="B31">
        <f>IF(Masters!$J$30="","",Masters!$J$30)</f>
        <v/>
      </c>
      <c r="C31" s="12">
        <f>IF(B31="",0,Masters!$K$30)</f>
        <v/>
      </c>
      <c r="D31" s="12">
        <f>SUMIF(Daily_Sales!$D:$D,B31,Daily_Sales!$G:$G)</f>
        <v/>
      </c>
      <c r="E31" s="12">
        <f>SUMIF(Daily_Sales!$D:$D,B31,Daily_Sales!$H:$H)</f>
        <v/>
      </c>
      <c r="F31" s="9">
        <f>IF(B31="","",D31-E31+C31)</f>
        <v/>
      </c>
      <c r="G31" s="12">
        <f>SUMIFS(Cash_Book!$G:$G,Cash_Book!$C:$C,"DUKANDAR",Cash_Book!$D:$D,"RECEIPT",Cash_Book!$E:$E,B31)</f>
        <v/>
      </c>
      <c r="H31" s="12">
        <f>SUMIFS(JV_Entries!$G:$G,JV_Entries!$E:$E,"DUKANDAR",JV_Entries!$F:$F,B31)-SUMIFS(JV_Entries!$G:$G,JV_Entries!$C:$C,"DUKANDAR",JV_Entries!$D:$D,B31)</f>
        <v/>
      </c>
      <c r="I31" s="17">
        <f>IF(B31="","",F31-G31+H31)</f>
        <v/>
      </c>
    </row>
    <row r="32">
      <c r="A32" t="n">
        <v>29</v>
      </c>
      <c r="B32">
        <f>IF(Masters!$J$31="","",Masters!$J$31)</f>
        <v/>
      </c>
      <c r="C32" s="12">
        <f>IF(B32="",0,Masters!$K$31)</f>
        <v/>
      </c>
      <c r="D32" s="12">
        <f>SUMIF(Daily_Sales!$D:$D,B32,Daily_Sales!$G:$G)</f>
        <v/>
      </c>
      <c r="E32" s="12">
        <f>SUMIF(Daily_Sales!$D:$D,B32,Daily_Sales!$H:$H)</f>
        <v/>
      </c>
      <c r="F32" s="9">
        <f>IF(B32="","",D32-E32+C32)</f>
        <v/>
      </c>
      <c r="G32" s="12">
        <f>SUMIFS(Cash_Book!$G:$G,Cash_Book!$C:$C,"DUKANDAR",Cash_Book!$D:$D,"RECEIPT",Cash_Book!$E:$E,B32)</f>
        <v/>
      </c>
      <c r="H32" s="12">
        <f>SUMIFS(JV_Entries!$G:$G,JV_Entries!$E:$E,"DUKANDAR",JV_Entries!$F:$F,B32)-SUMIFS(JV_Entries!$G:$G,JV_Entries!$C:$C,"DUKANDAR",JV_Entries!$D:$D,B32)</f>
        <v/>
      </c>
      <c r="I32" s="17">
        <f>IF(B32="","",F32-G32+H32)</f>
        <v/>
      </c>
    </row>
    <row r="33">
      <c r="A33" t="n">
        <v>30</v>
      </c>
      <c r="B33">
        <f>IF(Masters!$J$32="","",Masters!$J$32)</f>
        <v/>
      </c>
      <c r="C33" s="12">
        <f>IF(B33="",0,Masters!$K$32)</f>
        <v/>
      </c>
      <c r="D33" s="12">
        <f>SUMIF(Daily_Sales!$D:$D,B33,Daily_Sales!$G:$G)</f>
        <v/>
      </c>
      <c r="E33" s="12">
        <f>SUMIF(Daily_Sales!$D:$D,B33,Daily_Sales!$H:$H)</f>
        <v/>
      </c>
      <c r="F33" s="9">
        <f>IF(B33="","",D33-E33+C33)</f>
        <v/>
      </c>
      <c r="G33" s="12">
        <f>SUMIFS(Cash_Book!$G:$G,Cash_Book!$C:$C,"DUKANDAR",Cash_Book!$D:$D,"RECEIPT",Cash_Book!$E:$E,B33)</f>
        <v/>
      </c>
      <c r="H33" s="12">
        <f>SUMIFS(JV_Entries!$G:$G,JV_Entries!$E:$E,"DUKANDAR",JV_Entries!$F:$F,B33)-SUMIFS(JV_Entries!$G:$G,JV_Entries!$C:$C,"DUKANDAR",JV_Entries!$D:$D,B33)</f>
        <v/>
      </c>
      <c r="I33" s="17">
        <f>IF(B33="","",F33-G33+H33)</f>
        <v/>
      </c>
    </row>
    <row r="34">
      <c r="A34" t="n">
        <v>31</v>
      </c>
      <c r="B34">
        <f>IF(Masters!$J$33="","",Masters!$J$33)</f>
        <v/>
      </c>
      <c r="C34" s="12">
        <f>IF(B34="",0,Masters!$K$33)</f>
        <v/>
      </c>
      <c r="D34" s="12">
        <f>SUMIF(Daily_Sales!$D:$D,B34,Daily_Sales!$G:$G)</f>
        <v/>
      </c>
      <c r="E34" s="12">
        <f>SUMIF(Daily_Sales!$D:$D,B34,Daily_Sales!$H:$H)</f>
        <v/>
      </c>
      <c r="F34" s="9">
        <f>IF(B34="","",D34-E34+C34)</f>
        <v/>
      </c>
      <c r="G34" s="12">
        <f>SUMIFS(Cash_Book!$G:$G,Cash_Book!$C:$C,"DUKANDAR",Cash_Book!$D:$D,"RECEIPT",Cash_Book!$E:$E,B34)</f>
        <v/>
      </c>
      <c r="H34" s="12">
        <f>SUMIFS(JV_Entries!$G:$G,JV_Entries!$E:$E,"DUKANDAR",JV_Entries!$F:$F,B34)-SUMIFS(JV_Entries!$G:$G,JV_Entries!$C:$C,"DUKANDAR",JV_Entries!$D:$D,B34)</f>
        <v/>
      </c>
      <c r="I34" s="17">
        <f>IF(B34="","",F34-G34+H34)</f>
        <v/>
      </c>
    </row>
    <row r="35">
      <c r="A35" t="n">
        <v>32</v>
      </c>
      <c r="B35">
        <f>IF(Masters!$J$34="","",Masters!$J$34)</f>
        <v/>
      </c>
      <c r="C35" s="12">
        <f>IF(B35="",0,Masters!$K$34)</f>
        <v/>
      </c>
      <c r="D35" s="12">
        <f>SUMIF(Daily_Sales!$D:$D,B35,Daily_Sales!$G:$G)</f>
        <v/>
      </c>
      <c r="E35" s="12">
        <f>SUMIF(Daily_Sales!$D:$D,B35,Daily_Sales!$H:$H)</f>
        <v/>
      </c>
      <c r="F35" s="9">
        <f>IF(B35="","",D35-E35+C35)</f>
        <v/>
      </c>
      <c r="G35" s="12">
        <f>SUMIFS(Cash_Book!$G:$G,Cash_Book!$C:$C,"DUKANDAR",Cash_Book!$D:$D,"RECEIPT",Cash_Book!$E:$E,B35)</f>
        <v/>
      </c>
      <c r="H35" s="12">
        <f>SUMIFS(JV_Entries!$G:$G,JV_Entries!$E:$E,"DUKANDAR",JV_Entries!$F:$F,B35)-SUMIFS(JV_Entries!$G:$G,JV_Entries!$C:$C,"DUKANDAR",JV_Entries!$D:$D,B35)</f>
        <v/>
      </c>
      <c r="I35" s="17">
        <f>IF(B35="","",F35-G35+H35)</f>
        <v/>
      </c>
    </row>
    <row r="36">
      <c r="A36" t="n">
        <v>33</v>
      </c>
      <c r="B36">
        <f>IF(Masters!$J$35="","",Masters!$J$35)</f>
        <v/>
      </c>
      <c r="C36" s="12">
        <f>IF(B36="",0,Masters!$K$35)</f>
        <v/>
      </c>
      <c r="D36" s="12">
        <f>SUMIF(Daily_Sales!$D:$D,B36,Daily_Sales!$G:$G)</f>
        <v/>
      </c>
      <c r="E36" s="12">
        <f>SUMIF(Daily_Sales!$D:$D,B36,Daily_Sales!$H:$H)</f>
        <v/>
      </c>
      <c r="F36" s="9">
        <f>IF(B36="","",D36-E36+C36)</f>
        <v/>
      </c>
      <c r="G36" s="12">
        <f>SUMIFS(Cash_Book!$G:$G,Cash_Book!$C:$C,"DUKANDAR",Cash_Book!$D:$D,"RECEIPT",Cash_Book!$E:$E,B36)</f>
        <v/>
      </c>
      <c r="H36" s="12">
        <f>SUMIFS(JV_Entries!$G:$G,JV_Entries!$E:$E,"DUKANDAR",JV_Entries!$F:$F,B36)-SUMIFS(JV_Entries!$G:$G,JV_Entries!$C:$C,"DUKANDAR",JV_Entries!$D:$D,B36)</f>
        <v/>
      </c>
      <c r="I36" s="17">
        <f>IF(B36="","",F36-G36+H36)</f>
        <v/>
      </c>
    </row>
    <row r="37">
      <c r="A37" t="n">
        <v>34</v>
      </c>
      <c r="B37">
        <f>IF(Masters!$J$36="","",Masters!$J$36)</f>
        <v/>
      </c>
      <c r="C37" s="12">
        <f>IF(B37="",0,Masters!$K$36)</f>
        <v/>
      </c>
      <c r="D37" s="12">
        <f>SUMIF(Daily_Sales!$D:$D,B37,Daily_Sales!$G:$G)</f>
        <v/>
      </c>
      <c r="E37" s="12">
        <f>SUMIF(Daily_Sales!$D:$D,B37,Daily_Sales!$H:$H)</f>
        <v/>
      </c>
      <c r="F37" s="9">
        <f>IF(B37="","",D37-E37+C37)</f>
        <v/>
      </c>
      <c r="G37" s="12">
        <f>SUMIFS(Cash_Book!$G:$G,Cash_Book!$C:$C,"DUKANDAR",Cash_Book!$D:$D,"RECEIPT",Cash_Book!$E:$E,B37)</f>
        <v/>
      </c>
      <c r="H37" s="12">
        <f>SUMIFS(JV_Entries!$G:$G,JV_Entries!$E:$E,"DUKANDAR",JV_Entries!$F:$F,B37)-SUMIFS(JV_Entries!$G:$G,JV_Entries!$C:$C,"DUKANDAR",JV_Entries!$D:$D,B37)</f>
        <v/>
      </c>
      <c r="I37" s="17">
        <f>IF(B37="","",F37-G37+H37)</f>
        <v/>
      </c>
    </row>
    <row r="38">
      <c r="A38" t="n">
        <v>35</v>
      </c>
      <c r="B38">
        <f>IF(Masters!$J$37="","",Masters!$J$37)</f>
        <v/>
      </c>
      <c r="C38" s="12">
        <f>IF(B38="",0,Masters!$K$37)</f>
        <v/>
      </c>
      <c r="D38" s="12">
        <f>SUMIF(Daily_Sales!$D:$D,B38,Daily_Sales!$G:$G)</f>
        <v/>
      </c>
      <c r="E38" s="12">
        <f>SUMIF(Daily_Sales!$D:$D,B38,Daily_Sales!$H:$H)</f>
        <v/>
      </c>
      <c r="F38" s="9">
        <f>IF(B38="","",D38-E38+C38)</f>
        <v/>
      </c>
      <c r="G38" s="12">
        <f>SUMIFS(Cash_Book!$G:$G,Cash_Book!$C:$C,"DUKANDAR",Cash_Book!$D:$D,"RECEIPT",Cash_Book!$E:$E,B38)</f>
        <v/>
      </c>
      <c r="H38" s="12">
        <f>SUMIFS(JV_Entries!$G:$G,JV_Entries!$E:$E,"DUKANDAR",JV_Entries!$F:$F,B38)-SUMIFS(JV_Entries!$G:$G,JV_Entries!$C:$C,"DUKANDAR",JV_Entries!$D:$D,B38)</f>
        <v/>
      </c>
      <c r="I38" s="17">
        <f>IF(B38="","",F38-G38+H38)</f>
        <v/>
      </c>
    </row>
    <row r="39">
      <c r="A39" t="n">
        <v>36</v>
      </c>
      <c r="B39">
        <f>IF(Masters!$J$38="","",Masters!$J$38)</f>
        <v/>
      </c>
      <c r="C39" s="12">
        <f>IF(B39="",0,Masters!$K$38)</f>
        <v/>
      </c>
      <c r="D39" s="12">
        <f>SUMIF(Daily_Sales!$D:$D,B39,Daily_Sales!$G:$G)</f>
        <v/>
      </c>
      <c r="E39" s="12">
        <f>SUMIF(Daily_Sales!$D:$D,B39,Daily_Sales!$H:$H)</f>
        <v/>
      </c>
      <c r="F39" s="9">
        <f>IF(B39="","",D39-E39+C39)</f>
        <v/>
      </c>
      <c r="G39" s="12">
        <f>SUMIFS(Cash_Book!$G:$G,Cash_Book!$C:$C,"DUKANDAR",Cash_Book!$D:$D,"RECEIPT",Cash_Book!$E:$E,B39)</f>
        <v/>
      </c>
      <c r="H39" s="12">
        <f>SUMIFS(JV_Entries!$G:$G,JV_Entries!$E:$E,"DUKANDAR",JV_Entries!$F:$F,B39)-SUMIFS(JV_Entries!$G:$G,JV_Entries!$C:$C,"DUKANDAR",JV_Entries!$D:$D,B39)</f>
        <v/>
      </c>
      <c r="I39" s="17">
        <f>IF(B39="","",F39-G39+H39)</f>
        <v/>
      </c>
    </row>
    <row r="40">
      <c r="A40" t="n">
        <v>37</v>
      </c>
      <c r="B40">
        <f>IF(Masters!$J$39="","",Masters!$J$39)</f>
        <v/>
      </c>
      <c r="C40" s="12">
        <f>IF(B40="",0,Masters!$K$39)</f>
        <v/>
      </c>
      <c r="D40" s="12">
        <f>SUMIF(Daily_Sales!$D:$D,B40,Daily_Sales!$G:$G)</f>
        <v/>
      </c>
      <c r="E40" s="12">
        <f>SUMIF(Daily_Sales!$D:$D,B40,Daily_Sales!$H:$H)</f>
        <v/>
      </c>
      <c r="F40" s="9">
        <f>IF(B40="","",D40-E40+C40)</f>
        <v/>
      </c>
      <c r="G40" s="12">
        <f>SUMIFS(Cash_Book!$G:$G,Cash_Book!$C:$C,"DUKANDAR",Cash_Book!$D:$D,"RECEIPT",Cash_Book!$E:$E,B40)</f>
        <v/>
      </c>
      <c r="H40" s="12">
        <f>SUMIFS(JV_Entries!$G:$G,JV_Entries!$E:$E,"DUKANDAR",JV_Entries!$F:$F,B40)-SUMIFS(JV_Entries!$G:$G,JV_Entries!$C:$C,"DUKANDAR",JV_Entries!$D:$D,B40)</f>
        <v/>
      </c>
      <c r="I40" s="17">
        <f>IF(B40="","",F40-G40+H40)</f>
        <v/>
      </c>
    </row>
    <row r="41">
      <c r="A41" t="n">
        <v>38</v>
      </c>
      <c r="B41">
        <f>IF(Masters!$J$40="","",Masters!$J$40)</f>
        <v/>
      </c>
      <c r="C41" s="12">
        <f>IF(B41="",0,Masters!$K$40)</f>
        <v/>
      </c>
      <c r="D41" s="12">
        <f>SUMIF(Daily_Sales!$D:$D,B41,Daily_Sales!$G:$G)</f>
        <v/>
      </c>
      <c r="E41" s="12">
        <f>SUMIF(Daily_Sales!$D:$D,B41,Daily_Sales!$H:$H)</f>
        <v/>
      </c>
      <c r="F41" s="9">
        <f>IF(B41="","",D41-E41+C41)</f>
        <v/>
      </c>
      <c r="G41" s="12">
        <f>SUMIFS(Cash_Book!$G:$G,Cash_Book!$C:$C,"DUKANDAR",Cash_Book!$D:$D,"RECEIPT",Cash_Book!$E:$E,B41)</f>
        <v/>
      </c>
      <c r="H41" s="12">
        <f>SUMIFS(JV_Entries!$G:$G,JV_Entries!$E:$E,"DUKANDAR",JV_Entries!$F:$F,B41)-SUMIFS(JV_Entries!$G:$G,JV_Entries!$C:$C,"DUKANDAR",JV_Entries!$D:$D,B41)</f>
        <v/>
      </c>
      <c r="I41" s="17">
        <f>IF(B41="","",F41-G41+H41)</f>
        <v/>
      </c>
    </row>
    <row r="42">
      <c r="A42" t="n">
        <v>39</v>
      </c>
      <c r="B42">
        <f>IF(Masters!$J$41="","",Masters!$J$41)</f>
        <v/>
      </c>
      <c r="C42" s="12">
        <f>IF(B42="",0,Masters!$K$41)</f>
        <v/>
      </c>
      <c r="D42" s="12">
        <f>SUMIF(Daily_Sales!$D:$D,B42,Daily_Sales!$G:$G)</f>
        <v/>
      </c>
      <c r="E42" s="12">
        <f>SUMIF(Daily_Sales!$D:$D,B42,Daily_Sales!$H:$H)</f>
        <v/>
      </c>
      <c r="F42" s="9">
        <f>IF(B42="","",D42-E42+C42)</f>
        <v/>
      </c>
      <c r="G42" s="12">
        <f>SUMIFS(Cash_Book!$G:$G,Cash_Book!$C:$C,"DUKANDAR",Cash_Book!$D:$D,"RECEIPT",Cash_Book!$E:$E,B42)</f>
        <v/>
      </c>
      <c r="H42" s="12">
        <f>SUMIFS(JV_Entries!$G:$G,JV_Entries!$E:$E,"DUKANDAR",JV_Entries!$F:$F,B42)-SUMIFS(JV_Entries!$G:$G,JV_Entries!$C:$C,"DUKANDAR",JV_Entries!$D:$D,B42)</f>
        <v/>
      </c>
      <c r="I42" s="17">
        <f>IF(B42="","",F42-G42+H42)</f>
        <v/>
      </c>
    </row>
    <row r="43">
      <c r="A43" t="n">
        <v>40</v>
      </c>
      <c r="B43">
        <f>IF(Masters!$J$42="","",Masters!$J$42)</f>
        <v/>
      </c>
      <c r="C43" s="12">
        <f>IF(B43="",0,Masters!$K$42)</f>
        <v/>
      </c>
      <c r="D43" s="12">
        <f>SUMIF(Daily_Sales!$D:$D,B43,Daily_Sales!$G:$G)</f>
        <v/>
      </c>
      <c r="E43" s="12">
        <f>SUMIF(Daily_Sales!$D:$D,B43,Daily_Sales!$H:$H)</f>
        <v/>
      </c>
      <c r="F43" s="9">
        <f>IF(B43="","",D43-E43+C43)</f>
        <v/>
      </c>
      <c r="G43" s="12">
        <f>SUMIFS(Cash_Book!$G:$G,Cash_Book!$C:$C,"DUKANDAR",Cash_Book!$D:$D,"RECEIPT",Cash_Book!$E:$E,B43)</f>
        <v/>
      </c>
      <c r="H43" s="12">
        <f>SUMIFS(JV_Entries!$G:$G,JV_Entries!$E:$E,"DUKANDAR",JV_Entries!$F:$F,B43)-SUMIFS(JV_Entries!$G:$G,JV_Entries!$C:$C,"DUKANDAR",JV_Entries!$D:$D,B43)</f>
        <v/>
      </c>
      <c r="I43" s="17">
        <f>IF(B43="","",F43-G43+H43)</f>
        <v/>
      </c>
    </row>
    <row r="44">
      <c r="A44" t="n">
        <v>41</v>
      </c>
      <c r="B44">
        <f>IF(Masters!$J$43="","",Masters!$J$43)</f>
        <v/>
      </c>
      <c r="C44" s="12">
        <f>IF(B44="",0,Masters!$K$43)</f>
        <v/>
      </c>
      <c r="D44" s="12">
        <f>SUMIF(Daily_Sales!$D:$D,B44,Daily_Sales!$G:$G)</f>
        <v/>
      </c>
      <c r="E44" s="12">
        <f>SUMIF(Daily_Sales!$D:$D,B44,Daily_Sales!$H:$H)</f>
        <v/>
      </c>
      <c r="F44" s="9">
        <f>IF(B44="","",D44-E44+C44)</f>
        <v/>
      </c>
      <c r="G44" s="12">
        <f>SUMIFS(Cash_Book!$G:$G,Cash_Book!$C:$C,"DUKANDAR",Cash_Book!$D:$D,"RECEIPT",Cash_Book!$E:$E,B44)</f>
        <v/>
      </c>
      <c r="H44" s="12">
        <f>SUMIFS(JV_Entries!$G:$G,JV_Entries!$E:$E,"DUKANDAR",JV_Entries!$F:$F,B44)-SUMIFS(JV_Entries!$G:$G,JV_Entries!$C:$C,"DUKANDAR",JV_Entries!$D:$D,B44)</f>
        <v/>
      </c>
      <c r="I44" s="17">
        <f>IF(B44="","",F44-G44+H44)</f>
        <v/>
      </c>
    </row>
    <row r="45">
      <c r="A45" t="n">
        <v>42</v>
      </c>
      <c r="B45">
        <f>IF(Masters!$J$44="","",Masters!$J$44)</f>
        <v/>
      </c>
      <c r="C45" s="12">
        <f>IF(B45="",0,Masters!$K$44)</f>
        <v/>
      </c>
      <c r="D45" s="12">
        <f>SUMIF(Daily_Sales!$D:$D,B45,Daily_Sales!$G:$G)</f>
        <v/>
      </c>
      <c r="E45" s="12">
        <f>SUMIF(Daily_Sales!$D:$D,B45,Daily_Sales!$H:$H)</f>
        <v/>
      </c>
      <c r="F45" s="9">
        <f>IF(B45="","",D45-E45+C45)</f>
        <v/>
      </c>
      <c r="G45" s="12">
        <f>SUMIFS(Cash_Book!$G:$G,Cash_Book!$C:$C,"DUKANDAR",Cash_Book!$D:$D,"RECEIPT",Cash_Book!$E:$E,B45)</f>
        <v/>
      </c>
      <c r="H45" s="12">
        <f>SUMIFS(JV_Entries!$G:$G,JV_Entries!$E:$E,"DUKANDAR",JV_Entries!$F:$F,B45)-SUMIFS(JV_Entries!$G:$G,JV_Entries!$C:$C,"DUKANDAR",JV_Entries!$D:$D,B45)</f>
        <v/>
      </c>
      <c r="I45" s="17">
        <f>IF(B45="","",F45-G45+H45)</f>
        <v/>
      </c>
    </row>
    <row r="46">
      <c r="A46" t="n">
        <v>43</v>
      </c>
      <c r="B46">
        <f>IF(Masters!$J$45="","",Masters!$J$45)</f>
        <v/>
      </c>
      <c r="C46" s="12">
        <f>IF(B46="",0,Masters!$K$45)</f>
        <v/>
      </c>
      <c r="D46" s="12">
        <f>SUMIF(Daily_Sales!$D:$D,B46,Daily_Sales!$G:$G)</f>
        <v/>
      </c>
      <c r="E46" s="12">
        <f>SUMIF(Daily_Sales!$D:$D,B46,Daily_Sales!$H:$H)</f>
        <v/>
      </c>
      <c r="F46" s="9">
        <f>IF(B46="","",D46-E46+C46)</f>
        <v/>
      </c>
      <c r="G46" s="12">
        <f>SUMIFS(Cash_Book!$G:$G,Cash_Book!$C:$C,"DUKANDAR",Cash_Book!$D:$D,"RECEIPT",Cash_Book!$E:$E,B46)</f>
        <v/>
      </c>
      <c r="H46" s="12">
        <f>SUMIFS(JV_Entries!$G:$G,JV_Entries!$E:$E,"DUKANDAR",JV_Entries!$F:$F,B46)-SUMIFS(JV_Entries!$G:$G,JV_Entries!$C:$C,"DUKANDAR",JV_Entries!$D:$D,B46)</f>
        <v/>
      </c>
      <c r="I46" s="17">
        <f>IF(B46="","",F46-G46+H46)</f>
        <v/>
      </c>
    </row>
    <row r="47">
      <c r="A47" t="n">
        <v>44</v>
      </c>
      <c r="B47">
        <f>IF(Masters!$J$46="","",Masters!$J$46)</f>
        <v/>
      </c>
      <c r="C47" s="12">
        <f>IF(B47="",0,Masters!$K$46)</f>
        <v/>
      </c>
      <c r="D47" s="12">
        <f>SUMIF(Daily_Sales!$D:$D,B47,Daily_Sales!$G:$G)</f>
        <v/>
      </c>
      <c r="E47" s="12">
        <f>SUMIF(Daily_Sales!$D:$D,B47,Daily_Sales!$H:$H)</f>
        <v/>
      </c>
      <c r="F47" s="9">
        <f>IF(B47="","",D47-E47+C47)</f>
        <v/>
      </c>
      <c r="G47" s="12">
        <f>SUMIFS(Cash_Book!$G:$G,Cash_Book!$C:$C,"DUKANDAR",Cash_Book!$D:$D,"RECEIPT",Cash_Book!$E:$E,B47)</f>
        <v/>
      </c>
      <c r="H47" s="12">
        <f>SUMIFS(JV_Entries!$G:$G,JV_Entries!$E:$E,"DUKANDAR",JV_Entries!$F:$F,B47)-SUMIFS(JV_Entries!$G:$G,JV_Entries!$C:$C,"DUKANDAR",JV_Entries!$D:$D,B47)</f>
        <v/>
      </c>
      <c r="I47" s="17">
        <f>IF(B47="","",F47-G47+H47)</f>
        <v/>
      </c>
    </row>
    <row r="48">
      <c r="A48" t="n">
        <v>45</v>
      </c>
      <c r="B48">
        <f>IF(Masters!$J$47="","",Masters!$J$47)</f>
        <v/>
      </c>
      <c r="C48" s="12">
        <f>IF(B48="",0,Masters!$K$47)</f>
        <v/>
      </c>
      <c r="D48" s="12">
        <f>SUMIF(Daily_Sales!$D:$D,B48,Daily_Sales!$G:$G)</f>
        <v/>
      </c>
      <c r="E48" s="12">
        <f>SUMIF(Daily_Sales!$D:$D,B48,Daily_Sales!$H:$H)</f>
        <v/>
      </c>
      <c r="F48" s="9">
        <f>IF(B48="","",D48-E48+C48)</f>
        <v/>
      </c>
      <c r="G48" s="12">
        <f>SUMIFS(Cash_Book!$G:$G,Cash_Book!$C:$C,"DUKANDAR",Cash_Book!$D:$D,"RECEIPT",Cash_Book!$E:$E,B48)</f>
        <v/>
      </c>
      <c r="H48" s="12">
        <f>SUMIFS(JV_Entries!$G:$G,JV_Entries!$E:$E,"DUKANDAR",JV_Entries!$F:$F,B48)-SUMIFS(JV_Entries!$G:$G,JV_Entries!$C:$C,"DUKANDAR",JV_Entries!$D:$D,B48)</f>
        <v/>
      </c>
      <c r="I48" s="17">
        <f>IF(B48="","",F48-G48+H48)</f>
        <v/>
      </c>
    </row>
    <row r="49">
      <c r="A49" t="n">
        <v>46</v>
      </c>
      <c r="B49">
        <f>IF(Masters!$J$48="","",Masters!$J$48)</f>
        <v/>
      </c>
      <c r="C49" s="12">
        <f>IF(B49="",0,Masters!$K$48)</f>
        <v/>
      </c>
      <c r="D49" s="12">
        <f>SUMIF(Daily_Sales!$D:$D,B49,Daily_Sales!$G:$G)</f>
        <v/>
      </c>
      <c r="E49" s="12">
        <f>SUMIF(Daily_Sales!$D:$D,B49,Daily_Sales!$H:$H)</f>
        <v/>
      </c>
      <c r="F49" s="9">
        <f>IF(B49="","",D49-E49+C49)</f>
        <v/>
      </c>
      <c r="G49" s="12">
        <f>SUMIFS(Cash_Book!$G:$G,Cash_Book!$C:$C,"DUKANDAR",Cash_Book!$D:$D,"RECEIPT",Cash_Book!$E:$E,B49)</f>
        <v/>
      </c>
      <c r="H49" s="12">
        <f>SUMIFS(JV_Entries!$G:$G,JV_Entries!$E:$E,"DUKANDAR",JV_Entries!$F:$F,B49)-SUMIFS(JV_Entries!$G:$G,JV_Entries!$C:$C,"DUKANDAR",JV_Entries!$D:$D,B49)</f>
        <v/>
      </c>
      <c r="I49" s="17">
        <f>IF(B49="","",F49-G49+H49)</f>
        <v/>
      </c>
    </row>
    <row r="50">
      <c r="A50" t="n">
        <v>47</v>
      </c>
      <c r="B50">
        <f>IF(Masters!$J$49="","",Masters!$J$49)</f>
        <v/>
      </c>
      <c r="C50" s="12">
        <f>IF(B50="",0,Masters!$K$49)</f>
        <v/>
      </c>
      <c r="D50" s="12">
        <f>SUMIF(Daily_Sales!$D:$D,B50,Daily_Sales!$G:$G)</f>
        <v/>
      </c>
      <c r="E50" s="12">
        <f>SUMIF(Daily_Sales!$D:$D,B50,Daily_Sales!$H:$H)</f>
        <v/>
      </c>
      <c r="F50" s="9">
        <f>IF(B50="","",D50-E50+C50)</f>
        <v/>
      </c>
      <c r="G50" s="12">
        <f>SUMIFS(Cash_Book!$G:$G,Cash_Book!$C:$C,"DUKANDAR",Cash_Book!$D:$D,"RECEIPT",Cash_Book!$E:$E,B50)</f>
        <v/>
      </c>
      <c r="H50" s="12">
        <f>SUMIFS(JV_Entries!$G:$G,JV_Entries!$E:$E,"DUKANDAR",JV_Entries!$F:$F,B50)-SUMIFS(JV_Entries!$G:$G,JV_Entries!$C:$C,"DUKANDAR",JV_Entries!$D:$D,B50)</f>
        <v/>
      </c>
      <c r="I50" s="17">
        <f>IF(B50="","",F50-G50+H50)</f>
        <v/>
      </c>
    </row>
    <row r="51">
      <c r="A51" t="n">
        <v>48</v>
      </c>
      <c r="B51">
        <f>IF(Masters!$J$50="","",Masters!$J$50)</f>
        <v/>
      </c>
      <c r="C51" s="12">
        <f>IF(B51="",0,Masters!$K$50)</f>
        <v/>
      </c>
      <c r="D51" s="12">
        <f>SUMIF(Daily_Sales!$D:$D,B51,Daily_Sales!$G:$G)</f>
        <v/>
      </c>
      <c r="E51" s="12">
        <f>SUMIF(Daily_Sales!$D:$D,B51,Daily_Sales!$H:$H)</f>
        <v/>
      </c>
      <c r="F51" s="9">
        <f>IF(B51="","",D51-E51+C51)</f>
        <v/>
      </c>
      <c r="G51" s="12">
        <f>SUMIFS(Cash_Book!$G:$G,Cash_Book!$C:$C,"DUKANDAR",Cash_Book!$D:$D,"RECEIPT",Cash_Book!$E:$E,B51)</f>
        <v/>
      </c>
      <c r="H51" s="12">
        <f>SUMIFS(JV_Entries!$G:$G,JV_Entries!$E:$E,"DUKANDAR",JV_Entries!$F:$F,B51)-SUMIFS(JV_Entries!$G:$G,JV_Entries!$C:$C,"DUKANDAR",JV_Entries!$D:$D,B51)</f>
        <v/>
      </c>
      <c r="I51" s="17">
        <f>IF(B51="","",F51-G51+H51)</f>
        <v/>
      </c>
    </row>
    <row r="52">
      <c r="A52" t="n">
        <v>49</v>
      </c>
      <c r="B52">
        <f>IF(Masters!$J$51="","",Masters!$J$51)</f>
        <v/>
      </c>
      <c r="C52" s="12">
        <f>IF(B52="",0,Masters!$K$51)</f>
        <v/>
      </c>
      <c r="D52" s="12">
        <f>SUMIF(Daily_Sales!$D:$D,B52,Daily_Sales!$G:$G)</f>
        <v/>
      </c>
      <c r="E52" s="12">
        <f>SUMIF(Daily_Sales!$D:$D,B52,Daily_Sales!$H:$H)</f>
        <v/>
      </c>
      <c r="F52" s="9">
        <f>IF(B52="","",D52-E52+C52)</f>
        <v/>
      </c>
      <c r="G52" s="12">
        <f>SUMIFS(Cash_Book!$G:$G,Cash_Book!$C:$C,"DUKANDAR",Cash_Book!$D:$D,"RECEIPT",Cash_Book!$E:$E,B52)</f>
        <v/>
      </c>
      <c r="H52" s="12">
        <f>SUMIFS(JV_Entries!$G:$G,JV_Entries!$E:$E,"DUKANDAR",JV_Entries!$F:$F,B52)-SUMIFS(JV_Entries!$G:$G,JV_Entries!$C:$C,"DUKANDAR",JV_Entries!$D:$D,B52)</f>
        <v/>
      </c>
      <c r="I52" s="17">
        <f>IF(B52="","",F52-G52+H52)</f>
        <v/>
      </c>
    </row>
    <row r="53">
      <c r="A53" t="n">
        <v>50</v>
      </c>
      <c r="B53">
        <f>IF(Masters!$J$52="","",Masters!$J$52)</f>
        <v/>
      </c>
      <c r="C53" s="12">
        <f>IF(B53="",0,Masters!$K$52)</f>
        <v/>
      </c>
      <c r="D53" s="12">
        <f>SUMIF(Daily_Sales!$D:$D,B53,Daily_Sales!$G:$G)</f>
        <v/>
      </c>
      <c r="E53" s="12">
        <f>SUMIF(Daily_Sales!$D:$D,B53,Daily_Sales!$H:$H)</f>
        <v/>
      </c>
      <c r="F53" s="9">
        <f>IF(B53="","",D53-E53+C53)</f>
        <v/>
      </c>
      <c r="G53" s="12">
        <f>SUMIFS(Cash_Book!$G:$G,Cash_Book!$C:$C,"DUKANDAR",Cash_Book!$D:$D,"RECEIPT",Cash_Book!$E:$E,B53)</f>
        <v/>
      </c>
      <c r="H53" s="12">
        <f>SUMIFS(JV_Entries!$G:$G,JV_Entries!$E:$E,"DUKANDAR",JV_Entries!$F:$F,B53)-SUMIFS(JV_Entries!$G:$G,JV_Entries!$C:$C,"DUKANDAR",JV_Entries!$D:$D,B53)</f>
        <v/>
      </c>
      <c r="I53" s="17">
        <f>IF(B53="","",F53-G53+H53)</f>
        <v/>
      </c>
    </row>
    <row r="54">
      <c r="A54" s="2" t="inlineStr">
        <is>
          <t>TOTAL</t>
        </is>
      </c>
      <c r="B54" t="inlineStr">
        <is>
          <t>PATTI</t>
        </is>
      </c>
      <c r="C54" s="17">
        <f>SUM(C4:C53)</f>
        <v/>
      </c>
      <c r="D54" s="17">
        <f>SUM(D4:D53)</f>
        <v/>
      </c>
      <c r="E54" s="17">
        <f>SUM(E4:E53)</f>
        <v/>
      </c>
      <c r="F54" s="17">
        <f>SUM(F4:F53)</f>
        <v/>
      </c>
      <c r="G54" s="17">
        <f>SUM(G4:G53)</f>
        <v/>
      </c>
      <c r="H54" s="17">
        <f>SUM(H4:H53)</f>
        <v/>
      </c>
      <c r="I54" s="17">
        <f>SUM(I4:I53)</f>
        <v/>
      </c>
    </row>
    <row r="56">
      <c r="E56" s="18" t="inlineStr">
        <is>
          <t>For Balance Sheet:</t>
        </is>
      </c>
    </row>
    <row r="57">
      <c r="F57" t="inlineStr">
        <is>
          <t>Dukandar Receivable (they owe)</t>
        </is>
      </c>
      <c r="I57" s="9">
        <f>SUMIF(I4:I53,"&gt;0",I4:I53)</f>
        <v/>
      </c>
    </row>
    <row r="58">
      <c r="F58" t="inlineStr">
        <is>
          <t>Dukandar Overpaid (we owe)</t>
        </is>
      </c>
      <c r="I58" s="9">
        <f>-SUMIF(I4:I53,"&lt;0",I4:I53)</f>
        <v/>
      </c>
    </row>
  </sheetData>
  <pageMargins left="0.75" right="0.75" top="1" bottom="1" header="0.5" footer="0.5"/>
</worksheet>
</file>

<file path=xl/worksheets/sheet9.xml><?xml version="1.0" encoding="utf-8"?>
<worksheet xmlns="http://schemas.openxmlformats.org/spreadsheetml/2006/main">
  <sheetPr>
    <tabColor rgb="006A1B9A"/>
    <outlinePr summaryBelow="1" summaryRight="1"/>
    <pageSetUpPr/>
  </sheetPr>
  <dimension ref="A1:G40"/>
  <sheetViews>
    <sheetView workbookViewId="0">
      <selection activeCell="A1" sqref="A1"/>
    </sheetView>
  </sheetViews>
  <sheetFormatPr baseColWidth="8" defaultRowHeight="15"/>
  <cols>
    <col width="4" customWidth="1" min="1" max="1"/>
    <col width="26" customWidth="1" min="2" max="2"/>
    <col width="10" customWidth="1" min="3" max="3"/>
    <col width="14" customWidth="1" min="4" max="4"/>
    <col width="14" customWidth="1" min="5" max="5"/>
    <col width="18" customWidth="1" min="6" max="6"/>
    <col width="16" customWidth="1" min="7" max="7"/>
  </cols>
  <sheetData>
    <row r="1">
      <c r="A1" s="1" t="inlineStr">
        <is>
          <t>CAPITAL &amp; LOAN LEDGER (All Investors/Lenders)</t>
        </is>
      </c>
    </row>
    <row r="3">
      <c r="A3" s="15" t="inlineStr">
        <is>
          <t>Sr</t>
        </is>
      </c>
      <c r="B3" s="15" t="inlineStr">
        <is>
          <t>Party Name</t>
        </is>
      </c>
      <c r="C3" s="15" t="inlineStr">
        <is>
          <t>Type</t>
        </is>
      </c>
      <c r="D3" s="15" t="inlineStr">
        <is>
          <t>Opening Bal</t>
        </is>
      </c>
      <c r="E3" s="15" t="inlineStr">
        <is>
          <t>Taken (+)</t>
        </is>
      </c>
      <c r="F3" s="15" t="inlineStr">
        <is>
          <t>Withdrawn/Repaid (-)</t>
        </is>
      </c>
      <c r="G3" s="15" t="inlineStr">
        <is>
          <t>CURRENT BALANCE</t>
        </is>
      </c>
    </row>
    <row r="4">
      <c r="A4" t="n">
        <v>1</v>
      </c>
      <c r="B4">
        <f>IF(Masters!$P$3="","",Masters!$P$3)</f>
        <v/>
      </c>
      <c r="C4">
        <f>IF(B4="","",Masters!$R$3)</f>
        <v/>
      </c>
      <c r="D4" s="12">
        <f>IF(B4="",0,Masters!$Q$3)</f>
        <v/>
      </c>
      <c r="E4" s="12">
        <f>IF(B4="",0,SUMIFS(Cash_Book!$G:$G,Cash_Book!$C:$C,C4,Cash_Book!$D:$D,"TAKEN",Cash_Book!$E:$E,B4)+SUMIFS(Cash_Book!$G:$G,Cash_Book!$C:$C,C4,Cash_Book!$D:$D,"PROFIT_TO_CAP",Cash_Book!$E:$E,B4))</f>
        <v/>
      </c>
      <c r="F4" s="12">
        <f>IF(B4="",0,SUMIFS(Cash_Book!$G:$G,Cash_Book!$C:$C,C4,Cash_Book!$D:$D,"WITHDRAWN",Cash_Book!$E:$E,B4)+SUMIFS(Cash_Book!$G:$G,Cash_Book!$C:$C,C4,Cash_Book!$D:$D,"REPAID",Cash_Book!$E:$E,B4))</f>
        <v/>
      </c>
      <c r="G4" s="13">
        <f>IF(B4="","",D4+E4-F4)</f>
        <v/>
      </c>
    </row>
    <row r="5">
      <c r="A5" t="n">
        <v>2</v>
      </c>
      <c r="B5">
        <f>IF(Masters!$P$4="","",Masters!$P$4)</f>
        <v/>
      </c>
      <c r="C5">
        <f>IF(B5="","",Masters!$R$4)</f>
        <v/>
      </c>
      <c r="D5" s="12">
        <f>IF(B5="",0,Masters!$Q$4)</f>
        <v/>
      </c>
      <c r="E5" s="12">
        <f>IF(B5="",0,SUMIFS(Cash_Book!$G:$G,Cash_Book!$C:$C,C5,Cash_Book!$D:$D,"TAKEN",Cash_Book!$E:$E,B5)+SUMIFS(Cash_Book!$G:$G,Cash_Book!$C:$C,C5,Cash_Book!$D:$D,"PROFIT_TO_CAP",Cash_Book!$E:$E,B5))</f>
        <v/>
      </c>
      <c r="F5" s="12">
        <f>IF(B5="",0,SUMIFS(Cash_Book!$G:$G,Cash_Book!$C:$C,C5,Cash_Book!$D:$D,"WITHDRAWN",Cash_Book!$E:$E,B5)+SUMIFS(Cash_Book!$G:$G,Cash_Book!$C:$C,C5,Cash_Book!$D:$D,"REPAID",Cash_Book!$E:$E,B5))</f>
        <v/>
      </c>
      <c r="G5" s="13">
        <f>IF(B5="","",D5+E5-F5)</f>
        <v/>
      </c>
    </row>
    <row r="6">
      <c r="A6" t="n">
        <v>3</v>
      </c>
      <c r="B6">
        <f>IF(Masters!$P$5="","",Masters!$P$5)</f>
        <v/>
      </c>
      <c r="C6">
        <f>IF(B6="","",Masters!$R$5)</f>
        <v/>
      </c>
      <c r="D6" s="12">
        <f>IF(B6="",0,Masters!$Q$5)</f>
        <v/>
      </c>
      <c r="E6" s="12">
        <f>IF(B6="",0,SUMIFS(Cash_Book!$G:$G,Cash_Book!$C:$C,C6,Cash_Book!$D:$D,"TAKEN",Cash_Book!$E:$E,B6)+SUMIFS(Cash_Book!$G:$G,Cash_Book!$C:$C,C6,Cash_Book!$D:$D,"PROFIT_TO_CAP",Cash_Book!$E:$E,B6))</f>
        <v/>
      </c>
      <c r="F6" s="12">
        <f>IF(B6="",0,SUMIFS(Cash_Book!$G:$G,Cash_Book!$C:$C,C6,Cash_Book!$D:$D,"WITHDRAWN",Cash_Book!$E:$E,B6)+SUMIFS(Cash_Book!$G:$G,Cash_Book!$C:$C,C6,Cash_Book!$D:$D,"REPAID",Cash_Book!$E:$E,B6))</f>
        <v/>
      </c>
      <c r="G6" s="13">
        <f>IF(B6="","",D6+E6-F6)</f>
        <v/>
      </c>
    </row>
    <row r="7">
      <c r="A7" t="n">
        <v>4</v>
      </c>
      <c r="B7">
        <f>IF(Masters!$P$6="","",Masters!$P$6)</f>
        <v/>
      </c>
      <c r="C7">
        <f>IF(B7="","",Masters!$R$6)</f>
        <v/>
      </c>
      <c r="D7" s="12">
        <f>IF(B7="",0,Masters!$Q$6)</f>
        <v/>
      </c>
      <c r="E7" s="12">
        <f>IF(B7="",0,SUMIFS(Cash_Book!$G:$G,Cash_Book!$C:$C,C7,Cash_Book!$D:$D,"TAKEN",Cash_Book!$E:$E,B7)+SUMIFS(Cash_Book!$G:$G,Cash_Book!$C:$C,C7,Cash_Book!$D:$D,"PROFIT_TO_CAP",Cash_Book!$E:$E,B7))</f>
        <v/>
      </c>
      <c r="F7" s="12">
        <f>IF(B7="",0,SUMIFS(Cash_Book!$G:$G,Cash_Book!$C:$C,C7,Cash_Book!$D:$D,"WITHDRAWN",Cash_Book!$E:$E,B7)+SUMIFS(Cash_Book!$G:$G,Cash_Book!$C:$C,C7,Cash_Book!$D:$D,"REPAID",Cash_Book!$E:$E,B7))</f>
        <v/>
      </c>
      <c r="G7" s="13">
        <f>IF(B7="","",D7+E7-F7)</f>
        <v/>
      </c>
    </row>
    <row r="8">
      <c r="A8" t="n">
        <v>5</v>
      </c>
      <c r="B8">
        <f>IF(Masters!$P$7="","",Masters!$P$7)</f>
        <v/>
      </c>
      <c r="C8">
        <f>IF(B8="","",Masters!$R$7)</f>
        <v/>
      </c>
      <c r="D8" s="12">
        <f>IF(B8="",0,Masters!$Q$7)</f>
        <v/>
      </c>
      <c r="E8" s="12">
        <f>IF(B8="",0,SUMIFS(Cash_Book!$G:$G,Cash_Book!$C:$C,C8,Cash_Book!$D:$D,"TAKEN",Cash_Book!$E:$E,B8)+SUMIFS(Cash_Book!$G:$G,Cash_Book!$C:$C,C8,Cash_Book!$D:$D,"PROFIT_TO_CAP",Cash_Book!$E:$E,B8))</f>
        <v/>
      </c>
      <c r="F8" s="12">
        <f>IF(B8="",0,SUMIFS(Cash_Book!$G:$G,Cash_Book!$C:$C,C8,Cash_Book!$D:$D,"WITHDRAWN",Cash_Book!$E:$E,B8)+SUMIFS(Cash_Book!$G:$G,Cash_Book!$C:$C,C8,Cash_Book!$D:$D,"REPAID",Cash_Book!$E:$E,B8))</f>
        <v/>
      </c>
      <c r="G8" s="13">
        <f>IF(B8="","",D8+E8-F8)</f>
        <v/>
      </c>
    </row>
    <row r="9">
      <c r="A9" t="n">
        <v>6</v>
      </c>
      <c r="B9">
        <f>IF(Masters!$P$8="","",Masters!$P$8)</f>
        <v/>
      </c>
      <c r="C9">
        <f>IF(B9="","",Masters!$R$8)</f>
        <v/>
      </c>
      <c r="D9" s="12">
        <f>IF(B9="",0,Masters!$Q$8)</f>
        <v/>
      </c>
      <c r="E9" s="12">
        <f>IF(B9="",0,SUMIFS(Cash_Book!$G:$G,Cash_Book!$C:$C,C9,Cash_Book!$D:$D,"TAKEN",Cash_Book!$E:$E,B9)+SUMIFS(Cash_Book!$G:$G,Cash_Book!$C:$C,C9,Cash_Book!$D:$D,"PROFIT_TO_CAP",Cash_Book!$E:$E,B9))</f>
        <v/>
      </c>
      <c r="F9" s="12">
        <f>IF(B9="",0,SUMIFS(Cash_Book!$G:$G,Cash_Book!$C:$C,C9,Cash_Book!$D:$D,"WITHDRAWN",Cash_Book!$E:$E,B9)+SUMIFS(Cash_Book!$G:$G,Cash_Book!$C:$C,C9,Cash_Book!$D:$D,"REPAID",Cash_Book!$E:$E,B9))</f>
        <v/>
      </c>
      <c r="G9" s="13">
        <f>IF(B9="","",D9+E9-F9)</f>
        <v/>
      </c>
    </row>
    <row r="10">
      <c r="A10" t="n">
        <v>7</v>
      </c>
      <c r="B10">
        <f>IF(Masters!$P$9="","",Masters!$P$9)</f>
        <v/>
      </c>
      <c r="C10">
        <f>IF(B10="","",Masters!$R$9)</f>
        <v/>
      </c>
      <c r="D10" s="12">
        <f>IF(B10="",0,Masters!$Q$9)</f>
        <v/>
      </c>
      <c r="E10" s="12">
        <f>IF(B10="",0,SUMIFS(Cash_Book!$G:$G,Cash_Book!$C:$C,C10,Cash_Book!$D:$D,"TAKEN",Cash_Book!$E:$E,B10)+SUMIFS(Cash_Book!$G:$G,Cash_Book!$C:$C,C10,Cash_Book!$D:$D,"PROFIT_TO_CAP",Cash_Book!$E:$E,B10))</f>
        <v/>
      </c>
      <c r="F10" s="12">
        <f>IF(B10="",0,SUMIFS(Cash_Book!$G:$G,Cash_Book!$C:$C,C10,Cash_Book!$D:$D,"WITHDRAWN",Cash_Book!$E:$E,B10)+SUMIFS(Cash_Book!$G:$G,Cash_Book!$C:$C,C10,Cash_Book!$D:$D,"REPAID",Cash_Book!$E:$E,B10))</f>
        <v/>
      </c>
      <c r="G10" s="13">
        <f>IF(B10="","",D10+E10-F10)</f>
        <v/>
      </c>
    </row>
    <row r="11">
      <c r="A11" t="n">
        <v>8</v>
      </c>
      <c r="B11">
        <f>IF(Masters!$P$10="","",Masters!$P$10)</f>
        <v/>
      </c>
      <c r="C11">
        <f>IF(B11="","",Masters!$R$10)</f>
        <v/>
      </c>
      <c r="D11" s="12">
        <f>IF(B11="",0,Masters!$Q$10)</f>
        <v/>
      </c>
      <c r="E11" s="12">
        <f>IF(B11="",0,SUMIFS(Cash_Book!$G:$G,Cash_Book!$C:$C,C11,Cash_Book!$D:$D,"TAKEN",Cash_Book!$E:$E,B11)+SUMIFS(Cash_Book!$G:$G,Cash_Book!$C:$C,C11,Cash_Book!$D:$D,"PROFIT_TO_CAP",Cash_Book!$E:$E,B11))</f>
        <v/>
      </c>
      <c r="F11" s="12">
        <f>IF(B11="",0,SUMIFS(Cash_Book!$G:$G,Cash_Book!$C:$C,C11,Cash_Book!$D:$D,"WITHDRAWN",Cash_Book!$E:$E,B11)+SUMIFS(Cash_Book!$G:$G,Cash_Book!$C:$C,C11,Cash_Book!$D:$D,"REPAID",Cash_Book!$E:$E,B11))</f>
        <v/>
      </c>
      <c r="G11" s="13">
        <f>IF(B11="","",D11+E11-F11)</f>
        <v/>
      </c>
    </row>
    <row r="12">
      <c r="A12" t="n">
        <v>9</v>
      </c>
      <c r="B12">
        <f>IF(Masters!$P$11="","",Masters!$P$11)</f>
        <v/>
      </c>
      <c r="C12">
        <f>IF(B12="","",Masters!$R$11)</f>
        <v/>
      </c>
      <c r="D12" s="12">
        <f>IF(B12="",0,Masters!$Q$11)</f>
        <v/>
      </c>
      <c r="E12" s="12">
        <f>IF(B12="",0,SUMIFS(Cash_Book!$G:$G,Cash_Book!$C:$C,C12,Cash_Book!$D:$D,"TAKEN",Cash_Book!$E:$E,B12)+SUMIFS(Cash_Book!$G:$G,Cash_Book!$C:$C,C12,Cash_Book!$D:$D,"PROFIT_TO_CAP",Cash_Book!$E:$E,B12))</f>
        <v/>
      </c>
      <c r="F12" s="12">
        <f>IF(B12="",0,SUMIFS(Cash_Book!$G:$G,Cash_Book!$C:$C,C12,Cash_Book!$D:$D,"WITHDRAWN",Cash_Book!$E:$E,B12)+SUMIFS(Cash_Book!$G:$G,Cash_Book!$C:$C,C12,Cash_Book!$D:$D,"REPAID",Cash_Book!$E:$E,B12))</f>
        <v/>
      </c>
      <c r="G12" s="13">
        <f>IF(B12="","",D12+E12-F12)</f>
        <v/>
      </c>
    </row>
    <row r="13">
      <c r="A13" t="n">
        <v>10</v>
      </c>
      <c r="B13">
        <f>IF(Masters!$P$12="","",Masters!$P$12)</f>
        <v/>
      </c>
      <c r="C13">
        <f>IF(B13="","",Masters!$R$12)</f>
        <v/>
      </c>
      <c r="D13" s="12">
        <f>IF(B13="",0,Masters!$Q$12)</f>
        <v/>
      </c>
      <c r="E13" s="12">
        <f>IF(B13="",0,SUMIFS(Cash_Book!$G:$G,Cash_Book!$C:$C,C13,Cash_Book!$D:$D,"TAKEN",Cash_Book!$E:$E,B13)+SUMIFS(Cash_Book!$G:$G,Cash_Book!$C:$C,C13,Cash_Book!$D:$D,"PROFIT_TO_CAP",Cash_Book!$E:$E,B13))</f>
        <v/>
      </c>
      <c r="F13" s="12">
        <f>IF(B13="",0,SUMIFS(Cash_Book!$G:$G,Cash_Book!$C:$C,C13,Cash_Book!$D:$D,"WITHDRAWN",Cash_Book!$E:$E,B13)+SUMIFS(Cash_Book!$G:$G,Cash_Book!$C:$C,C13,Cash_Book!$D:$D,"REPAID",Cash_Book!$E:$E,B13))</f>
        <v/>
      </c>
      <c r="G13" s="13">
        <f>IF(B13="","",D13+E13-F13)</f>
        <v/>
      </c>
    </row>
    <row r="14">
      <c r="A14" t="n">
        <v>11</v>
      </c>
      <c r="B14">
        <f>IF(Masters!$P$13="","",Masters!$P$13)</f>
        <v/>
      </c>
      <c r="C14">
        <f>IF(B14="","",Masters!$R$13)</f>
        <v/>
      </c>
      <c r="D14" s="12">
        <f>IF(B14="",0,Masters!$Q$13)</f>
        <v/>
      </c>
      <c r="E14" s="12">
        <f>IF(B14="",0,SUMIFS(Cash_Book!$G:$G,Cash_Book!$C:$C,C14,Cash_Book!$D:$D,"TAKEN",Cash_Book!$E:$E,B14)+SUMIFS(Cash_Book!$G:$G,Cash_Book!$C:$C,C14,Cash_Book!$D:$D,"PROFIT_TO_CAP",Cash_Book!$E:$E,B14))</f>
        <v/>
      </c>
      <c r="F14" s="12">
        <f>IF(B14="",0,SUMIFS(Cash_Book!$G:$G,Cash_Book!$C:$C,C14,Cash_Book!$D:$D,"WITHDRAWN",Cash_Book!$E:$E,B14)+SUMIFS(Cash_Book!$G:$G,Cash_Book!$C:$C,C14,Cash_Book!$D:$D,"REPAID",Cash_Book!$E:$E,B14))</f>
        <v/>
      </c>
      <c r="G14" s="13">
        <f>IF(B14="","",D14+E14-F14)</f>
        <v/>
      </c>
    </row>
    <row r="15">
      <c r="A15" t="n">
        <v>12</v>
      </c>
      <c r="B15">
        <f>IF(Masters!$P$14="","",Masters!$P$14)</f>
        <v/>
      </c>
      <c r="C15">
        <f>IF(B15="","",Masters!$R$14)</f>
        <v/>
      </c>
      <c r="D15" s="12">
        <f>IF(B15="",0,Masters!$Q$14)</f>
        <v/>
      </c>
      <c r="E15" s="12">
        <f>IF(B15="",0,SUMIFS(Cash_Book!$G:$G,Cash_Book!$C:$C,C15,Cash_Book!$D:$D,"TAKEN",Cash_Book!$E:$E,B15)+SUMIFS(Cash_Book!$G:$G,Cash_Book!$C:$C,C15,Cash_Book!$D:$D,"PROFIT_TO_CAP",Cash_Book!$E:$E,B15))</f>
        <v/>
      </c>
      <c r="F15" s="12">
        <f>IF(B15="",0,SUMIFS(Cash_Book!$G:$G,Cash_Book!$C:$C,C15,Cash_Book!$D:$D,"WITHDRAWN",Cash_Book!$E:$E,B15)+SUMIFS(Cash_Book!$G:$G,Cash_Book!$C:$C,C15,Cash_Book!$D:$D,"REPAID",Cash_Book!$E:$E,B15))</f>
        <v/>
      </c>
      <c r="G15" s="13">
        <f>IF(B15="","",D15+E15-F15)</f>
        <v/>
      </c>
    </row>
    <row r="16">
      <c r="A16" t="n">
        <v>13</v>
      </c>
      <c r="B16">
        <f>IF(Masters!$P$15="","",Masters!$P$15)</f>
        <v/>
      </c>
      <c r="C16">
        <f>IF(B16="","",Masters!$R$15)</f>
        <v/>
      </c>
      <c r="D16" s="12">
        <f>IF(B16="",0,Masters!$Q$15)</f>
        <v/>
      </c>
      <c r="E16" s="12">
        <f>IF(B16="",0,SUMIFS(Cash_Book!$G:$G,Cash_Book!$C:$C,C16,Cash_Book!$D:$D,"TAKEN",Cash_Book!$E:$E,B16)+SUMIFS(Cash_Book!$G:$G,Cash_Book!$C:$C,C16,Cash_Book!$D:$D,"PROFIT_TO_CAP",Cash_Book!$E:$E,B16))</f>
        <v/>
      </c>
      <c r="F16" s="12">
        <f>IF(B16="",0,SUMIFS(Cash_Book!$G:$G,Cash_Book!$C:$C,C16,Cash_Book!$D:$D,"WITHDRAWN",Cash_Book!$E:$E,B16)+SUMIFS(Cash_Book!$G:$G,Cash_Book!$C:$C,C16,Cash_Book!$D:$D,"REPAID",Cash_Book!$E:$E,B16))</f>
        <v/>
      </c>
      <c r="G16" s="13">
        <f>IF(B16="","",D16+E16-F16)</f>
        <v/>
      </c>
    </row>
    <row r="17">
      <c r="A17" t="n">
        <v>14</v>
      </c>
      <c r="B17">
        <f>IF(Masters!$P$16="","",Masters!$P$16)</f>
        <v/>
      </c>
      <c r="C17">
        <f>IF(B17="","",Masters!$R$16)</f>
        <v/>
      </c>
      <c r="D17" s="12">
        <f>IF(B17="",0,Masters!$Q$16)</f>
        <v/>
      </c>
      <c r="E17" s="12">
        <f>IF(B17="",0,SUMIFS(Cash_Book!$G:$G,Cash_Book!$C:$C,C17,Cash_Book!$D:$D,"TAKEN",Cash_Book!$E:$E,B17)+SUMIFS(Cash_Book!$G:$G,Cash_Book!$C:$C,C17,Cash_Book!$D:$D,"PROFIT_TO_CAP",Cash_Book!$E:$E,B17))</f>
        <v/>
      </c>
      <c r="F17" s="12">
        <f>IF(B17="",0,SUMIFS(Cash_Book!$G:$G,Cash_Book!$C:$C,C17,Cash_Book!$D:$D,"WITHDRAWN",Cash_Book!$E:$E,B17)+SUMIFS(Cash_Book!$G:$G,Cash_Book!$C:$C,C17,Cash_Book!$D:$D,"REPAID",Cash_Book!$E:$E,B17))</f>
        <v/>
      </c>
      <c r="G17" s="13">
        <f>IF(B17="","",D17+E17-F17)</f>
        <v/>
      </c>
    </row>
    <row r="18">
      <c r="A18" t="n">
        <v>15</v>
      </c>
      <c r="B18">
        <f>IF(Masters!$P$17="","",Masters!$P$17)</f>
        <v/>
      </c>
      <c r="C18">
        <f>IF(B18="","",Masters!$R$17)</f>
        <v/>
      </c>
      <c r="D18" s="12">
        <f>IF(B18="",0,Masters!$Q$17)</f>
        <v/>
      </c>
      <c r="E18" s="12">
        <f>IF(B18="",0,SUMIFS(Cash_Book!$G:$G,Cash_Book!$C:$C,C18,Cash_Book!$D:$D,"TAKEN",Cash_Book!$E:$E,B18)+SUMIFS(Cash_Book!$G:$G,Cash_Book!$C:$C,C18,Cash_Book!$D:$D,"PROFIT_TO_CAP",Cash_Book!$E:$E,B18))</f>
        <v/>
      </c>
      <c r="F18" s="12">
        <f>IF(B18="",0,SUMIFS(Cash_Book!$G:$G,Cash_Book!$C:$C,C18,Cash_Book!$D:$D,"WITHDRAWN",Cash_Book!$E:$E,B18)+SUMIFS(Cash_Book!$G:$G,Cash_Book!$C:$C,C18,Cash_Book!$D:$D,"REPAID",Cash_Book!$E:$E,B18))</f>
        <v/>
      </c>
      <c r="G18" s="13">
        <f>IF(B18="","",D18+E18-F18)</f>
        <v/>
      </c>
    </row>
    <row r="19">
      <c r="A19" t="n">
        <v>16</v>
      </c>
      <c r="B19">
        <f>IF(Masters!$P$18="","",Masters!$P$18)</f>
        <v/>
      </c>
      <c r="C19">
        <f>IF(B19="","",Masters!$R$18)</f>
        <v/>
      </c>
      <c r="D19" s="12">
        <f>IF(B19="",0,Masters!$Q$18)</f>
        <v/>
      </c>
      <c r="E19" s="12">
        <f>IF(B19="",0,SUMIFS(Cash_Book!$G:$G,Cash_Book!$C:$C,C19,Cash_Book!$D:$D,"TAKEN",Cash_Book!$E:$E,B19)+SUMIFS(Cash_Book!$G:$G,Cash_Book!$C:$C,C19,Cash_Book!$D:$D,"PROFIT_TO_CAP",Cash_Book!$E:$E,B19))</f>
        <v/>
      </c>
      <c r="F19" s="12">
        <f>IF(B19="",0,SUMIFS(Cash_Book!$G:$G,Cash_Book!$C:$C,C19,Cash_Book!$D:$D,"WITHDRAWN",Cash_Book!$E:$E,B19)+SUMIFS(Cash_Book!$G:$G,Cash_Book!$C:$C,C19,Cash_Book!$D:$D,"REPAID",Cash_Book!$E:$E,B19))</f>
        <v/>
      </c>
      <c r="G19" s="13">
        <f>IF(B19="","",D19+E19-F19)</f>
        <v/>
      </c>
    </row>
    <row r="20">
      <c r="A20" t="n">
        <v>17</v>
      </c>
      <c r="B20">
        <f>IF(Masters!$P$19="","",Masters!$P$19)</f>
        <v/>
      </c>
      <c r="C20">
        <f>IF(B20="","",Masters!$R$19)</f>
        <v/>
      </c>
      <c r="D20" s="12">
        <f>IF(B20="",0,Masters!$Q$19)</f>
        <v/>
      </c>
      <c r="E20" s="12">
        <f>IF(B20="",0,SUMIFS(Cash_Book!$G:$G,Cash_Book!$C:$C,C20,Cash_Book!$D:$D,"TAKEN",Cash_Book!$E:$E,B20)+SUMIFS(Cash_Book!$G:$G,Cash_Book!$C:$C,C20,Cash_Book!$D:$D,"PROFIT_TO_CAP",Cash_Book!$E:$E,B20))</f>
        <v/>
      </c>
      <c r="F20" s="12">
        <f>IF(B20="",0,SUMIFS(Cash_Book!$G:$G,Cash_Book!$C:$C,C20,Cash_Book!$D:$D,"WITHDRAWN",Cash_Book!$E:$E,B20)+SUMIFS(Cash_Book!$G:$G,Cash_Book!$C:$C,C20,Cash_Book!$D:$D,"REPAID",Cash_Book!$E:$E,B20))</f>
        <v/>
      </c>
      <c r="G20" s="13">
        <f>IF(B20="","",D20+E20-F20)</f>
        <v/>
      </c>
    </row>
    <row r="21">
      <c r="A21" t="n">
        <v>18</v>
      </c>
      <c r="B21">
        <f>IF(Masters!$P$20="","",Masters!$P$20)</f>
        <v/>
      </c>
      <c r="C21">
        <f>IF(B21="","",Masters!$R$20)</f>
        <v/>
      </c>
      <c r="D21" s="12">
        <f>IF(B21="",0,Masters!$Q$20)</f>
        <v/>
      </c>
      <c r="E21" s="12">
        <f>IF(B21="",0,SUMIFS(Cash_Book!$G:$G,Cash_Book!$C:$C,C21,Cash_Book!$D:$D,"TAKEN",Cash_Book!$E:$E,B21)+SUMIFS(Cash_Book!$G:$G,Cash_Book!$C:$C,C21,Cash_Book!$D:$D,"PROFIT_TO_CAP",Cash_Book!$E:$E,B21))</f>
        <v/>
      </c>
      <c r="F21" s="12">
        <f>IF(B21="",0,SUMIFS(Cash_Book!$G:$G,Cash_Book!$C:$C,C21,Cash_Book!$D:$D,"WITHDRAWN",Cash_Book!$E:$E,B21)+SUMIFS(Cash_Book!$G:$G,Cash_Book!$C:$C,C21,Cash_Book!$D:$D,"REPAID",Cash_Book!$E:$E,B21))</f>
        <v/>
      </c>
      <c r="G21" s="13">
        <f>IF(B21="","",D21+E21-F21)</f>
        <v/>
      </c>
    </row>
    <row r="22">
      <c r="A22" t="n">
        <v>19</v>
      </c>
      <c r="B22">
        <f>IF(Masters!$P$21="","",Masters!$P$21)</f>
        <v/>
      </c>
      <c r="C22">
        <f>IF(B22="","",Masters!$R$21)</f>
        <v/>
      </c>
      <c r="D22" s="12">
        <f>IF(B22="",0,Masters!$Q$21)</f>
        <v/>
      </c>
      <c r="E22" s="12">
        <f>IF(B22="",0,SUMIFS(Cash_Book!$G:$G,Cash_Book!$C:$C,C22,Cash_Book!$D:$D,"TAKEN",Cash_Book!$E:$E,B22)+SUMIFS(Cash_Book!$G:$G,Cash_Book!$C:$C,C22,Cash_Book!$D:$D,"PROFIT_TO_CAP",Cash_Book!$E:$E,B22))</f>
        <v/>
      </c>
      <c r="F22" s="12">
        <f>IF(B22="",0,SUMIFS(Cash_Book!$G:$G,Cash_Book!$C:$C,C22,Cash_Book!$D:$D,"WITHDRAWN",Cash_Book!$E:$E,B22)+SUMIFS(Cash_Book!$G:$G,Cash_Book!$C:$C,C22,Cash_Book!$D:$D,"REPAID",Cash_Book!$E:$E,B22))</f>
        <v/>
      </c>
      <c r="G22" s="13">
        <f>IF(B22="","",D22+E22-F22)</f>
        <v/>
      </c>
    </row>
    <row r="23">
      <c r="A23" t="n">
        <v>20</v>
      </c>
      <c r="B23">
        <f>IF(Masters!$P$22="","",Masters!$P$22)</f>
        <v/>
      </c>
      <c r="C23">
        <f>IF(B23="","",Masters!$R$22)</f>
        <v/>
      </c>
      <c r="D23" s="12">
        <f>IF(B23="",0,Masters!$Q$22)</f>
        <v/>
      </c>
      <c r="E23" s="12">
        <f>IF(B23="",0,SUMIFS(Cash_Book!$G:$G,Cash_Book!$C:$C,C23,Cash_Book!$D:$D,"TAKEN",Cash_Book!$E:$E,B23)+SUMIFS(Cash_Book!$G:$G,Cash_Book!$C:$C,C23,Cash_Book!$D:$D,"PROFIT_TO_CAP",Cash_Book!$E:$E,B23))</f>
        <v/>
      </c>
      <c r="F23" s="12">
        <f>IF(B23="",0,SUMIFS(Cash_Book!$G:$G,Cash_Book!$C:$C,C23,Cash_Book!$D:$D,"WITHDRAWN",Cash_Book!$E:$E,B23)+SUMIFS(Cash_Book!$G:$G,Cash_Book!$C:$C,C23,Cash_Book!$D:$D,"REPAID",Cash_Book!$E:$E,B23))</f>
        <v/>
      </c>
      <c r="G23" s="13">
        <f>IF(B23="","",D23+E23-F23)</f>
        <v/>
      </c>
    </row>
    <row r="24">
      <c r="A24" t="n">
        <v>21</v>
      </c>
      <c r="B24">
        <f>IF(Masters!$P$23="","",Masters!$P$23)</f>
        <v/>
      </c>
      <c r="C24">
        <f>IF(B24="","",Masters!$R$23)</f>
        <v/>
      </c>
      <c r="D24" s="12">
        <f>IF(B24="",0,Masters!$Q$23)</f>
        <v/>
      </c>
      <c r="E24" s="12">
        <f>IF(B24="",0,SUMIFS(Cash_Book!$G:$G,Cash_Book!$C:$C,C24,Cash_Book!$D:$D,"TAKEN",Cash_Book!$E:$E,B24)+SUMIFS(Cash_Book!$G:$G,Cash_Book!$C:$C,C24,Cash_Book!$D:$D,"PROFIT_TO_CAP",Cash_Book!$E:$E,B24))</f>
        <v/>
      </c>
      <c r="F24" s="12">
        <f>IF(B24="",0,SUMIFS(Cash_Book!$G:$G,Cash_Book!$C:$C,C24,Cash_Book!$D:$D,"WITHDRAWN",Cash_Book!$E:$E,B24)+SUMIFS(Cash_Book!$G:$G,Cash_Book!$C:$C,C24,Cash_Book!$D:$D,"REPAID",Cash_Book!$E:$E,B24))</f>
        <v/>
      </c>
      <c r="G24" s="13">
        <f>IF(B24="","",D24+E24-F24)</f>
        <v/>
      </c>
    </row>
    <row r="25">
      <c r="A25" t="n">
        <v>22</v>
      </c>
      <c r="B25">
        <f>IF(Masters!$P$24="","",Masters!$P$24)</f>
        <v/>
      </c>
      <c r="C25">
        <f>IF(B25="","",Masters!$R$24)</f>
        <v/>
      </c>
      <c r="D25" s="12">
        <f>IF(B25="",0,Masters!$Q$24)</f>
        <v/>
      </c>
      <c r="E25" s="12">
        <f>IF(B25="",0,SUMIFS(Cash_Book!$G:$G,Cash_Book!$C:$C,C25,Cash_Book!$D:$D,"TAKEN",Cash_Book!$E:$E,B25)+SUMIFS(Cash_Book!$G:$G,Cash_Book!$C:$C,C25,Cash_Book!$D:$D,"PROFIT_TO_CAP",Cash_Book!$E:$E,B25))</f>
        <v/>
      </c>
      <c r="F25" s="12">
        <f>IF(B25="",0,SUMIFS(Cash_Book!$G:$G,Cash_Book!$C:$C,C25,Cash_Book!$D:$D,"WITHDRAWN",Cash_Book!$E:$E,B25)+SUMIFS(Cash_Book!$G:$G,Cash_Book!$C:$C,C25,Cash_Book!$D:$D,"REPAID",Cash_Book!$E:$E,B25))</f>
        <v/>
      </c>
      <c r="G25" s="13">
        <f>IF(B25="","",D25+E25-F25)</f>
        <v/>
      </c>
    </row>
    <row r="26">
      <c r="A26" t="n">
        <v>23</v>
      </c>
      <c r="B26">
        <f>IF(Masters!$P$25="","",Masters!$P$25)</f>
        <v/>
      </c>
      <c r="C26">
        <f>IF(B26="","",Masters!$R$25)</f>
        <v/>
      </c>
      <c r="D26" s="12">
        <f>IF(B26="",0,Masters!$Q$25)</f>
        <v/>
      </c>
      <c r="E26" s="12">
        <f>IF(B26="",0,SUMIFS(Cash_Book!$G:$G,Cash_Book!$C:$C,C26,Cash_Book!$D:$D,"TAKEN",Cash_Book!$E:$E,B26)+SUMIFS(Cash_Book!$G:$G,Cash_Book!$C:$C,C26,Cash_Book!$D:$D,"PROFIT_TO_CAP",Cash_Book!$E:$E,B26))</f>
        <v/>
      </c>
      <c r="F26" s="12">
        <f>IF(B26="",0,SUMIFS(Cash_Book!$G:$G,Cash_Book!$C:$C,C26,Cash_Book!$D:$D,"WITHDRAWN",Cash_Book!$E:$E,B26)+SUMIFS(Cash_Book!$G:$G,Cash_Book!$C:$C,C26,Cash_Book!$D:$D,"REPAID",Cash_Book!$E:$E,B26))</f>
        <v/>
      </c>
      <c r="G26" s="13">
        <f>IF(B26="","",D26+E26-F26)</f>
        <v/>
      </c>
    </row>
    <row r="27">
      <c r="A27" t="n">
        <v>24</v>
      </c>
      <c r="B27">
        <f>IF(Masters!$P$26="","",Masters!$P$26)</f>
        <v/>
      </c>
      <c r="C27">
        <f>IF(B27="","",Masters!$R$26)</f>
        <v/>
      </c>
      <c r="D27" s="12">
        <f>IF(B27="",0,Masters!$Q$26)</f>
        <v/>
      </c>
      <c r="E27" s="12">
        <f>IF(B27="",0,SUMIFS(Cash_Book!$G:$G,Cash_Book!$C:$C,C27,Cash_Book!$D:$D,"TAKEN",Cash_Book!$E:$E,B27)+SUMIFS(Cash_Book!$G:$G,Cash_Book!$C:$C,C27,Cash_Book!$D:$D,"PROFIT_TO_CAP",Cash_Book!$E:$E,B27))</f>
        <v/>
      </c>
      <c r="F27" s="12">
        <f>IF(B27="",0,SUMIFS(Cash_Book!$G:$G,Cash_Book!$C:$C,C27,Cash_Book!$D:$D,"WITHDRAWN",Cash_Book!$E:$E,B27)+SUMIFS(Cash_Book!$G:$G,Cash_Book!$C:$C,C27,Cash_Book!$D:$D,"REPAID",Cash_Book!$E:$E,B27))</f>
        <v/>
      </c>
      <c r="G27" s="13">
        <f>IF(B27="","",D27+E27-F27)</f>
        <v/>
      </c>
    </row>
    <row r="28">
      <c r="A28" t="n">
        <v>25</v>
      </c>
      <c r="B28">
        <f>IF(Masters!$P$27="","",Masters!$P$27)</f>
        <v/>
      </c>
      <c r="C28">
        <f>IF(B28="","",Masters!$R$27)</f>
        <v/>
      </c>
      <c r="D28" s="12">
        <f>IF(B28="",0,Masters!$Q$27)</f>
        <v/>
      </c>
      <c r="E28" s="12">
        <f>IF(B28="",0,SUMIFS(Cash_Book!$G:$G,Cash_Book!$C:$C,C28,Cash_Book!$D:$D,"TAKEN",Cash_Book!$E:$E,B28)+SUMIFS(Cash_Book!$G:$G,Cash_Book!$C:$C,C28,Cash_Book!$D:$D,"PROFIT_TO_CAP",Cash_Book!$E:$E,B28))</f>
        <v/>
      </c>
      <c r="F28" s="12">
        <f>IF(B28="",0,SUMIFS(Cash_Book!$G:$G,Cash_Book!$C:$C,C28,Cash_Book!$D:$D,"WITHDRAWN",Cash_Book!$E:$E,B28)+SUMIFS(Cash_Book!$G:$G,Cash_Book!$C:$C,C28,Cash_Book!$D:$D,"REPAID",Cash_Book!$E:$E,B28))</f>
        <v/>
      </c>
      <c r="G28" s="13">
        <f>IF(B28="","",D28+E28-F28)</f>
        <v/>
      </c>
    </row>
    <row r="29">
      <c r="A29" t="n">
        <v>26</v>
      </c>
      <c r="B29">
        <f>IF(Masters!$P$28="","",Masters!$P$28)</f>
        <v/>
      </c>
      <c r="C29">
        <f>IF(B29="","",Masters!$R$28)</f>
        <v/>
      </c>
      <c r="D29" s="12">
        <f>IF(B29="",0,Masters!$Q$28)</f>
        <v/>
      </c>
      <c r="E29" s="12">
        <f>IF(B29="",0,SUMIFS(Cash_Book!$G:$G,Cash_Book!$C:$C,C29,Cash_Book!$D:$D,"TAKEN",Cash_Book!$E:$E,B29)+SUMIFS(Cash_Book!$G:$G,Cash_Book!$C:$C,C29,Cash_Book!$D:$D,"PROFIT_TO_CAP",Cash_Book!$E:$E,B29))</f>
        <v/>
      </c>
      <c r="F29" s="12">
        <f>IF(B29="",0,SUMIFS(Cash_Book!$G:$G,Cash_Book!$C:$C,C29,Cash_Book!$D:$D,"WITHDRAWN",Cash_Book!$E:$E,B29)+SUMIFS(Cash_Book!$G:$G,Cash_Book!$C:$C,C29,Cash_Book!$D:$D,"REPAID",Cash_Book!$E:$E,B29))</f>
        <v/>
      </c>
      <c r="G29" s="13">
        <f>IF(B29="","",D29+E29-F29)</f>
        <v/>
      </c>
    </row>
    <row r="30">
      <c r="A30" t="n">
        <v>27</v>
      </c>
      <c r="B30">
        <f>IF(Masters!$P$29="","",Masters!$P$29)</f>
        <v/>
      </c>
      <c r="C30">
        <f>IF(B30="","",Masters!$R$29)</f>
        <v/>
      </c>
      <c r="D30" s="12">
        <f>IF(B30="",0,Masters!$Q$29)</f>
        <v/>
      </c>
      <c r="E30" s="12">
        <f>IF(B30="",0,SUMIFS(Cash_Book!$G:$G,Cash_Book!$C:$C,C30,Cash_Book!$D:$D,"TAKEN",Cash_Book!$E:$E,B30)+SUMIFS(Cash_Book!$G:$G,Cash_Book!$C:$C,C30,Cash_Book!$D:$D,"PROFIT_TO_CAP",Cash_Book!$E:$E,B30))</f>
        <v/>
      </c>
      <c r="F30" s="12">
        <f>IF(B30="",0,SUMIFS(Cash_Book!$G:$G,Cash_Book!$C:$C,C30,Cash_Book!$D:$D,"WITHDRAWN",Cash_Book!$E:$E,B30)+SUMIFS(Cash_Book!$G:$G,Cash_Book!$C:$C,C30,Cash_Book!$D:$D,"REPAID",Cash_Book!$E:$E,B30))</f>
        <v/>
      </c>
      <c r="G30" s="13">
        <f>IF(B30="","",D30+E30-F30)</f>
        <v/>
      </c>
    </row>
    <row r="31">
      <c r="A31" t="n">
        <v>28</v>
      </c>
      <c r="B31">
        <f>IF(Masters!$P$30="","",Masters!$P$30)</f>
        <v/>
      </c>
      <c r="C31">
        <f>IF(B31="","",Masters!$R$30)</f>
        <v/>
      </c>
      <c r="D31" s="12">
        <f>IF(B31="",0,Masters!$Q$30)</f>
        <v/>
      </c>
      <c r="E31" s="12">
        <f>IF(B31="",0,SUMIFS(Cash_Book!$G:$G,Cash_Book!$C:$C,C31,Cash_Book!$D:$D,"TAKEN",Cash_Book!$E:$E,B31)+SUMIFS(Cash_Book!$G:$G,Cash_Book!$C:$C,C31,Cash_Book!$D:$D,"PROFIT_TO_CAP",Cash_Book!$E:$E,B31))</f>
        <v/>
      </c>
      <c r="F31" s="12">
        <f>IF(B31="",0,SUMIFS(Cash_Book!$G:$G,Cash_Book!$C:$C,C31,Cash_Book!$D:$D,"WITHDRAWN",Cash_Book!$E:$E,B31)+SUMIFS(Cash_Book!$G:$G,Cash_Book!$C:$C,C31,Cash_Book!$D:$D,"REPAID",Cash_Book!$E:$E,B31))</f>
        <v/>
      </c>
      <c r="G31" s="13">
        <f>IF(B31="","",D31+E31-F31)</f>
        <v/>
      </c>
    </row>
    <row r="32">
      <c r="A32" t="n">
        <v>29</v>
      </c>
      <c r="B32">
        <f>IF(Masters!$P$31="","",Masters!$P$31)</f>
        <v/>
      </c>
      <c r="C32">
        <f>IF(B32="","",Masters!$R$31)</f>
        <v/>
      </c>
      <c r="D32" s="12">
        <f>IF(B32="",0,Masters!$Q$31)</f>
        <v/>
      </c>
      <c r="E32" s="12">
        <f>IF(B32="",0,SUMIFS(Cash_Book!$G:$G,Cash_Book!$C:$C,C32,Cash_Book!$D:$D,"TAKEN",Cash_Book!$E:$E,B32)+SUMIFS(Cash_Book!$G:$G,Cash_Book!$C:$C,C32,Cash_Book!$D:$D,"PROFIT_TO_CAP",Cash_Book!$E:$E,B32))</f>
        <v/>
      </c>
      <c r="F32" s="12">
        <f>IF(B32="",0,SUMIFS(Cash_Book!$G:$G,Cash_Book!$C:$C,C32,Cash_Book!$D:$D,"WITHDRAWN",Cash_Book!$E:$E,B32)+SUMIFS(Cash_Book!$G:$G,Cash_Book!$C:$C,C32,Cash_Book!$D:$D,"REPAID",Cash_Book!$E:$E,B32))</f>
        <v/>
      </c>
      <c r="G32" s="13">
        <f>IF(B32="","",D32+E32-F32)</f>
        <v/>
      </c>
    </row>
    <row r="33">
      <c r="A33" t="n">
        <v>30</v>
      </c>
      <c r="B33">
        <f>IF(Masters!$P$32="","",Masters!$P$32)</f>
        <v/>
      </c>
      <c r="C33">
        <f>IF(B33="","",Masters!$R$32)</f>
        <v/>
      </c>
      <c r="D33" s="12">
        <f>IF(B33="",0,Masters!$Q$32)</f>
        <v/>
      </c>
      <c r="E33" s="12">
        <f>IF(B33="",0,SUMIFS(Cash_Book!$G:$G,Cash_Book!$C:$C,C33,Cash_Book!$D:$D,"TAKEN",Cash_Book!$E:$E,B33)+SUMIFS(Cash_Book!$G:$G,Cash_Book!$C:$C,C33,Cash_Book!$D:$D,"PROFIT_TO_CAP",Cash_Book!$E:$E,B33))</f>
        <v/>
      </c>
      <c r="F33" s="12">
        <f>IF(B33="",0,SUMIFS(Cash_Book!$G:$G,Cash_Book!$C:$C,C33,Cash_Book!$D:$D,"WITHDRAWN",Cash_Book!$E:$E,B33)+SUMIFS(Cash_Book!$G:$G,Cash_Book!$C:$C,C33,Cash_Book!$D:$D,"REPAID",Cash_Book!$E:$E,B33))</f>
        <v/>
      </c>
      <c r="G33" s="13">
        <f>IF(B33="","",D33+E33-F33)</f>
        <v/>
      </c>
    </row>
    <row r="35">
      <c r="A35" s="2" t="inlineStr">
        <is>
          <t>TOTALS BY TYPE:</t>
        </is>
      </c>
    </row>
    <row r="36">
      <c r="B36" t="inlineStr">
        <is>
          <t>CAPITAL Total</t>
        </is>
      </c>
      <c r="D36" s="12">
        <f>SUMIF(C4:C33,"CAPITAL",D4:D33)</f>
        <v/>
      </c>
      <c r="E36" s="12">
        <f>SUMIF(C4:C33,"CAPITAL",E4:E33)</f>
        <v/>
      </c>
      <c r="F36" s="12">
        <f>SUMIF(C4:C33,"CAPITAL",F4:F33)</f>
        <v/>
      </c>
      <c r="G36" s="13">
        <f>SUMIF(C4:C33,"CAPITAL",G4:G33)</f>
        <v/>
      </c>
    </row>
    <row r="37">
      <c r="B37" t="inlineStr">
        <is>
          <t>LOAN Total</t>
        </is>
      </c>
      <c r="D37" s="12">
        <f>SUMIF(C4:C33,"LOAN",D4:D33)</f>
        <v/>
      </c>
      <c r="E37" s="12">
        <f>SUMIF(C4:C33,"LOAN",E4:E33)</f>
        <v/>
      </c>
      <c r="F37" s="12">
        <f>SUMIF(C4:C33,"LOAN",F4:F33)</f>
        <v/>
      </c>
      <c r="G37" s="13">
        <f>SUMIF(C4:C33,"LOAN",G4:G33)</f>
        <v/>
      </c>
    </row>
    <row r="38">
      <c r="B38" t="inlineStr">
        <is>
          <t>AMANAT Total</t>
        </is>
      </c>
      <c r="D38" s="12">
        <f>SUMIF(C4:C33,"AMANAT",D4:D33)</f>
        <v/>
      </c>
      <c r="E38" s="12">
        <f>SUMIF(C4:C33,"AMANAT",E4:E33)</f>
        <v/>
      </c>
      <c r="F38" s="12">
        <f>SUMIF(C4:C33,"AMANAT",F4:F33)</f>
        <v/>
      </c>
      <c r="G38" s="13">
        <f>SUMIF(C4:C33,"AMANAT",G4:G33)</f>
        <v/>
      </c>
    </row>
    <row r="40">
      <c r="B40" s="2" t="inlineStr">
        <is>
          <t>GRAND TOTAL</t>
        </is>
      </c>
      <c r="D40" s="17">
        <f>SUM(D36:D38)</f>
        <v/>
      </c>
      <c r="G40" s="19">
        <f>SUM(G36:G38)</f>
        <v/>
      </c>
    </row>
  </sheetData>
  <pageMargins left="0.75" right="0.75" top="1" bottom="1" header="0.5" footer="0.5"/>
</worksheet>
</file>

<file path=xl/worksheets/sheet10.xml><?xml version="1.0" encoding="utf-8"?>
<worksheet xmlns="http://schemas.openxmlformats.org/spreadsheetml/2006/main">
  <sheetPr>
    <tabColor rgb="00795548"/>
    <outlinePr summaryBelow="1" summaryRight="1"/>
    <pageSetUpPr/>
  </sheetPr>
  <dimension ref="A1:B33"/>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5" t="n"/>
    </row>
    <row r="5">
      <c r="A5" t="inlineStr"/>
    </row>
    <row r="6">
      <c r="A6" s="2" t="inlineStr">
        <is>
          <t>A. SALES</t>
        </is>
      </c>
    </row>
    <row r="7">
      <c r="A7" t="inlineStr">
        <is>
          <t>Qty Sold</t>
        </is>
      </c>
      <c r="B7" s="16">
        <f>SUMIF(Daily_Sales!$C:$C,$B$3,Daily_Sales!$E:$E)</f>
        <v/>
      </c>
    </row>
    <row r="8">
      <c r="A8" t="inlineStr">
        <is>
          <t>Gross Sales</t>
        </is>
      </c>
      <c r="B8" s="12">
        <f>SUMIF(Daily_Sales!$C:$C,$B$3,Daily_Sales!$G:$G)</f>
        <v/>
      </c>
    </row>
    <row r="9">
      <c r="A9" t="inlineStr"/>
    </row>
    <row r="10">
      <c r="A10" s="2" t="inlineStr">
        <is>
          <t>B. DEDUCTIONS</t>
        </is>
      </c>
    </row>
    <row r="11">
      <c r="A11" t="inlineStr">
        <is>
          <t>Commission Type</t>
        </is>
      </c>
      <c r="B11" s="16">
        <f>IF(IFERROR(INDEX(Masters!$D:$D,MATCH($B$3,Masters!$B:$B,0)),"")="","% Based","Flat ₹/Goat")</f>
        <v/>
      </c>
    </row>
    <row r="12">
      <c r="A12" t="inlineStr">
        <is>
          <t>Commission %</t>
        </is>
      </c>
      <c r="B12" s="16">
        <f>IFERROR(INDEX(Masters!$C:$C,MATCH($B$3,Masters!$B:$B,0)),4)</f>
        <v/>
      </c>
    </row>
    <row r="13">
      <c r="A13" t="inlineStr">
        <is>
          <t>Flat ₹/Goat</t>
        </is>
      </c>
      <c r="B13" s="12">
        <f>IFERROR(INDEX(Masters!$D:$D,MATCH($B$3,Masters!$B:$B,0)),"")</f>
        <v/>
      </c>
    </row>
    <row r="14">
      <c r="A14" t="inlineStr">
        <is>
          <t>Commission Amt</t>
        </is>
      </c>
      <c r="B14" s="12">
        <f>IF(B14&lt;&gt;"",B14*B8,B9*B13/100)</f>
        <v/>
      </c>
    </row>
    <row r="15">
      <c r="A15" t="inlineStr">
        <is>
          <t>KK (Fixed)</t>
        </is>
      </c>
      <c r="B15" s="12">
        <f>IF(B8&gt;0,Masters!$Y$3,0)</f>
        <v/>
      </c>
    </row>
    <row r="16">
      <c r="A16" t="inlineStr">
        <is>
          <t>JB</t>
        </is>
      </c>
      <c r="B16" s="12">
        <f>B8*Masters!$Y$4</f>
        <v/>
      </c>
    </row>
    <row r="17">
      <c r="A17" t="inlineStr">
        <is>
          <t>Motor</t>
        </is>
      </c>
      <c r="B17" s="12">
        <f>SUMIFS(Cash_Book!$G:$G,Cash_Book!$C:$C,"BEPAARI",Cash_Book!$D:$D,"MOTOR",Cash_Book!$E:$E,$B$3)</f>
        <v/>
      </c>
    </row>
    <row r="18">
      <c r="A18" t="inlineStr">
        <is>
          <t>Bhussa</t>
        </is>
      </c>
      <c r="B18" s="12">
        <f>SUMIFS(Cash_Book!$G:$G,Cash_Book!$C:$C,"BEPAARI",Cash_Book!$D:$D,"BHUSSA",Cash_Book!$E:$E,$B$3)</f>
        <v/>
      </c>
    </row>
    <row r="19">
      <c r="A19" t="inlineStr">
        <is>
          <t>Gawali</t>
        </is>
      </c>
      <c r="B19" s="12">
        <f>SUMIFS(Cash_Book!$G:$G,Cash_Book!$C:$C,"BEPAARI",Cash_Book!$D:$D,"GAWALI",Cash_Book!$E:$E,$B$3)</f>
        <v/>
      </c>
    </row>
    <row r="20">
      <c r="A20" t="inlineStr">
        <is>
          <t>Cash/Adv</t>
        </is>
      </c>
      <c r="B20" s="12">
        <f>SUMIFS(Cash_Book!$G:$G,Cash_Book!$C:$C,"BEPAARI",Cash_Book!$D:$D,"CASH_ADV",Cash_Book!$E:$E,$B$3)</f>
        <v/>
      </c>
    </row>
    <row r="21">
      <c r="A21" s="2" t="inlineStr">
        <is>
          <t>TOTAL DEDUCTIONS</t>
        </is>
      </c>
      <c r="B21" s="13">
        <f>SUM(B15:B21)</f>
        <v/>
      </c>
    </row>
    <row r="22">
      <c r="A22" t="inlineStr"/>
    </row>
    <row r="23">
      <c r="A23" s="2" t="inlineStr">
        <is>
          <t>C. CALCULATION</t>
        </is>
      </c>
    </row>
    <row r="24">
      <c r="A24" t="inlineStr">
        <is>
          <t>Gross Sales</t>
        </is>
      </c>
      <c r="B24" s="12">
        <f>B9</f>
        <v/>
      </c>
    </row>
    <row r="25">
      <c r="A25" t="inlineStr">
        <is>
          <t>(-) Deductions</t>
        </is>
      </c>
      <c r="B25" s="12">
        <f>B22</f>
        <v/>
      </c>
    </row>
    <row r="26">
      <c r="A26" t="inlineStr">
        <is>
          <t>(+) Opening Bal</t>
        </is>
      </c>
      <c r="B26" s="12">
        <f>IFERROR(INDEX(Masters!$E:$E,MATCH($B$3,Masters!$B:$B,0)),0)</f>
        <v/>
      </c>
    </row>
    <row r="27">
      <c r="A27" s="2" t="inlineStr">
        <is>
          <t>NET PAYABLE</t>
        </is>
      </c>
      <c r="B27" s="13">
        <f>B25-B26+B27</f>
        <v/>
      </c>
    </row>
    <row r="28">
      <c r="A28" t="inlineStr"/>
    </row>
    <row r="29">
      <c r="A29" s="2" t="inlineStr">
        <is>
          <t>D. PAYMENTS &amp; ADJUSTMENTS</t>
        </is>
      </c>
    </row>
    <row r="30">
      <c r="A30" t="inlineStr">
        <is>
          <t>Payments Made</t>
        </is>
      </c>
      <c r="B30" s="12">
        <f>SUMIFS(Cash_Book!$G:$G,Cash_Book!$C:$C,"BEPAARI",Cash_Book!$D:$D,"PAYMENT",Cash_Book!$E:$E,$B$3)</f>
        <v/>
      </c>
    </row>
    <row r="31">
      <c r="A31" t="inlineStr">
        <is>
          <t>JV Adjustments</t>
        </is>
      </c>
      <c r="B31" s="12">
        <f>SUMIFS(JV_Entries!$G:$G,JV_Entries!$C:$C,"BEPAARI",JV_Entries!$D:$D,$B$3)-SUMIFS(JV_Entries!$G:$G,JV_Entries!$E:$E,"BEPAARI",JV_Entries!$F:$F,$B$3)</f>
        <v/>
      </c>
    </row>
    <row r="32">
      <c r="A32" t="inlineStr"/>
    </row>
    <row r="33">
      <c r="A33" s="2" t="inlineStr">
        <is>
          <t>BALANCE DUE</t>
        </is>
      </c>
      <c r="B33" s="13">
        <f>B28-B31+B32</f>
        <v/>
      </c>
    </row>
  </sheetData>
  <dataValidations count="1">
    <dataValidation sqref="B3" showDropDown="0" showInputMessage="0" showErrorMessage="0" allowBlank="0" type="list">
      <formula1>BEPAARI</formula1>
    </dataValidation>
  </dataValidations>
  <pageMargins left="0.75" right="0.75" top="1" bottom="1" header="0.5" footer="0.5"/>
</worksheet>
</file>

<file path=xl/worksheets/sheet11.xml><?xml version="1.0" encoding="utf-8"?>
<worksheet xmlns="http://schemas.openxmlformats.org/spreadsheetml/2006/main">
  <sheetPr>
    <tabColor rgb="00607D8B"/>
    <outlinePr summaryBelow="1" summaryRight="1"/>
    <pageSetUpPr/>
  </sheetPr>
  <dimension ref="A1:E74"/>
  <sheetViews>
    <sheetView workbookViewId="0">
      <selection activeCell="A1" sqref="A1"/>
    </sheetView>
  </sheetViews>
  <sheetFormatPr baseColWidth="8" defaultRowHeight="15"/>
  <cols>
    <col width="30" customWidth="1" min="1" max="1"/>
    <col width="14" customWidth="1" min="2" max="2"/>
    <col width="3" customWidth="1" min="3" max="3"/>
    <col width="30" customWidth="1" min="4" max="4"/>
    <col width="14" customWidth="1" min="5" max="5"/>
  </cols>
  <sheetData>
    <row r="1">
      <c r="A1" s="1" t="inlineStr">
        <is>
          <t>BALANCE SHEET</t>
        </is>
      </c>
      <c r="E1" s="20" t="inlineStr">
        <is>
          <t>LIABILITIES = ASSETS</t>
        </is>
      </c>
    </row>
    <row r="3">
      <c r="A3" s="21" t="inlineStr">
        <is>
          <t>LIABILITIES (We Owe)</t>
        </is>
      </c>
      <c r="D3" s="22" t="inlineStr">
        <is>
          <t>ASSETS (We Have / Owed to Us)</t>
        </is>
      </c>
    </row>
    <row r="4">
      <c r="A4" s="23" t="inlineStr">
        <is>
          <t>Particulars</t>
        </is>
      </c>
      <c r="B4" s="23" t="inlineStr">
        <is>
          <t>Amount</t>
        </is>
      </c>
      <c r="D4" s="24" t="inlineStr">
        <is>
          <t>Particulars</t>
        </is>
      </c>
      <c r="E4" s="24" t="inlineStr">
        <is>
          <t>Amount</t>
        </is>
      </c>
    </row>
    <row r="5">
      <c r="A5" s="2" t="inlineStr">
        <is>
          <t>CAPITAL:</t>
        </is>
      </c>
      <c r="D5" s="2" t="inlineStr">
        <is>
          <t>CASH BALANCE</t>
        </is>
      </c>
      <c r="E5" s="9">
        <f>Cash_Book!J10</f>
        <v/>
      </c>
    </row>
    <row r="6">
      <c r="A6">
        <f>IF(AND(Capital_Loan_Ledger!B4&lt;&gt;"",Capital_Loan_Ledger!C4="CAPITAL"),"  "&amp;Capital_Loan_Ledger!B4,"")</f>
        <v/>
      </c>
      <c r="B6" s="12">
        <f>IF(A6="","",Capital_Loan_Ledger!G4)</f>
        <v/>
      </c>
    </row>
    <row r="7">
      <c r="A7">
        <f>IF(AND(Capital_Loan_Ledger!B5&lt;&gt;"",Capital_Loan_Ledger!C5="CAPITAL"),"  "&amp;Capital_Loan_Ledger!B5,"")</f>
        <v/>
      </c>
      <c r="B7" s="12">
        <f>IF(A7="","",Capital_Loan_Ledger!G5)</f>
        <v/>
      </c>
      <c r="D7" s="2" t="inlineStr">
        <is>
          <t>BANK BALANCE</t>
        </is>
      </c>
      <c r="E7" s="9">
        <f>Cash_Book!J11</f>
        <v/>
      </c>
    </row>
    <row r="8">
      <c r="A8">
        <f>IF(AND(Capital_Loan_Ledger!B6&lt;&gt;"",Capital_Loan_Ledger!C6="CAPITAL"),"  "&amp;Capital_Loan_Ledger!B6,"")</f>
        <v/>
      </c>
      <c r="B8" s="12">
        <f>IF(A8="","",Capital_Loan_Ledger!G6)</f>
        <v/>
      </c>
    </row>
    <row r="9">
      <c r="A9">
        <f>IF(AND(Capital_Loan_Ledger!B7&lt;&gt;"",Capital_Loan_Ledger!C7="CAPITAL"),"  "&amp;Capital_Loan_Ledger!B7,"")</f>
        <v/>
      </c>
      <c r="B9" s="12">
        <f>IF(A9="","",Capital_Loan_Ledger!G7)</f>
        <v/>
      </c>
      <c r="D9" s="2" t="inlineStr">
        <is>
          <t>PATTI (Dukandar Receivable):</t>
        </is>
      </c>
    </row>
    <row r="10">
      <c r="A10">
        <f>IF(AND(Capital_Loan_Ledger!B8&lt;&gt;"",Capital_Loan_Ledger!C8="CAPITAL"),"  "&amp;Capital_Loan_Ledger!B8,"")</f>
        <v/>
      </c>
      <c r="B10" s="12">
        <f>IF(A10="","",Capital_Loan_Ledger!G8)</f>
        <v/>
      </c>
      <c r="D10" t="inlineStr">
        <is>
          <t xml:space="preserve">  Net Receivable</t>
        </is>
      </c>
      <c r="E10" s="12">
        <f>Dukandar_Ledger!I57</f>
        <v/>
      </c>
    </row>
    <row r="11">
      <c r="A11">
        <f>IF(AND(Capital_Loan_Ledger!B9&lt;&gt;"",Capital_Loan_Ledger!C9="CAPITAL"),"  "&amp;Capital_Loan_Ledger!B9,"")</f>
        <v/>
      </c>
      <c r="B11" s="12">
        <f>IF(A11="","",Capital_Loan_Ledger!G9)</f>
        <v/>
      </c>
    </row>
    <row r="12">
      <c r="A12">
        <f>IF(AND(Capital_Loan_Ledger!B10&lt;&gt;"",Capital_Loan_Ledger!C10="CAPITAL"),"  "&amp;Capital_Loan_Ledger!B10,"")</f>
        <v/>
      </c>
      <c r="B12" s="12">
        <f>IF(A12="","",Capital_Loan_Ledger!G10)</f>
        <v/>
      </c>
      <c r="D12" s="2" t="inlineStr">
        <is>
          <t>BEPAARI ADVANCES (Overpaid):</t>
        </is>
      </c>
    </row>
    <row r="13">
      <c r="A13">
        <f>IF(AND(Capital_Loan_Ledger!B11&lt;&gt;"",Capital_Loan_Ledger!C11="CAPITAL"),"  "&amp;Capital_Loan_Ledger!B11,"")</f>
        <v/>
      </c>
      <c r="B13" s="12">
        <f>IF(A13="","",Capital_Loan_Ledger!G11)</f>
        <v/>
      </c>
      <c r="D13" t="inlineStr">
        <is>
          <t xml:space="preserve">  Total Overpaid</t>
        </is>
      </c>
      <c r="E13" s="12">
        <f>Bepaari_Ledger!T59</f>
        <v/>
      </c>
    </row>
    <row r="14">
      <c r="A14">
        <f>IF(AND(Capital_Loan_Ledger!B12&lt;&gt;"",Capital_Loan_Ledger!C12="CAPITAL"),"  "&amp;Capital_Loan_Ledger!B12,"")</f>
        <v/>
      </c>
      <c r="B14" s="12">
        <f>IF(A14="","",Capital_Loan_Ledger!G12)</f>
        <v/>
      </c>
    </row>
    <row r="15">
      <c r="A15">
        <f>IF(AND(Capital_Loan_Ledger!B13&lt;&gt;"",Capital_Loan_Ledger!C13="CAPITAL"),"  "&amp;Capital_Loan_Ledger!B13,"")</f>
        <v/>
      </c>
      <c r="B15" s="12">
        <f>IF(A15="","",Capital_Loan_Ledger!G13)</f>
        <v/>
      </c>
      <c r="D15" s="2" t="inlineStr">
        <is>
          <t>ADVANCES GIVEN (Net):</t>
        </is>
      </c>
    </row>
    <row r="16">
      <c r="A16" s="2" t="inlineStr">
        <is>
          <t xml:space="preserve">  Capital Total</t>
        </is>
      </c>
      <c r="B16" s="9">
        <f>Capital_Loan_Ledger!G36</f>
        <v/>
      </c>
      <c r="D16" t="inlineStr">
        <is>
          <t xml:space="preserve">  Given - Received</t>
        </is>
      </c>
      <c r="E16" s="12">
        <f>SUMIFS(Cash_Book!$G:$G,Cash_Book!$D:$D,"GIVEN")-SUMIFS(Cash_Book!$G:$G,Cash_Book!$D:$D,"RECEIVED")</f>
        <v/>
      </c>
    </row>
    <row r="18">
      <c r="A18" s="2" t="inlineStr">
        <is>
          <t>LOANS:</t>
        </is>
      </c>
      <c r="D18" s="2" t="inlineStr">
        <is>
          <t>MANDI EXPENSES:</t>
        </is>
      </c>
    </row>
    <row r="19">
      <c r="A19">
        <f>IF(AND(Capital_Loan_Ledger!B4&lt;&gt;"",Capital_Loan_Ledger!C4="LOAN"),"  "&amp;Capital_Loan_Ledger!B4,"")</f>
        <v/>
      </c>
      <c r="B19" s="12">
        <f>IF(A19="","",Capital_Loan_Ledger!G4)</f>
        <v/>
      </c>
      <c r="D19" t="inlineStr">
        <is>
          <t xml:space="preserve">  B/F</t>
        </is>
      </c>
      <c r="E19" s="12">
        <f>Masters!$Y$16</f>
        <v/>
      </c>
    </row>
    <row r="20">
      <c r="A20">
        <f>IF(AND(Capital_Loan_Ledger!B5&lt;&gt;"",Capital_Loan_Ledger!C5="LOAN"),"  "&amp;Capital_Loan_Ledger!B5,"")</f>
        <v/>
      </c>
      <c r="B20" s="12">
        <f>IF(A20="","",Capital_Loan_Ledger!G5)</f>
        <v/>
      </c>
      <c r="D20" t="inlineStr">
        <is>
          <t xml:space="preserve">  (+) Current Period</t>
        </is>
      </c>
      <c r="E20" s="12">
        <f>SUMIFS(Cash_Book!$G:$G,Cash_Book!$D:$D,"MANDI")+SUMIFS(Cash_Book!$G:$G,Cash_Book!$D:$D,"TRAVEL")+SUMIFS(Cash_Book!$G:$G,Cash_Book!$D:$D,"FOOD")+SUMIFS(Cash_Book!$G:$G,Cash_Book!$D:$D,"SALARY")+SUMIFS(Cash_Book!$G:$G,Cash_Book!$D:$D,"MISC")+SUMIFS(Cash_Book!$G:$G,Cash_Book!$D:$D,"OTHER")</f>
        <v/>
      </c>
    </row>
    <row r="21">
      <c r="A21">
        <f>IF(AND(Capital_Loan_Ledger!B6&lt;&gt;"",Capital_Loan_Ledger!C6="LOAN"),"  "&amp;Capital_Loan_Ledger!B6,"")</f>
        <v/>
      </c>
      <c r="B21" s="12">
        <f>IF(A21="","",Capital_Loan_Ledger!G6)</f>
        <v/>
      </c>
      <c r="D21" s="2" t="inlineStr">
        <is>
          <t xml:space="preserve">  Mandi Exp Total</t>
        </is>
      </c>
      <c r="E21" s="9">
        <f>E19+E20</f>
        <v/>
      </c>
    </row>
    <row r="22">
      <c r="A22">
        <f>IF(AND(Capital_Loan_Ledger!B7&lt;&gt;"",Capital_Loan_Ledger!C7="LOAN"),"  "&amp;Capital_Loan_Ledger!B7,"")</f>
        <v/>
      </c>
      <c r="B22" s="12">
        <f>IF(A22="","",Capital_Loan_Ledger!G7)</f>
        <v/>
      </c>
    </row>
    <row r="23">
      <c r="A23">
        <f>IF(AND(Capital_Loan_Ledger!B8&lt;&gt;"",Capital_Loan_Ledger!C8="LOAN"),"  "&amp;Capital_Loan_Ledger!B8,"")</f>
        <v/>
      </c>
      <c r="B23" s="12">
        <f>IF(A23="","",Capital_Loan_Ledger!G8)</f>
        <v/>
      </c>
      <c r="D23" s="2" t="inlineStr">
        <is>
          <t>BF DISCOUNT:</t>
        </is>
      </c>
    </row>
    <row r="24">
      <c r="A24">
        <f>IF(AND(Capital_Loan_Ledger!B9&lt;&gt;"",Capital_Loan_Ledger!C9="LOAN"),"  "&amp;Capital_Loan_Ledger!B9,"")</f>
        <v/>
      </c>
      <c r="B24" s="12">
        <f>IF(A24="","",Capital_Loan_Ledger!G9)</f>
        <v/>
      </c>
      <c r="D24" t="inlineStr">
        <is>
          <t xml:space="preserve">  B/F</t>
        </is>
      </c>
      <c r="E24" s="12">
        <f>Masters!$Y$17</f>
        <v/>
      </c>
    </row>
    <row r="25">
      <c r="A25">
        <f>IF(AND(Capital_Loan_Ledger!B10&lt;&gt;"",Capital_Loan_Ledger!C10="LOAN"),"  "&amp;Capital_Loan_Ledger!B10,"")</f>
        <v/>
      </c>
      <c r="B25" s="12">
        <f>IF(A25="","",Capital_Loan_Ledger!G10)</f>
        <v/>
      </c>
      <c r="D25" t="inlineStr">
        <is>
          <t xml:space="preserve">  (+) Current Period</t>
        </is>
      </c>
      <c r="E25" s="12">
        <f>SUMIFS(Cash_Book!$G:$G,Cash_Book!$D:$D,"BF_DISC")</f>
        <v/>
      </c>
    </row>
    <row r="26">
      <c r="A26">
        <f>IF(AND(Capital_Loan_Ledger!B11&lt;&gt;"",Capital_Loan_Ledger!C11="LOAN"),"  "&amp;Capital_Loan_Ledger!B11,"")</f>
        <v/>
      </c>
      <c r="B26" s="12">
        <f>IF(A26="","",Capital_Loan_Ledger!G11)</f>
        <v/>
      </c>
      <c r="D26" s="2" t="inlineStr">
        <is>
          <t xml:space="preserve">  BF Discount Total</t>
        </is>
      </c>
      <c r="E26" s="9">
        <f>E24+E25</f>
        <v/>
      </c>
    </row>
    <row r="27">
      <c r="A27">
        <f>IF(AND(Capital_Loan_Ledger!B12&lt;&gt;"",Capital_Loan_Ledger!C12="LOAN"),"  "&amp;Capital_Loan_Ledger!B12,"")</f>
        <v/>
      </c>
      <c r="B27" s="12">
        <f>IF(A27="","",Capital_Loan_Ledger!G12)</f>
        <v/>
      </c>
    </row>
    <row r="28">
      <c r="A28">
        <f>IF(AND(Capital_Loan_Ledger!B13&lt;&gt;"",Capital_Loan_Ledger!C13="LOAN"),"  "&amp;Capital_Loan_Ledger!B13,"")</f>
        <v/>
      </c>
      <c r="B28" s="12">
        <f>IF(A28="","",Capital_Loan_Ledger!G13)</f>
        <v/>
      </c>
      <c r="D28" s="2" t="inlineStr">
        <is>
          <t>MHN PERSONAL (Drawings):</t>
        </is>
      </c>
    </row>
    <row r="29">
      <c r="A29" s="2" t="inlineStr">
        <is>
          <t xml:space="preserve">  Loans Total</t>
        </is>
      </c>
      <c r="B29" s="9">
        <f>Capital_Loan_Ledger!G37</f>
        <v/>
      </c>
      <c r="D29" t="inlineStr">
        <is>
          <t xml:space="preserve">  B/F</t>
        </is>
      </c>
      <c r="E29" s="12">
        <f>Masters!$Y$18</f>
        <v/>
      </c>
    </row>
    <row r="30">
      <c r="D30" t="inlineStr">
        <is>
          <t xml:space="preserve">  (+) Paid to MHN</t>
        </is>
      </c>
      <c r="E30" s="12">
        <f>SUMIFS(Cash_Book!$G:$G,Cash_Book!$D:$D,"MHN_PERSONAL")</f>
        <v/>
      </c>
    </row>
    <row r="31">
      <c r="A31" s="2" t="inlineStr">
        <is>
          <t>AMANAT:</t>
        </is>
      </c>
      <c r="D31" t="inlineStr">
        <is>
          <t xml:space="preserve">  (-) Adjusted</t>
        </is>
      </c>
      <c r="E31" s="12">
        <f>-SUMIFS(Cash_Book!$G:$G,Cash_Book!$D:$D,"ADJUSTED")</f>
        <v/>
      </c>
    </row>
    <row r="32">
      <c r="A32">
        <f>IF(AND(Capital_Loan_Ledger!B4&lt;&gt;"",Capital_Loan_Ledger!C4="AMANAT"),"  "&amp;Capital_Loan_Ledger!B4,"")</f>
        <v/>
      </c>
      <c r="B32" s="12">
        <f>IF(A32="","",Capital_Loan_Ledger!G4)</f>
        <v/>
      </c>
      <c r="D32" s="2" t="inlineStr">
        <is>
          <t xml:space="preserve">  MHN Personal Total</t>
        </is>
      </c>
      <c r="E32" s="9">
        <f>E29+E30+E31</f>
        <v/>
      </c>
    </row>
    <row r="33">
      <c r="A33">
        <f>IF(AND(Capital_Loan_Ledger!B5&lt;&gt;"",Capital_Loan_Ledger!C5="AMANAT"),"  "&amp;Capital_Loan_Ledger!B5,"")</f>
        <v/>
      </c>
      <c r="B33" s="12">
        <f>IF(A33="","",Capital_Loan_Ledger!G5)</f>
        <v/>
      </c>
    </row>
    <row r="34">
      <c r="A34">
        <f>IF(AND(Capital_Loan_Ledger!B6&lt;&gt;"",Capital_Loan_Ledger!C6="AMANAT"),"  "&amp;Capital_Loan_Ledger!B6,"")</f>
        <v/>
      </c>
      <c r="B34" s="12">
        <f>IF(A34="","",Capital_Loan_Ledger!G6)</f>
        <v/>
      </c>
    </row>
    <row r="35">
      <c r="A35">
        <f>IF(AND(Capital_Loan_Ledger!B7&lt;&gt;"",Capital_Loan_Ledger!C7="AMANAT"),"  "&amp;Capital_Loan_Ledger!B7,"")</f>
        <v/>
      </c>
      <c r="B35" s="12">
        <f>IF(A35="","",Capital_Loan_Ledger!G7)</f>
        <v/>
      </c>
    </row>
    <row r="36">
      <c r="A36">
        <f>IF(AND(Capital_Loan_Ledger!B8&lt;&gt;"",Capital_Loan_Ledger!C8="AMANAT"),"  "&amp;Capital_Loan_Ledger!B8,"")</f>
        <v/>
      </c>
      <c r="B36" s="12">
        <f>IF(A36="","",Capital_Loan_Ledger!G8)</f>
        <v/>
      </c>
    </row>
    <row r="37">
      <c r="A37">
        <f>IF(AND(Capital_Loan_Ledger!B9&lt;&gt;"",Capital_Loan_Ledger!C9="AMANAT"),"  "&amp;Capital_Loan_Ledger!B9,"")</f>
        <v/>
      </c>
      <c r="B37" s="12">
        <f>IF(A37="","",Capital_Loan_Ledger!G9)</f>
        <v/>
      </c>
    </row>
    <row r="38">
      <c r="A38">
        <f>IF(AND(Capital_Loan_Ledger!B10&lt;&gt;"",Capital_Loan_Ledger!C10="AMANAT"),"  "&amp;Capital_Loan_Ledger!B10,"")</f>
        <v/>
      </c>
      <c r="B38" s="12">
        <f>IF(A38="","",Capital_Loan_Ledger!G10)</f>
        <v/>
      </c>
    </row>
    <row r="39">
      <c r="A39">
        <f>IF(AND(Capital_Loan_Ledger!B11&lt;&gt;"",Capital_Loan_Ledger!C11="AMANAT"),"  "&amp;Capital_Loan_Ledger!B11,"")</f>
        <v/>
      </c>
      <c r="B39" s="12">
        <f>IF(A39="","",Capital_Loan_Ledger!G11)</f>
        <v/>
      </c>
    </row>
    <row r="40">
      <c r="A40">
        <f>IF(AND(Capital_Loan_Ledger!B12&lt;&gt;"",Capital_Loan_Ledger!C12="AMANAT"),"  "&amp;Capital_Loan_Ledger!B12,"")</f>
        <v/>
      </c>
      <c r="B40" s="12">
        <f>IF(A40="","",Capital_Loan_Ledger!G12)</f>
        <v/>
      </c>
    </row>
    <row r="41">
      <c r="A41">
        <f>IF(AND(Capital_Loan_Ledger!B13&lt;&gt;"",Capital_Loan_Ledger!C13="AMANAT"),"  "&amp;Capital_Loan_Ledger!B13,"")</f>
        <v/>
      </c>
      <c r="B41" s="12">
        <f>IF(A41="","",Capital_Loan_Ledger!G13)</f>
        <v/>
      </c>
    </row>
    <row r="42">
      <c r="A42" s="2" t="inlineStr">
        <is>
          <t xml:space="preserve">  Amanat Total</t>
        </is>
      </c>
      <c r="B42" s="9">
        <f>Capital_Loan_Ledger!G38</f>
        <v/>
      </c>
    </row>
    <row r="44">
      <c r="A44" s="2" t="inlineStr">
        <is>
          <t>BEPAARI PAYABLES:</t>
        </is>
      </c>
    </row>
    <row r="45">
      <c r="A45" t="inlineStr">
        <is>
          <t xml:space="preserve">  Net Payable</t>
        </is>
      </c>
      <c r="B45" s="12">
        <f>Bepaari_Ledger!T58</f>
        <v/>
      </c>
    </row>
    <row r="47">
      <c r="A47" s="2" t="inlineStr">
        <is>
          <t>DUKANDAR ADVANCES (Overpaid):</t>
        </is>
      </c>
    </row>
    <row r="48">
      <c r="A48" t="inlineStr">
        <is>
          <t xml:space="preserve">  Total Overpaid</t>
        </is>
      </c>
      <c r="B48" s="12">
        <f>Dukandar_Ledger!I58</f>
        <v/>
      </c>
    </row>
    <row r="50">
      <c r="A50" s="2" t="inlineStr">
        <is>
          <t>COMMISSION:</t>
        </is>
      </c>
    </row>
    <row r="51">
      <c r="A51" t="inlineStr">
        <is>
          <t xml:space="preserve">  B/F</t>
        </is>
      </c>
      <c r="B51" s="12">
        <f>Masters!$Y$13</f>
        <v/>
      </c>
    </row>
    <row r="52">
      <c r="A52" t="inlineStr">
        <is>
          <t xml:space="preserve">  (+) Earned (Net)</t>
        </is>
      </c>
      <c r="B52" s="12">
        <f>Bepaari_Ledger!H55-Dukandar_Ledger!E54</f>
        <v/>
      </c>
    </row>
    <row r="53">
      <c r="A53" t="inlineStr">
        <is>
          <t xml:space="preserve">  (-) Withdrawn</t>
        </is>
      </c>
      <c r="B53" s="12">
        <f>-SUMIFS(Cash_Book!$G:$G,Cash_Book!$D:$D,"COMM_WITHDRAW")</f>
        <v/>
      </c>
    </row>
    <row r="54">
      <c r="A54" s="2" t="inlineStr">
        <is>
          <t xml:space="preserve">  Commission Balance</t>
        </is>
      </c>
      <c r="B54" s="9">
        <f>B51+B52+B53</f>
        <v/>
      </c>
    </row>
    <row r="56">
      <c r="A56" s="2" t="inlineStr">
        <is>
          <t>JB:</t>
        </is>
      </c>
    </row>
    <row r="57">
      <c r="A57" t="inlineStr">
        <is>
          <t xml:space="preserve">  B/F</t>
        </is>
      </c>
      <c r="B57" s="12">
        <f>Masters!$Y$10</f>
        <v/>
      </c>
    </row>
    <row r="58">
      <c r="A58" t="inlineStr">
        <is>
          <t xml:space="preserve">  (+) Collected</t>
        </is>
      </c>
      <c r="B58" s="12">
        <f>Bepaari_Ledger!J55</f>
        <v/>
      </c>
    </row>
    <row r="59">
      <c r="A59" t="inlineStr">
        <is>
          <t xml:space="preserve">  (-) Paid to Market</t>
        </is>
      </c>
      <c r="B59" s="12">
        <f>-SUMIFS(Cash_Book!$G:$G,Cash_Book!$D:$D,"JB_PAID")</f>
        <v/>
      </c>
    </row>
    <row r="60">
      <c r="A60" t="inlineStr">
        <is>
          <t xml:space="preserve">  (-) Withdrawn</t>
        </is>
      </c>
      <c r="B60" s="12">
        <f>-SUMIFS(Cash_Book!$G:$G,Cash_Book!$D:$D,"JB_WITHDRAW")</f>
        <v/>
      </c>
    </row>
    <row r="61">
      <c r="A61" s="2" t="inlineStr">
        <is>
          <t xml:space="preserve">  JB Balance</t>
        </is>
      </c>
      <c r="B61" s="9">
        <f>B57+B58+B59+B60</f>
        <v/>
      </c>
    </row>
    <row r="63">
      <c r="A63" s="2" t="inlineStr">
        <is>
          <t>KK:</t>
        </is>
      </c>
    </row>
    <row r="64">
      <c r="A64" t="inlineStr">
        <is>
          <t xml:space="preserve">  B/F</t>
        </is>
      </c>
      <c r="B64" s="12">
        <f>Masters!$Y$11</f>
        <v/>
      </c>
    </row>
    <row r="65">
      <c r="A65" t="inlineStr">
        <is>
          <t xml:space="preserve">  (+) Collected</t>
        </is>
      </c>
      <c r="B65" s="12">
        <f>Bepaari_Ledger!I55</f>
        <v/>
      </c>
    </row>
    <row r="66">
      <c r="A66" t="inlineStr">
        <is>
          <t xml:space="preserve">  (-) Withdrawn</t>
        </is>
      </c>
      <c r="B66" s="12">
        <f>-SUMIFS(Cash_Book!$G:$G,Cash_Book!$D:$D,"KK_WITHDRAW")</f>
        <v/>
      </c>
    </row>
    <row r="67">
      <c r="A67" s="2" t="inlineStr">
        <is>
          <t xml:space="preserve">  KK Balance</t>
        </is>
      </c>
      <c r="B67" s="9">
        <f>B64+B65+B66</f>
        <v/>
      </c>
    </row>
    <row r="69">
      <c r="A69" s="2" t="inlineStr">
        <is>
          <t>ZAKAT PAYABLE:</t>
        </is>
      </c>
    </row>
    <row r="70">
      <c r="A70" t="inlineStr">
        <is>
          <t xml:space="preserve">  B/F + Provision - Paid</t>
        </is>
      </c>
      <c r="B70" s="12">
        <f>Masters!$Y$12+SUMIFS(Cash_Book!$G:$G,Cash_Book!$D:$D,"PROVISION")-SUMIFS(Cash_Book!$G:$G,Cash_Book!$D:$D,"PAID")</f>
        <v/>
      </c>
    </row>
    <row r="72">
      <c r="A72" s="25" t="inlineStr">
        <is>
          <t>TOTAL LIABILITIES</t>
        </is>
      </c>
      <c r="B72" s="19">
        <f>B16+B29+B42+B45+B48+B54+B61+B67+B70</f>
        <v/>
      </c>
      <c r="D72" s="25" t="inlineStr">
        <is>
          <t>TOTAL ASSETS</t>
        </is>
      </c>
      <c r="E72" s="19">
        <f>E5+E7+E10+E13+E16+E21+E26+E32</f>
        <v/>
      </c>
    </row>
    <row r="74">
      <c r="A74" s="26" t="inlineStr">
        <is>
          <t>DIFFERENCE (Should be 0)</t>
        </is>
      </c>
      <c r="B74" s="27">
        <f>B72-E72</f>
        <v/>
      </c>
    </row>
  </sheetData>
  <pageMargins left="0.75" right="0.75" top="1" bottom="1" header="0.5" footer="0.5"/>
</worksheet>
</file>

<file path=xl/worksheets/sheet12.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2" t="inlineStr">
        <is>
          <t>GROSS SALES</t>
        </is>
      </c>
      <c r="B3" s="12">
        <f>Bepaari_Ledger!F55</f>
        <v/>
      </c>
    </row>
    <row r="4">
      <c r="A4" s="2" t="inlineStr">
        <is>
          <t>TOTAL GOATS SOLD</t>
        </is>
      </c>
      <c r="B4" s="28">
        <f>Bepaari_Ledger!G55</f>
        <v/>
      </c>
    </row>
    <row r="5">
      <c r="A5" t="inlineStr"/>
    </row>
    <row r="6">
      <c r="A6" s="2" t="inlineStr">
        <is>
          <t>INCOME:</t>
        </is>
      </c>
    </row>
    <row r="7">
      <c r="A7" t="inlineStr">
        <is>
          <t xml:space="preserve">  Commission Earned</t>
        </is>
      </c>
      <c r="B7" s="12">
        <f>Bepaari_Ledger!H55</f>
        <v/>
      </c>
    </row>
    <row r="8">
      <c r="A8" t="inlineStr">
        <is>
          <t xml:space="preserve">  (-) Discounts Given</t>
        </is>
      </c>
      <c r="B8" s="12">
        <f>-Dukandar_Ledger!E54</f>
        <v/>
      </c>
    </row>
    <row r="9">
      <c r="A9" t="inlineStr">
        <is>
          <t xml:space="preserve">  Net Commission</t>
        </is>
      </c>
      <c r="B9" s="12">
        <f>B6+B7</f>
        <v/>
      </c>
    </row>
    <row r="10">
      <c r="A10" t="inlineStr">
        <is>
          <t xml:space="preserve">  JB Collected</t>
        </is>
      </c>
      <c r="B10" s="12">
        <f>Bepaari_Ledger!J55</f>
        <v/>
      </c>
    </row>
    <row r="11">
      <c r="A11" t="inlineStr">
        <is>
          <t xml:space="preserve">  KK Collected</t>
        </is>
      </c>
      <c r="B11" s="12">
        <f>Bepaari_Ledger!I55</f>
        <v/>
      </c>
    </row>
    <row r="12">
      <c r="A12" s="2" t="inlineStr">
        <is>
          <t>TOTAL INCOME</t>
        </is>
      </c>
      <c r="B12" s="13">
        <f>B8+B9+B10</f>
        <v/>
      </c>
    </row>
    <row r="13">
      <c r="A13" t="inlineStr"/>
    </row>
    <row r="14">
      <c r="A14" s="2" t="inlineStr">
        <is>
          <t>EXPENSES:</t>
        </is>
      </c>
    </row>
    <row r="15">
      <c r="A15" t="inlineStr">
        <is>
          <t xml:space="preserve">  Mandi/Business</t>
        </is>
      </c>
      <c r="B15" s="12">
        <f>SUMIFS(Cash_Book!$G:$G,Cash_Book!$D:$D,"MANDI")+SUMIFS(Cash_Book!$G:$G,Cash_Book!$D:$D,"TRAVEL")+SUMIFS(Cash_Book!$G:$G,Cash_Book!$D:$D,"FOOD")+SUMIFS(Cash_Book!$G:$G,Cash_Book!$D:$D,"SALARY")+SUMIFS(Cash_Book!$G:$G,Cash_Book!$D:$D,"MISC")+SUMIFS(Cash_Book!$G:$G,Cash_Book!$D:$D,"OTHER")</f>
        <v/>
      </c>
    </row>
    <row r="16">
      <c r="A16" t="inlineStr">
        <is>
          <t xml:space="preserve">  BF Discount</t>
        </is>
      </c>
      <c r="B16" s="12">
        <f>SUMIFS(Cash_Book!$G:$G,Cash_Book!$D:$D,"BF_DISC")</f>
        <v/>
      </c>
    </row>
    <row r="17">
      <c r="A17" t="inlineStr">
        <is>
          <t xml:space="preserve">  JB Paid</t>
        </is>
      </c>
      <c r="B17" s="12">
        <f>SUMIFS(Cash_Book!$G:$G,Cash_Book!$D:$D,"JB_PAID")</f>
        <v/>
      </c>
    </row>
    <row r="18">
      <c r="A18" s="2" t="inlineStr">
        <is>
          <t>TOTAL EXPENSES</t>
        </is>
      </c>
      <c r="B18" s="13">
        <f>B14+B15+B16</f>
        <v/>
      </c>
    </row>
    <row r="19">
      <c r="A19" t="inlineStr"/>
    </row>
    <row r="20">
      <c r="A20" s="2" t="inlineStr">
        <is>
          <t>NET PROFIT/LOSS</t>
        </is>
      </c>
      <c r="B20" s="13">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2026-03-25T19:58:23Z</dcterms:created>
  <dcterms:modified xsi:type="dcterms:W3CDTF">2026-03-25T19:58:24Z</dcterms:modified>
</cp:coreProperties>
</file>